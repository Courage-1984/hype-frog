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output\"/>
    </mc:Choice>
  </mc:AlternateContent>
  <xr:revisionPtr revIDLastSave="0" documentId="13_ncr:1_{AE953A1E-B0A8-49F3-9A1C-49CCC94E0920}" xr6:coauthVersionLast="47" xr6:coauthVersionMax="47" xr10:uidLastSave="{00000000-0000-0000-0000-000000000000}"/>
  <bookViews>
    <workbookView xWindow="-120" yWindow="-120" windowWidth="29040" windowHeight="16440" activeTab="2" xr2:uid="{00000000-000D-0000-FFFF-FFFF00000000}"/>
  </bookViews>
  <sheets>
    <sheet name="Table of Contents" sheetId="1" r:id="rId1"/>
    <sheet name="Dashboard" sheetId="2" r:id="rId2"/>
    <sheet name="Content Optimization Hub" sheetId="3" r:id="rId3"/>
    <sheet name="FixPlan" sheetId="4" r:id="rId4"/>
    <sheet name="Main" sheetId="5" r:id="rId5"/>
    <sheet name="Technical" sheetId="6" r:id="rId6"/>
    <sheet name="Content" sheetId="7" r:id="rId7"/>
    <sheet name="AEO" sheetId="8" r:id="rId8"/>
    <sheet name="Schema &amp; Metadata" sheetId="9" r:id="rId9"/>
    <sheet name="Links" sheetId="10" r:id="rId10"/>
    <sheet name="Indexability" sheetId="11" r:id="rId11"/>
    <sheet name="Redirects" sheetId="12" r:id="rId12"/>
    <sheet name="Priority URLs" sheetId="13" r:id="rId13"/>
    <sheet name="AIOSEO" sheetId="14" r:id="rId14"/>
    <sheet name="Security" sheetId="15" r:id="rId15"/>
    <sheet name="Summary" sheetId="16" r:id="rId16"/>
    <sheet name="Legend" sheetId="17" r:id="rId17"/>
    <sheet name="LinksDetail" sheetId="18" r:id="rId18"/>
    <sheet name="Media" sheetId="19" r:id="rId19"/>
    <sheet name="Duplicates" sheetId="20" r:id="rId20"/>
    <sheet name="TemplateClusters" sheetId="21" r:id="rId21"/>
    <sheet name="IssueInventory" sheetId="22" r:id="rId22"/>
    <sheet name="CrawlGraph" sheetId="23" r:id="rId23"/>
    <sheet name="SitemapQA" sheetId="24" r:id="rId24"/>
    <sheet name="DeltaFromPreviousRun" sheetId="25" state="hidden" r:id="rId25"/>
    <sheet name="RunMetadata" sheetId="26" state="hidden" r:id="rId26"/>
    <sheet name="ResolvedIssues" sheetId="27" r:id="rId27"/>
  </sheets>
  <definedNames>
    <definedName name="_xlnm._FilterDatabase" localSheetId="7" hidden="1">AEO!$A$1:$S$86</definedName>
    <definedName name="_xlnm._FilterDatabase" localSheetId="13" hidden="1">AIOSEO!$A$1:$U$715</definedName>
    <definedName name="_xlnm._FilterDatabase" localSheetId="6" hidden="1">Content!$A$1:$N$86</definedName>
    <definedName name="_xlnm._FilterDatabase" localSheetId="2" hidden="1">'Content Optimization Hub'!$A$2:$V$87</definedName>
    <definedName name="_xlnm._FilterDatabase" localSheetId="22" hidden="1">CrawlGraph!$A$1:$F$86</definedName>
    <definedName name="_xlnm._FilterDatabase" localSheetId="1" hidden="1">Dashboard!$A$1:$Y$79</definedName>
    <definedName name="_xlnm._FilterDatabase" localSheetId="24" hidden="1">DeltaFromPreviousRun!$A$1:$C$39</definedName>
    <definedName name="_xlnm._FilterDatabase" localSheetId="19" hidden="1">Duplicates!$A$1:$G$86</definedName>
    <definedName name="_xlnm._FilterDatabase" localSheetId="3" hidden="1">FixPlan!$A$1:$AB$35</definedName>
    <definedName name="_xlnm._FilterDatabase" localSheetId="10" hidden="1">Indexability!$A$1:$M$86</definedName>
    <definedName name="_xlnm._FilterDatabase" localSheetId="21" hidden="1">IssueInventory!$A$1:$K$788</definedName>
    <definedName name="_xlnm._FilterDatabase" localSheetId="16" hidden="1">Legend!$A$1:$F$19</definedName>
    <definedName name="_xlnm._FilterDatabase" localSheetId="9" hidden="1">Links!$A$1:$L$86</definedName>
    <definedName name="_xlnm._FilterDatabase" localSheetId="4" hidden="1">Main!$A$1:$AG$86</definedName>
    <definedName name="_xlnm._FilterDatabase" localSheetId="18" hidden="1">Media!$A$1:$L$86</definedName>
    <definedName name="_xlnm._FilterDatabase" localSheetId="12" hidden="1">'Priority URLs'!$A$1:$Q$86</definedName>
    <definedName name="_xlnm._FilterDatabase" localSheetId="11" hidden="1">Redirects!$A$1:$J$86</definedName>
    <definedName name="_xlnm._FilterDatabase" localSheetId="26" hidden="1">ResolvedIssues!$A$1:$E$2</definedName>
    <definedName name="_xlnm._FilterDatabase" localSheetId="25" hidden="1">RunMetadata!$A$1:$C$10</definedName>
    <definedName name="_xlnm._FilterDatabase" localSheetId="8" hidden="1">'Schema &amp; Metadata'!$A$1:$K$86</definedName>
    <definedName name="_xlnm._FilterDatabase" localSheetId="14" hidden="1">Security!$A$1:$M$86</definedName>
    <definedName name="_xlnm._FilterDatabase" localSheetId="23" hidden="1">SitemapQA!$A$1:$M$86</definedName>
    <definedName name="_xlnm._FilterDatabase" localSheetId="15" hidden="1">Summary!$A$1:$G$66</definedName>
    <definedName name="_xlnm._FilterDatabase" localSheetId="5" hidden="1">Technical!$A$1:$BT$86</definedName>
    <definedName name="_xlnm._FilterDatabase" localSheetId="20" hidden="1">TemplateClusters!$A$1:$J$85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7" l="1"/>
  <c r="E86" i="23"/>
  <c r="E85" i="23"/>
  <c r="E84" i="23"/>
  <c r="E83" i="23"/>
  <c r="E82" i="23"/>
  <c r="E81" i="23"/>
  <c r="E80" i="23"/>
  <c r="E79" i="23"/>
  <c r="E78" i="23"/>
  <c r="E77" i="23"/>
  <c r="E76" i="23"/>
  <c r="E75" i="23"/>
  <c r="E74" i="23"/>
  <c r="E73" i="23"/>
  <c r="E72" i="23"/>
  <c r="E71" i="23"/>
  <c r="E70" i="23"/>
  <c r="E69" i="23"/>
  <c r="E68" i="23"/>
  <c r="E67" i="23"/>
  <c r="E66" i="23"/>
  <c r="E65" i="23"/>
  <c r="E64" i="23"/>
  <c r="E63" i="23"/>
  <c r="E62" i="23"/>
  <c r="E61" i="23"/>
  <c r="E60" i="23"/>
  <c r="E59" i="23"/>
  <c r="E58" i="23"/>
  <c r="E57" i="23"/>
  <c r="E56" i="23"/>
  <c r="E55" i="23"/>
  <c r="E54" i="23"/>
  <c r="E53" i="23"/>
  <c r="E52" i="23"/>
  <c r="E51" i="23"/>
  <c r="E50" i="23"/>
  <c r="E49" i="23"/>
  <c r="E48" i="23"/>
  <c r="E47" i="23"/>
  <c r="E46" i="23"/>
  <c r="E45" i="23"/>
  <c r="E44" i="23"/>
  <c r="E43" i="23"/>
  <c r="E42" i="23"/>
  <c r="E41" i="23"/>
  <c r="E4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E9" i="23"/>
  <c r="E8" i="23"/>
  <c r="E7" i="23"/>
  <c r="E6" i="23"/>
  <c r="E5" i="23"/>
  <c r="E4" i="23"/>
  <c r="E3" i="23"/>
  <c r="E2" i="23"/>
  <c r="I788" i="22"/>
  <c r="I787" i="22"/>
  <c r="I786" i="22"/>
  <c r="I785" i="22"/>
  <c r="I784" i="22"/>
  <c r="I783" i="22"/>
  <c r="I782" i="22"/>
  <c r="I781" i="22"/>
  <c r="I780" i="22"/>
  <c r="I779" i="22"/>
  <c r="I778" i="22"/>
  <c r="I777" i="22"/>
  <c r="I776" i="22"/>
  <c r="I775" i="22"/>
  <c r="I774" i="22"/>
  <c r="I773" i="22"/>
  <c r="I772" i="22"/>
  <c r="I771" i="22"/>
  <c r="I770" i="22"/>
  <c r="I769" i="22"/>
  <c r="I768" i="22"/>
  <c r="I767" i="22"/>
  <c r="I766" i="22"/>
  <c r="I765" i="22"/>
  <c r="I764" i="22"/>
  <c r="I763" i="22"/>
  <c r="I762" i="22"/>
  <c r="I761" i="22"/>
  <c r="I760" i="22"/>
  <c r="I759" i="22"/>
  <c r="I758" i="22"/>
  <c r="I757" i="22"/>
  <c r="I756" i="22"/>
  <c r="I755" i="22"/>
  <c r="I754" i="22"/>
  <c r="I753" i="22"/>
  <c r="I752" i="22"/>
  <c r="I751" i="22"/>
  <c r="I750" i="22"/>
  <c r="I749" i="22"/>
  <c r="I748" i="22"/>
  <c r="I747" i="22"/>
  <c r="I746" i="22"/>
  <c r="I745" i="22"/>
  <c r="I744" i="22"/>
  <c r="I743" i="22"/>
  <c r="I742" i="22"/>
  <c r="I741" i="22"/>
  <c r="I740" i="22"/>
  <c r="I739" i="22"/>
  <c r="I738" i="22"/>
  <c r="I737" i="22"/>
  <c r="I736" i="22"/>
  <c r="I735" i="22"/>
  <c r="I734" i="22"/>
  <c r="I733" i="22"/>
  <c r="I732" i="22"/>
  <c r="I731" i="22"/>
  <c r="I730" i="22"/>
  <c r="I729" i="22"/>
  <c r="I728" i="22"/>
  <c r="I727" i="22"/>
  <c r="I726" i="22"/>
  <c r="I725" i="22"/>
  <c r="I724" i="22"/>
  <c r="I723" i="22"/>
  <c r="I722" i="22"/>
  <c r="I721" i="22"/>
  <c r="I720" i="22"/>
  <c r="I719" i="22"/>
  <c r="I718" i="22"/>
  <c r="I717" i="22"/>
  <c r="I716" i="22"/>
  <c r="I715" i="22"/>
  <c r="I714" i="22"/>
  <c r="I713" i="22"/>
  <c r="I712" i="22"/>
  <c r="I711" i="22"/>
  <c r="I710" i="22"/>
  <c r="I709" i="22"/>
  <c r="I708" i="22"/>
  <c r="I707" i="22"/>
  <c r="I706" i="22"/>
  <c r="I705" i="22"/>
  <c r="I704" i="22"/>
  <c r="I703" i="22"/>
  <c r="I702" i="22"/>
  <c r="I701" i="22"/>
  <c r="I700" i="22"/>
  <c r="I699" i="22"/>
  <c r="I698" i="22"/>
  <c r="I697" i="22"/>
  <c r="I696" i="22"/>
  <c r="I695" i="22"/>
  <c r="I694" i="22"/>
  <c r="I693" i="22"/>
  <c r="I692" i="22"/>
  <c r="I691" i="22"/>
  <c r="I690" i="22"/>
  <c r="I689" i="22"/>
  <c r="I688" i="22"/>
  <c r="I687" i="22"/>
  <c r="I686" i="22"/>
  <c r="I685" i="22"/>
  <c r="I684" i="22"/>
  <c r="I683" i="22"/>
  <c r="I682" i="22"/>
  <c r="I681" i="22"/>
  <c r="I680" i="22"/>
  <c r="I679" i="22"/>
  <c r="I678" i="22"/>
  <c r="I677" i="22"/>
  <c r="I676" i="22"/>
  <c r="I675" i="22"/>
  <c r="I674" i="22"/>
  <c r="I673" i="22"/>
  <c r="I672" i="22"/>
  <c r="I671" i="22"/>
  <c r="I670" i="22"/>
  <c r="I669" i="22"/>
  <c r="I668" i="22"/>
  <c r="I667" i="22"/>
  <c r="I666" i="22"/>
  <c r="I665" i="22"/>
  <c r="I664" i="22"/>
  <c r="I663" i="22"/>
  <c r="I662" i="22"/>
  <c r="I661" i="22"/>
  <c r="I660" i="22"/>
  <c r="I659" i="22"/>
  <c r="I658" i="22"/>
  <c r="I657" i="22"/>
  <c r="I656" i="22"/>
  <c r="I655" i="22"/>
  <c r="I654" i="22"/>
  <c r="I653" i="22"/>
  <c r="I652" i="22"/>
  <c r="I651" i="22"/>
  <c r="I650" i="22"/>
  <c r="I649" i="22"/>
  <c r="I648" i="22"/>
  <c r="I647" i="22"/>
  <c r="I646" i="22"/>
  <c r="I645" i="22"/>
  <c r="I644" i="22"/>
  <c r="I643" i="22"/>
  <c r="I642" i="22"/>
  <c r="I641" i="22"/>
  <c r="I640" i="22"/>
  <c r="I639" i="22"/>
  <c r="I638" i="22"/>
  <c r="I637" i="22"/>
  <c r="I636" i="22"/>
  <c r="I635" i="22"/>
  <c r="I634" i="22"/>
  <c r="I633" i="22"/>
  <c r="I632" i="22"/>
  <c r="I631" i="22"/>
  <c r="I630" i="22"/>
  <c r="I629" i="22"/>
  <c r="I628" i="22"/>
  <c r="I627" i="22"/>
  <c r="I626" i="22"/>
  <c r="I625" i="22"/>
  <c r="I624" i="22"/>
  <c r="I623" i="22"/>
  <c r="I622" i="22"/>
  <c r="I621" i="22"/>
  <c r="I620" i="22"/>
  <c r="I619" i="22"/>
  <c r="I618" i="22"/>
  <c r="I617" i="22"/>
  <c r="I616" i="22"/>
  <c r="I615" i="22"/>
  <c r="I614" i="22"/>
  <c r="I613" i="22"/>
  <c r="I612" i="22"/>
  <c r="I611" i="22"/>
  <c r="I610" i="22"/>
  <c r="I609" i="22"/>
  <c r="I608" i="22"/>
  <c r="I607" i="22"/>
  <c r="I606" i="22"/>
  <c r="I605" i="22"/>
  <c r="I604" i="22"/>
  <c r="I603" i="22"/>
  <c r="I602" i="22"/>
  <c r="I601" i="22"/>
  <c r="I600" i="22"/>
  <c r="I599" i="22"/>
  <c r="I598" i="22"/>
  <c r="I597" i="22"/>
  <c r="I596" i="22"/>
  <c r="I595" i="22"/>
  <c r="I594" i="22"/>
  <c r="I593" i="22"/>
  <c r="I592" i="22"/>
  <c r="I591" i="22"/>
  <c r="I590" i="22"/>
  <c r="I589" i="22"/>
  <c r="I588" i="22"/>
  <c r="I587" i="22"/>
  <c r="I586" i="22"/>
  <c r="I585" i="22"/>
  <c r="I584" i="22"/>
  <c r="I583" i="22"/>
  <c r="I582" i="22"/>
  <c r="I581" i="22"/>
  <c r="I580" i="22"/>
  <c r="I579" i="22"/>
  <c r="I578" i="22"/>
  <c r="I577" i="22"/>
  <c r="I576" i="22"/>
  <c r="I575" i="22"/>
  <c r="I574" i="22"/>
  <c r="I573" i="22"/>
  <c r="I572" i="22"/>
  <c r="I571" i="22"/>
  <c r="I570" i="22"/>
  <c r="I569" i="22"/>
  <c r="I568" i="22"/>
  <c r="I567" i="22"/>
  <c r="I566" i="22"/>
  <c r="I565" i="22"/>
  <c r="I564" i="22"/>
  <c r="I563" i="22"/>
  <c r="I562" i="22"/>
  <c r="I561" i="22"/>
  <c r="I560" i="22"/>
  <c r="I559" i="22"/>
  <c r="I558" i="22"/>
  <c r="I557" i="22"/>
  <c r="I556" i="22"/>
  <c r="I555" i="22"/>
  <c r="I554" i="22"/>
  <c r="I553" i="22"/>
  <c r="I552" i="22"/>
  <c r="I551" i="22"/>
  <c r="I550" i="22"/>
  <c r="I549" i="22"/>
  <c r="I548" i="22"/>
  <c r="I547" i="22"/>
  <c r="I546" i="22"/>
  <c r="I545" i="22"/>
  <c r="I544" i="22"/>
  <c r="I543" i="22"/>
  <c r="I542" i="22"/>
  <c r="I541" i="22"/>
  <c r="I540" i="22"/>
  <c r="I539" i="22"/>
  <c r="I538" i="22"/>
  <c r="I537" i="22"/>
  <c r="I536" i="22"/>
  <c r="I535" i="22"/>
  <c r="I534" i="22"/>
  <c r="I533" i="22"/>
  <c r="I532" i="22"/>
  <c r="I531" i="22"/>
  <c r="I530" i="22"/>
  <c r="I529" i="22"/>
  <c r="I528" i="22"/>
  <c r="I527" i="22"/>
  <c r="I526" i="22"/>
  <c r="I525" i="22"/>
  <c r="I524" i="22"/>
  <c r="I523" i="22"/>
  <c r="I522" i="22"/>
  <c r="I521" i="22"/>
  <c r="I520" i="22"/>
  <c r="I519" i="22"/>
  <c r="I518" i="22"/>
  <c r="I517" i="22"/>
  <c r="I516" i="22"/>
  <c r="I515" i="22"/>
  <c r="I514" i="22"/>
  <c r="I513" i="22"/>
  <c r="I512" i="22"/>
  <c r="I511" i="22"/>
  <c r="I510" i="22"/>
  <c r="I509" i="22"/>
  <c r="I508" i="22"/>
  <c r="I507" i="22"/>
  <c r="I506" i="22"/>
  <c r="I505" i="22"/>
  <c r="I504" i="22"/>
  <c r="I503" i="22"/>
  <c r="I502" i="22"/>
  <c r="I501" i="22"/>
  <c r="I500" i="22"/>
  <c r="I499" i="22"/>
  <c r="I498" i="22"/>
  <c r="I497" i="22"/>
  <c r="I496" i="22"/>
  <c r="I495" i="22"/>
  <c r="I494" i="22"/>
  <c r="I493" i="22"/>
  <c r="I492" i="22"/>
  <c r="I491" i="22"/>
  <c r="I490" i="22"/>
  <c r="I489" i="22"/>
  <c r="I488" i="22"/>
  <c r="I487" i="22"/>
  <c r="I486" i="22"/>
  <c r="I485" i="22"/>
  <c r="I484" i="22"/>
  <c r="I483" i="22"/>
  <c r="I482" i="22"/>
  <c r="I481" i="22"/>
  <c r="I480" i="22"/>
  <c r="I479" i="22"/>
  <c r="I478" i="22"/>
  <c r="I477" i="22"/>
  <c r="I476" i="22"/>
  <c r="I475" i="22"/>
  <c r="I474" i="22"/>
  <c r="I473" i="22"/>
  <c r="I472" i="22"/>
  <c r="I471" i="22"/>
  <c r="I470" i="22"/>
  <c r="I469" i="22"/>
  <c r="I468" i="22"/>
  <c r="I467" i="22"/>
  <c r="I466" i="22"/>
  <c r="I465" i="22"/>
  <c r="I464" i="22"/>
  <c r="I463" i="22"/>
  <c r="I462" i="22"/>
  <c r="I461" i="22"/>
  <c r="I460" i="22"/>
  <c r="I459" i="22"/>
  <c r="I458" i="22"/>
  <c r="I457" i="22"/>
  <c r="I456" i="22"/>
  <c r="I455" i="22"/>
  <c r="I454" i="22"/>
  <c r="I453" i="22"/>
  <c r="I452" i="22"/>
  <c r="I451" i="22"/>
  <c r="I450" i="22"/>
  <c r="I449" i="22"/>
  <c r="I448" i="22"/>
  <c r="I447" i="22"/>
  <c r="I446" i="22"/>
  <c r="I445" i="22"/>
  <c r="I444" i="22"/>
  <c r="I443" i="22"/>
  <c r="I442" i="22"/>
  <c r="I441" i="22"/>
  <c r="I440" i="22"/>
  <c r="I439" i="22"/>
  <c r="I438" i="22"/>
  <c r="I437" i="22"/>
  <c r="I436" i="22"/>
  <c r="I435" i="22"/>
  <c r="I434" i="22"/>
  <c r="I433" i="22"/>
  <c r="I432" i="22"/>
  <c r="I431" i="22"/>
  <c r="I430" i="22"/>
  <c r="I429" i="22"/>
  <c r="I428" i="22"/>
  <c r="I427" i="22"/>
  <c r="I426" i="22"/>
  <c r="I425" i="22"/>
  <c r="I424" i="22"/>
  <c r="I423" i="22"/>
  <c r="I422" i="22"/>
  <c r="I421" i="22"/>
  <c r="I420" i="22"/>
  <c r="I419" i="22"/>
  <c r="I418" i="22"/>
  <c r="I417" i="22"/>
  <c r="I416" i="22"/>
  <c r="I415" i="22"/>
  <c r="I414" i="22"/>
  <c r="I413" i="22"/>
  <c r="I412" i="22"/>
  <c r="I411" i="22"/>
  <c r="I410" i="22"/>
  <c r="I409" i="22"/>
  <c r="I408" i="22"/>
  <c r="I407" i="22"/>
  <c r="I406" i="22"/>
  <c r="I405" i="22"/>
  <c r="I404" i="22"/>
  <c r="I403" i="22"/>
  <c r="I402" i="22"/>
  <c r="I401" i="22"/>
  <c r="I400" i="22"/>
  <c r="I399" i="22"/>
  <c r="I398" i="22"/>
  <c r="I397" i="22"/>
  <c r="I396" i="22"/>
  <c r="I395" i="22"/>
  <c r="I394" i="22"/>
  <c r="I393" i="22"/>
  <c r="I392" i="22"/>
  <c r="I391" i="22"/>
  <c r="I390" i="22"/>
  <c r="I389" i="22"/>
  <c r="I388" i="22"/>
  <c r="I387" i="22"/>
  <c r="I386" i="22"/>
  <c r="I385" i="22"/>
  <c r="I384" i="22"/>
  <c r="I383" i="22"/>
  <c r="I382" i="22"/>
  <c r="I381" i="22"/>
  <c r="I380" i="22"/>
  <c r="I379" i="22"/>
  <c r="I378" i="22"/>
  <c r="I377" i="22"/>
  <c r="I376" i="22"/>
  <c r="I375" i="22"/>
  <c r="I374" i="22"/>
  <c r="I373" i="22"/>
  <c r="I372" i="22"/>
  <c r="I371" i="22"/>
  <c r="I370" i="22"/>
  <c r="I369" i="22"/>
  <c r="I368" i="22"/>
  <c r="I367" i="22"/>
  <c r="I366" i="22"/>
  <c r="I365" i="22"/>
  <c r="I364" i="22"/>
  <c r="I363" i="22"/>
  <c r="I362" i="22"/>
  <c r="I361" i="22"/>
  <c r="I360" i="22"/>
  <c r="I359" i="22"/>
  <c r="I358" i="22"/>
  <c r="I357" i="22"/>
  <c r="I356" i="22"/>
  <c r="I355" i="22"/>
  <c r="I354" i="22"/>
  <c r="I353" i="22"/>
  <c r="I352" i="22"/>
  <c r="I351" i="22"/>
  <c r="I350" i="22"/>
  <c r="I349" i="22"/>
  <c r="I348" i="22"/>
  <c r="I347" i="22"/>
  <c r="I346" i="22"/>
  <c r="I345" i="22"/>
  <c r="I344" i="22"/>
  <c r="I343" i="22"/>
  <c r="I342" i="22"/>
  <c r="I341" i="22"/>
  <c r="I340" i="22"/>
  <c r="I339" i="22"/>
  <c r="I338" i="22"/>
  <c r="I337" i="22"/>
  <c r="I336" i="22"/>
  <c r="I335" i="22"/>
  <c r="I334" i="22"/>
  <c r="I333" i="22"/>
  <c r="I332" i="22"/>
  <c r="I331" i="22"/>
  <c r="I330" i="22"/>
  <c r="I329" i="22"/>
  <c r="I328" i="22"/>
  <c r="I327" i="22"/>
  <c r="I326" i="22"/>
  <c r="I325" i="22"/>
  <c r="I324" i="22"/>
  <c r="I323" i="22"/>
  <c r="I322" i="22"/>
  <c r="I321" i="22"/>
  <c r="I320" i="22"/>
  <c r="I319" i="22"/>
  <c r="I318" i="22"/>
  <c r="I317" i="22"/>
  <c r="I316" i="22"/>
  <c r="I315" i="22"/>
  <c r="I314" i="22"/>
  <c r="I313" i="22"/>
  <c r="I312" i="22"/>
  <c r="I311" i="22"/>
  <c r="I310" i="22"/>
  <c r="I309" i="22"/>
  <c r="I308" i="22"/>
  <c r="I307" i="22"/>
  <c r="I306" i="22"/>
  <c r="I305" i="22"/>
  <c r="I304" i="22"/>
  <c r="I303" i="22"/>
  <c r="I302" i="22"/>
  <c r="I301" i="22"/>
  <c r="I300" i="22"/>
  <c r="I299" i="22"/>
  <c r="I298" i="22"/>
  <c r="I297" i="22"/>
  <c r="I296" i="22"/>
  <c r="I295" i="22"/>
  <c r="I294" i="22"/>
  <c r="I293" i="22"/>
  <c r="I292" i="22"/>
  <c r="I291" i="22"/>
  <c r="I290" i="22"/>
  <c r="I289" i="22"/>
  <c r="I288" i="22"/>
  <c r="I287" i="22"/>
  <c r="I286" i="22"/>
  <c r="I285" i="22"/>
  <c r="I284" i="22"/>
  <c r="I283" i="22"/>
  <c r="I282" i="22"/>
  <c r="I281" i="22"/>
  <c r="I280" i="22"/>
  <c r="I279" i="22"/>
  <c r="I278" i="22"/>
  <c r="I277" i="22"/>
  <c r="I276" i="22"/>
  <c r="I275" i="22"/>
  <c r="I274" i="22"/>
  <c r="I273" i="22"/>
  <c r="I272" i="22"/>
  <c r="I271" i="22"/>
  <c r="I270" i="22"/>
  <c r="I269" i="22"/>
  <c r="I268" i="22"/>
  <c r="I267" i="22"/>
  <c r="I266" i="22"/>
  <c r="I265" i="22"/>
  <c r="I264" i="22"/>
  <c r="I263" i="22"/>
  <c r="I262" i="22"/>
  <c r="I261" i="22"/>
  <c r="I260" i="22"/>
  <c r="I259" i="22"/>
  <c r="I258" i="22"/>
  <c r="I257" i="22"/>
  <c r="I256" i="22"/>
  <c r="I255" i="22"/>
  <c r="I254" i="22"/>
  <c r="I253" i="22"/>
  <c r="I252" i="22"/>
  <c r="I251" i="22"/>
  <c r="I250" i="22"/>
  <c r="I249" i="22"/>
  <c r="I248" i="22"/>
  <c r="I247" i="22"/>
  <c r="I246" i="22"/>
  <c r="I245" i="22"/>
  <c r="I244" i="22"/>
  <c r="I243" i="22"/>
  <c r="I242" i="22"/>
  <c r="I241" i="22"/>
  <c r="I240" i="22"/>
  <c r="I239" i="22"/>
  <c r="I238" i="22"/>
  <c r="I237" i="22"/>
  <c r="I236" i="22"/>
  <c r="I235" i="22"/>
  <c r="I234" i="22"/>
  <c r="I233" i="22"/>
  <c r="I232" i="22"/>
  <c r="I231" i="22"/>
  <c r="I230" i="22"/>
  <c r="I229" i="22"/>
  <c r="I228" i="22"/>
  <c r="I227" i="22"/>
  <c r="I226" i="22"/>
  <c r="I225" i="22"/>
  <c r="I224" i="22"/>
  <c r="I223" i="22"/>
  <c r="I222" i="22"/>
  <c r="I221" i="22"/>
  <c r="I220" i="22"/>
  <c r="I219" i="22"/>
  <c r="I218" i="22"/>
  <c r="I217" i="22"/>
  <c r="I216" i="22"/>
  <c r="I215" i="22"/>
  <c r="I214" i="22"/>
  <c r="I213" i="22"/>
  <c r="I212" i="22"/>
  <c r="I211" i="22"/>
  <c r="I210" i="22"/>
  <c r="I209" i="22"/>
  <c r="I208" i="22"/>
  <c r="I207" i="22"/>
  <c r="I206" i="22"/>
  <c r="I205" i="22"/>
  <c r="I204" i="22"/>
  <c r="I203" i="22"/>
  <c r="I202" i="22"/>
  <c r="I201" i="22"/>
  <c r="I200" i="22"/>
  <c r="I199" i="22"/>
  <c r="I198" i="22"/>
  <c r="I197" i="22"/>
  <c r="I196" i="22"/>
  <c r="I195" i="22"/>
  <c r="I194" i="22"/>
  <c r="I193" i="22"/>
  <c r="I192" i="22"/>
  <c r="I191" i="22"/>
  <c r="I190" i="22"/>
  <c r="I189" i="22"/>
  <c r="I188" i="22"/>
  <c r="I187" i="22"/>
  <c r="I186" i="22"/>
  <c r="I185" i="22"/>
  <c r="I184" i="22"/>
  <c r="I183" i="22"/>
  <c r="I182" i="22"/>
  <c r="I181" i="22"/>
  <c r="I180" i="22"/>
  <c r="I179" i="22"/>
  <c r="I178" i="22"/>
  <c r="I177" i="22"/>
  <c r="I176" i="22"/>
  <c r="I175" i="22"/>
  <c r="I174" i="22"/>
  <c r="I173" i="22"/>
  <c r="I172" i="22"/>
  <c r="I171" i="22"/>
  <c r="I170" i="22"/>
  <c r="I169" i="22"/>
  <c r="I168" i="22"/>
  <c r="I167" i="22"/>
  <c r="I166" i="22"/>
  <c r="I165" i="22"/>
  <c r="I164" i="22"/>
  <c r="I163" i="22"/>
  <c r="I162" i="22"/>
  <c r="I161" i="22"/>
  <c r="I160" i="22"/>
  <c r="I159" i="22"/>
  <c r="I158" i="22"/>
  <c r="I157" i="22"/>
  <c r="I156" i="22"/>
  <c r="I155" i="22"/>
  <c r="I154" i="22"/>
  <c r="I153" i="22"/>
  <c r="I152" i="22"/>
  <c r="I151" i="22"/>
  <c r="I150" i="22"/>
  <c r="I149" i="22"/>
  <c r="I148" i="22"/>
  <c r="I147" i="22"/>
  <c r="I146" i="22"/>
  <c r="I145" i="22"/>
  <c r="I144" i="22"/>
  <c r="I143" i="22"/>
  <c r="I142" i="22"/>
  <c r="I141" i="22"/>
  <c r="I140" i="22"/>
  <c r="I139" i="22"/>
  <c r="I138" i="22"/>
  <c r="I137" i="22"/>
  <c r="I136" i="22"/>
  <c r="I135" i="22"/>
  <c r="I134" i="22"/>
  <c r="I133" i="22"/>
  <c r="I132" i="22"/>
  <c r="I131" i="22"/>
  <c r="I130" i="22"/>
  <c r="I129" i="22"/>
  <c r="I128" i="22"/>
  <c r="I127" i="22"/>
  <c r="I126" i="22"/>
  <c r="I125" i="22"/>
  <c r="I124" i="22"/>
  <c r="I123" i="22"/>
  <c r="I122" i="22"/>
  <c r="I121" i="22"/>
  <c r="I120" i="22"/>
  <c r="I119" i="22"/>
  <c r="I118" i="22"/>
  <c r="I117" i="22"/>
  <c r="I116" i="22"/>
  <c r="I115" i="22"/>
  <c r="I114" i="22"/>
  <c r="I113" i="22"/>
  <c r="I112" i="22"/>
  <c r="I111" i="22"/>
  <c r="I110" i="22"/>
  <c r="I109" i="22"/>
  <c r="I108" i="22"/>
  <c r="I107" i="22"/>
  <c r="I106" i="22"/>
  <c r="I105" i="22"/>
  <c r="I104" i="22"/>
  <c r="I103" i="22"/>
  <c r="I102" i="22"/>
  <c r="I101" i="22"/>
  <c r="I100" i="22"/>
  <c r="I99" i="22"/>
  <c r="I98" i="22"/>
  <c r="I97" i="22"/>
  <c r="I96" i="22"/>
  <c r="I95" i="22"/>
  <c r="I94" i="22"/>
  <c r="I93" i="22"/>
  <c r="I92" i="22"/>
  <c r="I91" i="22"/>
  <c r="I90" i="22"/>
  <c r="I89" i="22"/>
  <c r="I88" i="22"/>
  <c r="I87" i="22"/>
  <c r="I86" i="22"/>
  <c r="I85" i="22"/>
  <c r="I84" i="22"/>
  <c r="I83" i="22"/>
  <c r="I82" i="22"/>
  <c r="I81" i="22"/>
  <c r="I80" i="22"/>
  <c r="I79" i="22"/>
  <c r="I78" i="22"/>
  <c r="I77" i="22"/>
  <c r="I76" i="22"/>
  <c r="I75" i="22"/>
  <c r="I74" i="22"/>
  <c r="I73" i="22"/>
  <c r="I72" i="22"/>
  <c r="I71" i="22"/>
  <c r="I70" i="22"/>
  <c r="I69" i="22"/>
  <c r="I68" i="22"/>
  <c r="I67" i="22"/>
  <c r="I66" i="22"/>
  <c r="I65" i="22"/>
  <c r="I64" i="22"/>
  <c r="I63" i="22"/>
  <c r="I62" i="22"/>
  <c r="I61" i="22"/>
  <c r="I60" i="22"/>
  <c r="I59" i="22"/>
  <c r="I58" i="22"/>
  <c r="I57" i="22"/>
  <c r="I56" i="22"/>
  <c r="I55" i="22"/>
  <c r="I54" i="22"/>
  <c r="I53" i="22"/>
  <c r="I52" i="22"/>
  <c r="I51" i="22"/>
  <c r="I50" i="22"/>
  <c r="I49" i="22"/>
  <c r="I48" i="22"/>
  <c r="I47" i="22"/>
  <c r="I46" i="22"/>
  <c r="I45" i="22"/>
  <c r="I44" i="22"/>
  <c r="I43" i="22"/>
  <c r="I42" i="22"/>
  <c r="I41" i="22"/>
  <c r="I40" i="22"/>
  <c r="I39" i="22"/>
  <c r="I38" i="22"/>
  <c r="I37" i="22"/>
  <c r="I36" i="22"/>
  <c r="I35" i="22"/>
  <c r="I34" i="22"/>
  <c r="I33" i="22"/>
  <c r="I32" i="22"/>
  <c r="I31" i="22"/>
  <c r="I30" i="22"/>
  <c r="I29" i="22"/>
  <c r="I28" i="22"/>
  <c r="I27" i="22"/>
  <c r="I26" i="22"/>
  <c r="I25" i="22"/>
  <c r="I24" i="22"/>
  <c r="I23" i="22"/>
  <c r="I22" i="22"/>
  <c r="I21" i="22"/>
  <c r="I20" i="22"/>
  <c r="I19" i="22"/>
  <c r="I18" i="22"/>
  <c r="I17" i="22"/>
  <c r="I16" i="22"/>
  <c r="I15" i="22"/>
  <c r="I14" i="22"/>
  <c r="I13" i="22"/>
  <c r="I12" i="22"/>
  <c r="I11" i="22"/>
  <c r="I10" i="22"/>
  <c r="I9" i="22"/>
  <c r="I8" i="22"/>
  <c r="I7" i="22"/>
  <c r="I6" i="22"/>
  <c r="I5" i="22"/>
  <c r="I4" i="22"/>
  <c r="I3" i="22"/>
  <c r="I2" i="22"/>
  <c r="F86" i="20"/>
  <c r="F85" i="20"/>
  <c r="F84" i="20"/>
  <c r="F83" i="20"/>
  <c r="F82" i="20"/>
  <c r="F81" i="20"/>
  <c r="F80" i="20"/>
  <c r="F79" i="20"/>
  <c r="F78" i="20"/>
  <c r="F77" i="20"/>
  <c r="F76" i="20"/>
  <c r="F75" i="20"/>
  <c r="F74" i="20"/>
  <c r="F73" i="20"/>
  <c r="F72" i="20"/>
  <c r="F71" i="20"/>
  <c r="F70" i="20"/>
  <c r="F69" i="20"/>
  <c r="F68" i="20"/>
  <c r="F67" i="20"/>
  <c r="F66" i="20"/>
  <c r="F65" i="20"/>
  <c r="F64" i="20"/>
  <c r="F63" i="20"/>
  <c r="F62" i="20"/>
  <c r="F61" i="20"/>
  <c r="F60" i="20"/>
  <c r="F59" i="20"/>
  <c r="F58" i="20"/>
  <c r="F57" i="20"/>
  <c r="F56" i="20"/>
  <c r="F55" i="20"/>
  <c r="F54" i="20"/>
  <c r="F53" i="20"/>
  <c r="F52" i="20"/>
  <c r="F51" i="20"/>
  <c r="F50" i="20"/>
  <c r="F49" i="20"/>
  <c r="F48" i="20"/>
  <c r="F47" i="20"/>
  <c r="F46" i="20"/>
  <c r="F45" i="20"/>
  <c r="F44" i="20"/>
  <c r="F43" i="20"/>
  <c r="F42" i="20"/>
  <c r="F41" i="20"/>
  <c r="F40" i="20"/>
  <c r="F39" i="20"/>
  <c r="F38" i="20"/>
  <c r="F37" i="20"/>
  <c r="F36" i="20"/>
  <c r="F35" i="20"/>
  <c r="F34" i="20"/>
  <c r="F33" i="20"/>
  <c r="F32" i="20"/>
  <c r="F31" i="20"/>
  <c r="F30" i="20"/>
  <c r="F29" i="20"/>
  <c r="F28" i="20"/>
  <c r="F27" i="20"/>
  <c r="F26" i="20"/>
  <c r="F25" i="20"/>
  <c r="F24" i="20"/>
  <c r="F23" i="20"/>
  <c r="F22" i="20"/>
  <c r="F21" i="20"/>
  <c r="F20" i="20"/>
  <c r="F19" i="20"/>
  <c r="F18" i="20"/>
  <c r="F17" i="20"/>
  <c r="F16" i="20"/>
  <c r="F15" i="20"/>
  <c r="F14" i="20"/>
  <c r="F13" i="20"/>
  <c r="F12" i="20"/>
  <c r="F11" i="20"/>
  <c r="F10" i="20"/>
  <c r="F9" i="20"/>
  <c r="F8" i="20"/>
  <c r="F7" i="20"/>
  <c r="F6" i="20"/>
  <c r="F5" i="20"/>
  <c r="F4" i="20"/>
  <c r="F3" i="20"/>
  <c r="F2" i="20"/>
  <c r="K86" i="19"/>
  <c r="K85" i="19"/>
  <c r="K84" i="19"/>
  <c r="K83" i="19"/>
  <c r="K82" i="19"/>
  <c r="K81" i="19"/>
  <c r="K80" i="19"/>
  <c r="K79" i="19"/>
  <c r="K78" i="19"/>
  <c r="K77" i="19"/>
  <c r="K76" i="19"/>
  <c r="K75" i="19"/>
  <c r="K74" i="19"/>
  <c r="K73" i="19"/>
  <c r="K72" i="19"/>
  <c r="K71" i="19"/>
  <c r="K70" i="19"/>
  <c r="K69" i="19"/>
  <c r="K68" i="19"/>
  <c r="K67" i="19"/>
  <c r="K66" i="19"/>
  <c r="K65" i="19"/>
  <c r="K64" i="19"/>
  <c r="K63" i="19"/>
  <c r="K62" i="19"/>
  <c r="K61" i="19"/>
  <c r="K60" i="19"/>
  <c r="K59" i="19"/>
  <c r="K58" i="19"/>
  <c r="K57" i="19"/>
  <c r="K56" i="19"/>
  <c r="K55" i="19"/>
  <c r="K54" i="19"/>
  <c r="K53" i="19"/>
  <c r="K52" i="19"/>
  <c r="K51" i="19"/>
  <c r="K50" i="19"/>
  <c r="K49" i="19"/>
  <c r="K48" i="19"/>
  <c r="K47" i="19"/>
  <c r="K46" i="19"/>
  <c r="K45" i="19"/>
  <c r="K44" i="19"/>
  <c r="K43" i="19"/>
  <c r="K42" i="19"/>
  <c r="K41" i="19"/>
  <c r="K40" i="19"/>
  <c r="K39" i="19"/>
  <c r="K38" i="19"/>
  <c r="K37" i="19"/>
  <c r="K36" i="19"/>
  <c r="K35" i="19"/>
  <c r="K34" i="19"/>
  <c r="K33" i="19"/>
  <c r="K32" i="19"/>
  <c r="K31" i="19"/>
  <c r="K30" i="19"/>
  <c r="K29" i="19"/>
  <c r="K28" i="19"/>
  <c r="K27" i="19"/>
  <c r="K26" i="19"/>
  <c r="K25" i="19"/>
  <c r="K24" i="19"/>
  <c r="K23" i="19"/>
  <c r="K22" i="19"/>
  <c r="K21" i="19"/>
  <c r="K20" i="19"/>
  <c r="K19" i="19"/>
  <c r="K18" i="19"/>
  <c r="K17" i="19"/>
  <c r="K16" i="19"/>
  <c r="K15" i="19"/>
  <c r="K14" i="19"/>
  <c r="K13" i="19"/>
  <c r="K12" i="19"/>
  <c r="K11" i="19"/>
  <c r="K10" i="19"/>
  <c r="K9" i="19"/>
  <c r="K8" i="19"/>
  <c r="K7" i="19"/>
  <c r="K6" i="19"/>
  <c r="K5" i="19"/>
  <c r="K4" i="19"/>
  <c r="K3" i="19"/>
  <c r="K2" i="19"/>
  <c r="L86" i="15"/>
  <c r="L85" i="15"/>
  <c r="L84" i="15"/>
  <c r="L83" i="15"/>
  <c r="L82" i="15"/>
  <c r="L81" i="15"/>
  <c r="L80" i="15"/>
  <c r="L79" i="15"/>
  <c r="L78" i="15"/>
  <c r="L77" i="15"/>
  <c r="L76" i="15"/>
  <c r="L75" i="15"/>
  <c r="L74" i="15"/>
  <c r="L73" i="15"/>
  <c r="L72" i="15"/>
  <c r="L71" i="15"/>
  <c r="L70" i="15"/>
  <c r="L69" i="15"/>
  <c r="L68" i="15"/>
  <c r="L67" i="15"/>
  <c r="L66" i="15"/>
  <c r="L65" i="15"/>
  <c r="L64" i="15"/>
  <c r="L63" i="15"/>
  <c r="L62" i="15"/>
  <c r="L61" i="15"/>
  <c r="L60" i="15"/>
  <c r="L59" i="15"/>
  <c r="L58" i="15"/>
  <c r="L57" i="15"/>
  <c r="L56" i="15"/>
  <c r="L55" i="15"/>
  <c r="L54" i="15"/>
  <c r="L53" i="15"/>
  <c r="L52" i="15"/>
  <c r="L51" i="15"/>
  <c r="L50" i="15"/>
  <c r="L49" i="15"/>
  <c r="L48" i="15"/>
  <c r="L47" i="15"/>
  <c r="L46" i="15"/>
  <c r="L45" i="15"/>
  <c r="L44" i="15"/>
  <c r="L43" i="15"/>
  <c r="L42" i="15"/>
  <c r="L41" i="15"/>
  <c r="L40" i="15"/>
  <c r="L39" i="15"/>
  <c r="L38" i="15"/>
  <c r="L37" i="15"/>
  <c r="L36" i="15"/>
  <c r="L35" i="15"/>
  <c r="L34" i="15"/>
  <c r="L33" i="15"/>
  <c r="L32" i="15"/>
  <c r="L31" i="15"/>
  <c r="L30" i="15"/>
  <c r="L29" i="15"/>
  <c r="L28" i="15"/>
  <c r="L27" i="15"/>
  <c r="L26" i="15"/>
  <c r="L25" i="15"/>
  <c r="L24" i="15"/>
  <c r="L23" i="15"/>
  <c r="L22" i="15"/>
  <c r="L21" i="15"/>
  <c r="L20" i="15"/>
  <c r="L19" i="15"/>
  <c r="L18" i="15"/>
  <c r="L17" i="15"/>
  <c r="L16" i="15"/>
  <c r="L15" i="15"/>
  <c r="L14" i="15"/>
  <c r="L13" i="15"/>
  <c r="L12" i="15"/>
  <c r="L11" i="15"/>
  <c r="L10" i="15"/>
  <c r="L9" i="15"/>
  <c r="L8" i="15"/>
  <c r="L7" i="15"/>
  <c r="L6" i="15"/>
  <c r="L5" i="15"/>
  <c r="L4" i="15"/>
  <c r="L3" i="15"/>
  <c r="L2" i="15"/>
  <c r="T715" i="14"/>
  <c r="S715" i="14"/>
  <c r="T714" i="14"/>
  <c r="S714" i="14"/>
  <c r="T713" i="14"/>
  <c r="S713" i="14"/>
  <c r="T712" i="14"/>
  <c r="S712" i="14"/>
  <c r="T711" i="14"/>
  <c r="S711" i="14"/>
  <c r="T710" i="14"/>
  <c r="S710" i="14"/>
  <c r="T709" i="14"/>
  <c r="S709" i="14"/>
  <c r="T708" i="14"/>
  <c r="S708" i="14"/>
  <c r="T707" i="14"/>
  <c r="S707" i="14"/>
  <c r="T706" i="14"/>
  <c r="S706" i="14"/>
  <c r="T705" i="14"/>
  <c r="S705" i="14"/>
  <c r="T704" i="14"/>
  <c r="S704" i="14"/>
  <c r="T703" i="14"/>
  <c r="S703" i="14"/>
  <c r="T702" i="14"/>
  <c r="S702" i="14"/>
  <c r="T701" i="14"/>
  <c r="S701" i="14"/>
  <c r="T700" i="14"/>
  <c r="S700" i="14"/>
  <c r="T699" i="14"/>
  <c r="S699" i="14"/>
  <c r="T698" i="14"/>
  <c r="S698" i="14"/>
  <c r="T697" i="14"/>
  <c r="S697" i="14"/>
  <c r="T696" i="14"/>
  <c r="S696" i="14"/>
  <c r="T695" i="14"/>
  <c r="S695" i="14"/>
  <c r="T694" i="14"/>
  <c r="S694" i="14"/>
  <c r="T693" i="14"/>
  <c r="S693" i="14"/>
  <c r="T692" i="14"/>
  <c r="S692" i="14"/>
  <c r="T691" i="14"/>
  <c r="S691" i="14"/>
  <c r="T690" i="14"/>
  <c r="S690" i="14"/>
  <c r="T689" i="14"/>
  <c r="S689" i="14"/>
  <c r="T688" i="14"/>
  <c r="S688" i="14"/>
  <c r="T687" i="14"/>
  <c r="S687" i="14"/>
  <c r="T686" i="14"/>
  <c r="S686" i="14"/>
  <c r="T685" i="14"/>
  <c r="S685" i="14"/>
  <c r="T684" i="14"/>
  <c r="S684" i="14"/>
  <c r="T683" i="14"/>
  <c r="S683" i="14"/>
  <c r="T682" i="14"/>
  <c r="S682" i="14"/>
  <c r="T681" i="14"/>
  <c r="S681" i="14"/>
  <c r="T680" i="14"/>
  <c r="S680" i="14"/>
  <c r="T679" i="14"/>
  <c r="S679" i="14"/>
  <c r="T678" i="14"/>
  <c r="S678" i="14"/>
  <c r="T677" i="14"/>
  <c r="S677" i="14"/>
  <c r="T676" i="14"/>
  <c r="S676" i="14"/>
  <c r="T675" i="14"/>
  <c r="S675" i="14"/>
  <c r="T674" i="14"/>
  <c r="S674" i="14"/>
  <c r="T673" i="14"/>
  <c r="S673" i="14"/>
  <c r="T672" i="14"/>
  <c r="S672" i="14"/>
  <c r="T671" i="14"/>
  <c r="S671" i="14"/>
  <c r="T670" i="14"/>
  <c r="S670" i="14"/>
  <c r="T669" i="14"/>
  <c r="S669" i="14"/>
  <c r="T668" i="14"/>
  <c r="S668" i="14"/>
  <c r="T667" i="14"/>
  <c r="S667" i="14"/>
  <c r="T666" i="14"/>
  <c r="S666" i="14"/>
  <c r="T665" i="14"/>
  <c r="S665" i="14"/>
  <c r="T664" i="14"/>
  <c r="S664" i="14"/>
  <c r="T663" i="14"/>
  <c r="S663" i="14"/>
  <c r="T662" i="14"/>
  <c r="S662" i="14"/>
  <c r="T661" i="14"/>
  <c r="S661" i="14"/>
  <c r="T660" i="14"/>
  <c r="S660" i="14"/>
  <c r="T659" i="14"/>
  <c r="S659" i="14"/>
  <c r="T658" i="14"/>
  <c r="S658" i="14"/>
  <c r="T657" i="14"/>
  <c r="S657" i="14"/>
  <c r="T656" i="14"/>
  <c r="S656" i="14"/>
  <c r="T655" i="14"/>
  <c r="S655" i="14"/>
  <c r="T654" i="14"/>
  <c r="S654" i="14"/>
  <c r="T653" i="14"/>
  <c r="S653" i="14"/>
  <c r="T652" i="14"/>
  <c r="S652" i="14"/>
  <c r="T651" i="14"/>
  <c r="S651" i="14"/>
  <c r="T650" i="14"/>
  <c r="S650" i="14"/>
  <c r="T649" i="14"/>
  <c r="S649" i="14"/>
  <c r="T648" i="14"/>
  <c r="S648" i="14"/>
  <c r="T647" i="14"/>
  <c r="S647" i="14"/>
  <c r="T646" i="14"/>
  <c r="S646" i="14"/>
  <c r="T645" i="14"/>
  <c r="S645" i="14"/>
  <c r="T644" i="14"/>
  <c r="S644" i="14"/>
  <c r="T643" i="14"/>
  <c r="S643" i="14"/>
  <c r="T642" i="14"/>
  <c r="S642" i="14"/>
  <c r="T641" i="14"/>
  <c r="S641" i="14"/>
  <c r="T640" i="14"/>
  <c r="S640" i="14"/>
  <c r="T639" i="14"/>
  <c r="S639" i="14"/>
  <c r="T638" i="14"/>
  <c r="S638" i="14"/>
  <c r="T637" i="14"/>
  <c r="S637" i="14"/>
  <c r="T636" i="14"/>
  <c r="S636" i="14"/>
  <c r="T635" i="14"/>
  <c r="S635" i="14"/>
  <c r="T634" i="14"/>
  <c r="S634" i="14"/>
  <c r="T633" i="14"/>
  <c r="S633" i="14"/>
  <c r="T632" i="14"/>
  <c r="S632" i="14"/>
  <c r="T631" i="14"/>
  <c r="S631" i="14"/>
  <c r="T630" i="14"/>
  <c r="S630" i="14"/>
  <c r="T629" i="14"/>
  <c r="S629" i="14"/>
  <c r="T628" i="14"/>
  <c r="S628" i="14"/>
  <c r="T627" i="14"/>
  <c r="S627" i="14"/>
  <c r="T626" i="14"/>
  <c r="S626" i="14"/>
  <c r="T625" i="14"/>
  <c r="S625" i="14"/>
  <c r="T624" i="14"/>
  <c r="S624" i="14"/>
  <c r="T623" i="14"/>
  <c r="S623" i="14"/>
  <c r="T622" i="14"/>
  <c r="S622" i="14"/>
  <c r="T621" i="14"/>
  <c r="S621" i="14"/>
  <c r="T620" i="14"/>
  <c r="S620" i="14"/>
  <c r="T619" i="14"/>
  <c r="S619" i="14"/>
  <c r="T618" i="14"/>
  <c r="S618" i="14"/>
  <c r="T617" i="14"/>
  <c r="S617" i="14"/>
  <c r="T616" i="14"/>
  <c r="S616" i="14"/>
  <c r="T615" i="14"/>
  <c r="S615" i="14"/>
  <c r="T614" i="14"/>
  <c r="S614" i="14"/>
  <c r="T613" i="14"/>
  <c r="S613" i="14"/>
  <c r="T612" i="14"/>
  <c r="S612" i="14"/>
  <c r="T611" i="14"/>
  <c r="S611" i="14"/>
  <c r="T610" i="14"/>
  <c r="S610" i="14"/>
  <c r="T609" i="14"/>
  <c r="S609" i="14"/>
  <c r="T608" i="14"/>
  <c r="S608" i="14"/>
  <c r="T607" i="14"/>
  <c r="S607" i="14"/>
  <c r="T606" i="14"/>
  <c r="S606" i="14"/>
  <c r="T605" i="14"/>
  <c r="S605" i="14"/>
  <c r="T604" i="14"/>
  <c r="S604" i="14"/>
  <c r="T603" i="14"/>
  <c r="S603" i="14"/>
  <c r="T602" i="14"/>
  <c r="S602" i="14"/>
  <c r="T601" i="14"/>
  <c r="S601" i="14"/>
  <c r="T600" i="14"/>
  <c r="S600" i="14"/>
  <c r="T599" i="14"/>
  <c r="S599" i="14"/>
  <c r="T598" i="14"/>
  <c r="S598" i="14"/>
  <c r="T597" i="14"/>
  <c r="S597" i="14"/>
  <c r="T596" i="14"/>
  <c r="S596" i="14"/>
  <c r="T595" i="14"/>
  <c r="S595" i="14"/>
  <c r="T594" i="14"/>
  <c r="S594" i="14"/>
  <c r="T593" i="14"/>
  <c r="S593" i="14"/>
  <c r="T592" i="14"/>
  <c r="S592" i="14"/>
  <c r="T591" i="14"/>
  <c r="S591" i="14"/>
  <c r="T590" i="14"/>
  <c r="S590" i="14"/>
  <c r="T589" i="14"/>
  <c r="S589" i="14"/>
  <c r="T588" i="14"/>
  <c r="S588" i="14"/>
  <c r="T587" i="14"/>
  <c r="S587" i="14"/>
  <c r="T586" i="14"/>
  <c r="S586" i="14"/>
  <c r="T585" i="14"/>
  <c r="S585" i="14"/>
  <c r="T584" i="14"/>
  <c r="S584" i="14"/>
  <c r="T583" i="14"/>
  <c r="S583" i="14"/>
  <c r="T582" i="14"/>
  <c r="S582" i="14"/>
  <c r="T581" i="14"/>
  <c r="S581" i="14"/>
  <c r="T580" i="14"/>
  <c r="S580" i="14"/>
  <c r="T579" i="14"/>
  <c r="S579" i="14"/>
  <c r="T578" i="14"/>
  <c r="S578" i="14"/>
  <c r="T577" i="14"/>
  <c r="S577" i="14"/>
  <c r="T576" i="14"/>
  <c r="S576" i="14"/>
  <c r="T575" i="14"/>
  <c r="S575" i="14"/>
  <c r="T574" i="14"/>
  <c r="S574" i="14"/>
  <c r="T573" i="14"/>
  <c r="S573" i="14"/>
  <c r="T572" i="14"/>
  <c r="S572" i="14"/>
  <c r="T571" i="14"/>
  <c r="S571" i="14"/>
  <c r="T570" i="14"/>
  <c r="S570" i="14"/>
  <c r="T569" i="14"/>
  <c r="S569" i="14"/>
  <c r="T568" i="14"/>
  <c r="S568" i="14"/>
  <c r="T567" i="14"/>
  <c r="S567" i="14"/>
  <c r="T566" i="14"/>
  <c r="S566" i="14"/>
  <c r="T565" i="14"/>
  <c r="S565" i="14"/>
  <c r="T564" i="14"/>
  <c r="S564" i="14"/>
  <c r="T563" i="14"/>
  <c r="S563" i="14"/>
  <c r="T562" i="14"/>
  <c r="S562" i="14"/>
  <c r="T561" i="14"/>
  <c r="S561" i="14"/>
  <c r="T560" i="14"/>
  <c r="S560" i="14"/>
  <c r="T559" i="14"/>
  <c r="S559" i="14"/>
  <c r="T558" i="14"/>
  <c r="S558" i="14"/>
  <c r="T557" i="14"/>
  <c r="S557" i="14"/>
  <c r="T556" i="14"/>
  <c r="S556" i="14"/>
  <c r="T555" i="14"/>
  <c r="S555" i="14"/>
  <c r="T554" i="14"/>
  <c r="S554" i="14"/>
  <c r="T553" i="14"/>
  <c r="S553" i="14"/>
  <c r="T552" i="14"/>
  <c r="S552" i="14"/>
  <c r="T551" i="14"/>
  <c r="S551" i="14"/>
  <c r="T550" i="14"/>
  <c r="S550" i="14"/>
  <c r="T549" i="14"/>
  <c r="S549" i="14"/>
  <c r="T548" i="14"/>
  <c r="S548" i="14"/>
  <c r="T547" i="14"/>
  <c r="S547" i="14"/>
  <c r="T546" i="14"/>
  <c r="S546" i="14"/>
  <c r="T545" i="14"/>
  <c r="S545" i="14"/>
  <c r="T544" i="14"/>
  <c r="S544" i="14"/>
  <c r="T543" i="14"/>
  <c r="S543" i="14"/>
  <c r="T542" i="14"/>
  <c r="S542" i="14"/>
  <c r="T541" i="14"/>
  <c r="S541" i="14"/>
  <c r="T540" i="14"/>
  <c r="S540" i="14"/>
  <c r="T539" i="14"/>
  <c r="S539" i="14"/>
  <c r="T538" i="14"/>
  <c r="S538" i="14"/>
  <c r="T537" i="14"/>
  <c r="S537" i="14"/>
  <c r="T536" i="14"/>
  <c r="S536" i="14"/>
  <c r="T535" i="14"/>
  <c r="S535" i="14"/>
  <c r="T534" i="14"/>
  <c r="S534" i="14"/>
  <c r="T533" i="14"/>
  <c r="S533" i="14"/>
  <c r="T532" i="14"/>
  <c r="S532" i="14"/>
  <c r="T531" i="14"/>
  <c r="S531" i="14"/>
  <c r="T530" i="14"/>
  <c r="S530" i="14"/>
  <c r="T529" i="14"/>
  <c r="S529" i="14"/>
  <c r="T528" i="14"/>
  <c r="S528" i="14"/>
  <c r="T527" i="14"/>
  <c r="S527" i="14"/>
  <c r="T526" i="14"/>
  <c r="S526" i="14"/>
  <c r="T525" i="14"/>
  <c r="S525" i="14"/>
  <c r="T524" i="14"/>
  <c r="S524" i="14"/>
  <c r="T523" i="14"/>
  <c r="S523" i="14"/>
  <c r="T522" i="14"/>
  <c r="S522" i="14"/>
  <c r="T521" i="14"/>
  <c r="S521" i="14"/>
  <c r="T520" i="14"/>
  <c r="S520" i="14"/>
  <c r="T519" i="14"/>
  <c r="S519" i="14"/>
  <c r="T518" i="14"/>
  <c r="S518" i="14"/>
  <c r="T517" i="14"/>
  <c r="S517" i="14"/>
  <c r="T516" i="14"/>
  <c r="S516" i="14"/>
  <c r="T515" i="14"/>
  <c r="S515" i="14"/>
  <c r="T514" i="14"/>
  <c r="S514" i="14"/>
  <c r="T513" i="14"/>
  <c r="S513" i="14"/>
  <c r="T512" i="14"/>
  <c r="S512" i="14"/>
  <c r="T511" i="14"/>
  <c r="S511" i="14"/>
  <c r="T510" i="14"/>
  <c r="S510" i="14"/>
  <c r="T509" i="14"/>
  <c r="S509" i="14"/>
  <c r="T508" i="14"/>
  <c r="S508" i="14"/>
  <c r="T507" i="14"/>
  <c r="S507" i="14"/>
  <c r="T506" i="14"/>
  <c r="S506" i="14"/>
  <c r="T505" i="14"/>
  <c r="S505" i="14"/>
  <c r="T504" i="14"/>
  <c r="S504" i="14"/>
  <c r="T503" i="14"/>
  <c r="S503" i="14"/>
  <c r="T502" i="14"/>
  <c r="S502" i="14"/>
  <c r="T501" i="14"/>
  <c r="S501" i="14"/>
  <c r="T500" i="14"/>
  <c r="S500" i="14"/>
  <c r="T499" i="14"/>
  <c r="S499" i="14"/>
  <c r="T498" i="14"/>
  <c r="S498" i="14"/>
  <c r="T497" i="14"/>
  <c r="S497" i="14"/>
  <c r="T496" i="14"/>
  <c r="S496" i="14"/>
  <c r="T495" i="14"/>
  <c r="S495" i="14"/>
  <c r="T494" i="14"/>
  <c r="S494" i="14"/>
  <c r="T493" i="14"/>
  <c r="S493" i="14"/>
  <c r="T492" i="14"/>
  <c r="S492" i="14"/>
  <c r="T491" i="14"/>
  <c r="S491" i="14"/>
  <c r="T490" i="14"/>
  <c r="S490" i="14"/>
  <c r="T489" i="14"/>
  <c r="S489" i="14"/>
  <c r="T488" i="14"/>
  <c r="S488" i="14"/>
  <c r="T487" i="14"/>
  <c r="S487" i="14"/>
  <c r="T486" i="14"/>
  <c r="S486" i="14"/>
  <c r="T485" i="14"/>
  <c r="S485" i="14"/>
  <c r="T484" i="14"/>
  <c r="S484" i="14"/>
  <c r="T483" i="14"/>
  <c r="S483" i="14"/>
  <c r="T482" i="14"/>
  <c r="S482" i="14"/>
  <c r="T481" i="14"/>
  <c r="S481" i="14"/>
  <c r="T480" i="14"/>
  <c r="S480" i="14"/>
  <c r="T479" i="14"/>
  <c r="S479" i="14"/>
  <c r="T478" i="14"/>
  <c r="S478" i="14"/>
  <c r="T477" i="14"/>
  <c r="S477" i="14"/>
  <c r="T476" i="14"/>
  <c r="S476" i="14"/>
  <c r="T475" i="14"/>
  <c r="S475" i="14"/>
  <c r="T474" i="14"/>
  <c r="S474" i="14"/>
  <c r="T473" i="14"/>
  <c r="S473" i="14"/>
  <c r="T472" i="14"/>
  <c r="S472" i="14"/>
  <c r="T471" i="14"/>
  <c r="S471" i="14"/>
  <c r="T470" i="14"/>
  <c r="S470" i="14"/>
  <c r="T469" i="14"/>
  <c r="S469" i="14"/>
  <c r="T468" i="14"/>
  <c r="S468" i="14"/>
  <c r="T467" i="14"/>
  <c r="S467" i="14"/>
  <c r="T466" i="14"/>
  <c r="S466" i="14"/>
  <c r="T465" i="14"/>
  <c r="S465" i="14"/>
  <c r="T464" i="14"/>
  <c r="S464" i="14"/>
  <c r="T463" i="14"/>
  <c r="S463" i="14"/>
  <c r="T462" i="14"/>
  <c r="S462" i="14"/>
  <c r="T461" i="14"/>
  <c r="S461" i="14"/>
  <c r="T460" i="14"/>
  <c r="S460" i="14"/>
  <c r="T459" i="14"/>
  <c r="S459" i="14"/>
  <c r="T458" i="14"/>
  <c r="S458" i="14"/>
  <c r="T457" i="14"/>
  <c r="S457" i="14"/>
  <c r="T456" i="14"/>
  <c r="S456" i="14"/>
  <c r="T455" i="14"/>
  <c r="S455" i="14"/>
  <c r="T454" i="14"/>
  <c r="S454" i="14"/>
  <c r="T453" i="14"/>
  <c r="S453" i="14"/>
  <c r="T452" i="14"/>
  <c r="S452" i="14"/>
  <c r="T451" i="14"/>
  <c r="S451" i="14"/>
  <c r="T450" i="14"/>
  <c r="S450" i="14"/>
  <c r="T449" i="14"/>
  <c r="S449" i="14"/>
  <c r="T448" i="14"/>
  <c r="S448" i="14"/>
  <c r="T447" i="14"/>
  <c r="S447" i="14"/>
  <c r="T446" i="14"/>
  <c r="S446" i="14"/>
  <c r="T445" i="14"/>
  <c r="S445" i="14"/>
  <c r="T444" i="14"/>
  <c r="S444" i="14"/>
  <c r="T443" i="14"/>
  <c r="S443" i="14"/>
  <c r="T442" i="14"/>
  <c r="S442" i="14"/>
  <c r="T441" i="14"/>
  <c r="S441" i="14"/>
  <c r="T440" i="14"/>
  <c r="S440" i="14"/>
  <c r="T439" i="14"/>
  <c r="S439" i="14"/>
  <c r="T438" i="14"/>
  <c r="S438" i="14"/>
  <c r="T437" i="14"/>
  <c r="S437" i="14"/>
  <c r="T436" i="14"/>
  <c r="S436" i="14"/>
  <c r="T435" i="14"/>
  <c r="S435" i="14"/>
  <c r="T434" i="14"/>
  <c r="S434" i="14"/>
  <c r="T433" i="14"/>
  <c r="S433" i="14"/>
  <c r="T432" i="14"/>
  <c r="S432" i="14"/>
  <c r="T431" i="14"/>
  <c r="S431" i="14"/>
  <c r="T430" i="14"/>
  <c r="S430" i="14"/>
  <c r="T429" i="14"/>
  <c r="S429" i="14"/>
  <c r="T428" i="14"/>
  <c r="S428" i="14"/>
  <c r="T427" i="14"/>
  <c r="S427" i="14"/>
  <c r="T426" i="14"/>
  <c r="S426" i="14"/>
  <c r="T425" i="14"/>
  <c r="S425" i="14"/>
  <c r="T424" i="14"/>
  <c r="S424" i="14"/>
  <c r="T423" i="14"/>
  <c r="S423" i="14"/>
  <c r="T422" i="14"/>
  <c r="S422" i="14"/>
  <c r="T421" i="14"/>
  <c r="S421" i="14"/>
  <c r="T420" i="14"/>
  <c r="S420" i="14"/>
  <c r="T419" i="14"/>
  <c r="S419" i="14"/>
  <c r="T418" i="14"/>
  <c r="S418" i="14"/>
  <c r="T417" i="14"/>
  <c r="S417" i="14"/>
  <c r="T416" i="14"/>
  <c r="S416" i="14"/>
  <c r="T415" i="14"/>
  <c r="S415" i="14"/>
  <c r="T414" i="14"/>
  <c r="S414" i="14"/>
  <c r="T413" i="14"/>
  <c r="S413" i="14"/>
  <c r="T412" i="14"/>
  <c r="S412" i="14"/>
  <c r="T411" i="14"/>
  <c r="S411" i="14"/>
  <c r="T410" i="14"/>
  <c r="S410" i="14"/>
  <c r="T409" i="14"/>
  <c r="S409" i="14"/>
  <c r="T408" i="14"/>
  <c r="S408" i="14"/>
  <c r="T407" i="14"/>
  <c r="S407" i="14"/>
  <c r="T406" i="14"/>
  <c r="S406" i="14"/>
  <c r="T405" i="14"/>
  <c r="S405" i="14"/>
  <c r="T404" i="14"/>
  <c r="S404" i="14"/>
  <c r="T403" i="14"/>
  <c r="S403" i="14"/>
  <c r="T402" i="14"/>
  <c r="S402" i="14"/>
  <c r="T401" i="14"/>
  <c r="S401" i="14"/>
  <c r="T400" i="14"/>
  <c r="S400" i="14"/>
  <c r="T399" i="14"/>
  <c r="S399" i="14"/>
  <c r="T398" i="14"/>
  <c r="S398" i="14"/>
  <c r="T397" i="14"/>
  <c r="S397" i="14"/>
  <c r="T396" i="14"/>
  <c r="S396" i="14"/>
  <c r="T395" i="14"/>
  <c r="S395" i="14"/>
  <c r="T394" i="14"/>
  <c r="S394" i="14"/>
  <c r="T393" i="14"/>
  <c r="S393" i="14"/>
  <c r="T392" i="14"/>
  <c r="S392" i="14"/>
  <c r="T391" i="14"/>
  <c r="S391" i="14"/>
  <c r="T390" i="14"/>
  <c r="S390" i="14"/>
  <c r="T389" i="14"/>
  <c r="S389" i="14"/>
  <c r="T388" i="14"/>
  <c r="S388" i="14"/>
  <c r="T387" i="14"/>
  <c r="S387" i="14"/>
  <c r="T386" i="14"/>
  <c r="S386" i="14"/>
  <c r="T385" i="14"/>
  <c r="S385" i="14"/>
  <c r="T384" i="14"/>
  <c r="S384" i="14"/>
  <c r="T383" i="14"/>
  <c r="S383" i="14"/>
  <c r="T382" i="14"/>
  <c r="S382" i="14"/>
  <c r="T381" i="14"/>
  <c r="S381" i="14"/>
  <c r="T380" i="14"/>
  <c r="S380" i="14"/>
  <c r="T379" i="14"/>
  <c r="S379" i="14"/>
  <c r="T378" i="14"/>
  <c r="S378" i="14"/>
  <c r="T377" i="14"/>
  <c r="S377" i="14"/>
  <c r="T376" i="14"/>
  <c r="S376" i="14"/>
  <c r="T375" i="14"/>
  <c r="S375" i="14"/>
  <c r="T374" i="14"/>
  <c r="S374" i="14"/>
  <c r="T373" i="14"/>
  <c r="S373" i="14"/>
  <c r="T372" i="14"/>
  <c r="S372" i="14"/>
  <c r="T371" i="14"/>
  <c r="S371" i="14"/>
  <c r="T370" i="14"/>
  <c r="S370" i="14"/>
  <c r="T369" i="14"/>
  <c r="S369" i="14"/>
  <c r="T368" i="14"/>
  <c r="S368" i="14"/>
  <c r="T367" i="14"/>
  <c r="S367" i="14"/>
  <c r="T366" i="14"/>
  <c r="S366" i="14"/>
  <c r="T365" i="14"/>
  <c r="S365" i="14"/>
  <c r="T364" i="14"/>
  <c r="S364" i="14"/>
  <c r="T363" i="14"/>
  <c r="S363" i="14"/>
  <c r="T362" i="14"/>
  <c r="S362" i="14"/>
  <c r="T361" i="14"/>
  <c r="S361" i="14"/>
  <c r="T360" i="14"/>
  <c r="S360" i="14"/>
  <c r="T359" i="14"/>
  <c r="S359" i="14"/>
  <c r="T358" i="14"/>
  <c r="S358" i="14"/>
  <c r="T357" i="14"/>
  <c r="S357" i="14"/>
  <c r="T356" i="14"/>
  <c r="S356" i="14"/>
  <c r="T355" i="14"/>
  <c r="S355" i="14"/>
  <c r="T354" i="14"/>
  <c r="S354" i="14"/>
  <c r="T353" i="14"/>
  <c r="S353" i="14"/>
  <c r="T352" i="14"/>
  <c r="S352" i="14"/>
  <c r="T351" i="14"/>
  <c r="S351" i="14"/>
  <c r="T350" i="14"/>
  <c r="S350" i="14"/>
  <c r="T349" i="14"/>
  <c r="S349" i="14"/>
  <c r="T348" i="14"/>
  <c r="S348" i="14"/>
  <c r="T347" i="14"/>
  <c r="S347" i="14"/>
  <c r="T346" i="14"/>
  <c r="S346" i="14"/>
  <c r="T345" i="14"/>
  <c r="S345" i="14"/>
  <c r="T344" i="14"/>
  <c r="S344" i="14"/>
  <c r="T343" i="14"/>
  <c r="S343" i="14"/>
  <c r="T342" i="14"/>
  <c r="S342" i="14"/>
  <c r="T341" i="14"/>
  <c r="S341" i="14"/>
  <c r="T340" i="14"/>
  <c r="S340" i="14"/>
  <c r="T339" i="14"/>
  <c r="S339" i="14"/>
  <c r="T338" i="14"/>
  <c r="S338" i="14"/>
  <c r="T337" i="14"/>
  <c r="S337" i="14"/>
  <c r="T336" i="14"/>
  <c r="S336" i="14"/>
  <c r="T335" i="14"/>
  <c r="S335" i="14"/>
  <c r="T334" i="14"/>
  <c r="S334" i="14"/>
  <c r="T333" i="14"/>
  <c r="S333" i="14"/>
  <c r="T332" i="14"/>
  <c r="S332" i="14"/>
  <c r="T331" i="14"/>
  <c r="S331" i="14"/>
  <c r="T330" i="14"/>
  <c r="S330" i="14"/>
  <c r="T329" i="14"/>
  <c r="S329" i="14"/>
  <c r="T328" i="14"/>
  <c r="S328" i="14"/>
  <c r="T327" i="14"/>
  <c r="S327" i="14"/>
  <c r="T326" i="14"/>
  <c r="S326" i="14"/>
  <c r="T325" i="14"/>
  <c r="S325" i="14"/>
  <c r="T324" i="14"/>
  <c r="S324" i="14"/>
  <c r="T323" i="14"/>
  <c r="S323" i="14"/>
  <c r="T322" i="14"/>
  <c r="S322" i="14"/>
  <c r="T321" i="14"/>
  <c r="S321" i="14"/>
  <c r="T320" i="14"/>
  <c r="S320" i="14"/>
  <c r="T319" i="14"/>
  <c r="S319" i="14"/>
  <c r="T318" i="14"/>
  <c r="S318" i="14"/>
  <c r="T317" i="14"/>
  <c r="S317" i="14"/>
  <c r="T316" i="14"/>
  <c r="S316" i="14"/>
  <c r="T315" i="14"/>
  <c r="S315" i="14"/>
  <c r="T314" i="14"/>
  <c r="S314" i="14"/>
  <c r="T313" i="14"/>
  <c r="S313" i="14"/>
  <c r="T312" i="14"/>
  <c r="S312" i="14"/>
  <c r="T311" i="14"/>
  <c r="S311" i="14"/>
  <c r="T310" i="14"/>
  <c r="S310" i="14"/>
  <c r="T309" i="14"/>
  <c r="S309" i="14"/>
  <c r="T308" i="14"/>
  <c r="S308" i="14"/>
  <c r="T307" i="14"/>
  <c r="S307" i="14"/>
  <c r="T306" i="14"/>
  <c r="S306" i="14"/>
  <c r="T305" i="14"/>
  <c r="S305" i="14"/>
  <c r="T304" i="14"/>
  <c r="S304" i="14"/>
  <c r="T303" i="14"/>
  <c r="S303" i="14"/>
  <c r="T302" i="14"/>
  <c r="S302" i="14"/>
  <c r="T301" i="14"/>
  <c r="S301" i="14"/>
  <c r="T300" i="14"/>
  <c r="S300" i="14"/>
  <c r="T299" i="14"/>
  <c r="S299" i="14"/>
  <c r="T298" i="14"/>
  <c r="S298" i="14"/>
  <c r="T297" i="14"/>
  <c r="S297" i="14"/>
  <c r="T296" i="14"/>
  <c r="S296" i="14"/>
  <c r="T295" i="14"/>
  <c r="S295" i="14"/>
  <c r="T294" i="14"/>
  <c r="S294" i="14"/>
  <c r="T293" i="14"/>
  <c r="S293" i="14"/>
  <c r="T292" i="14"/>
  <c r="S292" i="14"/>
  <c r="T291" i="14"/>
  <c r="S291" i="14"/>
  <c r="T290" i="14"/>
  <c r="S290" i="14"/>
  <c r="T289" i="14"/>
  <c r="S289" i="14"/>
  <c r="T288" i="14"/>
  <c r="S288" i="14"/>
  <c r="T287" i="14"/>
  <c r="S287" i="14"/>
  <c r="T286" i="14"/>
  <c r="S286" i="14"/>
  <c r="T285" i="14"/>
  <c r="S285" i="14"/>
  <c r="T284" i="14"/>
  <c r="S284" i="14"/>
  <c r="T283" i="14"/>
  <c r="S283" i="14"/>
  <c r="T282" i="14"/>
  <c r="S282" i="14"/>
  <c r="T281" i="14"/>
  <c r="S281" i="14"/>
  <c r="T280" i="14"/>
  <c r="S280" i="14"/>
  <c r="T279" i="14"/>
  <c r="S279" i="14"/>
  <c r="T278" i="14"/>
  <c r="S278" i="14"/>
  <c r="T277" i="14"/>
  <c r="S277" i="14"/>
  <c r="T276" i="14"/>
  <c r="S276" i="14"/>
  <c r="T275" i="14"/>
  <c r="S275" i="14"/>
  <c r="T274" i="14"/>
  <c r="S274" i="14"/>
  <c r="T273" i="14"/>
  <c r="S273" i="14"/>
  <c r="T272" i="14"/>
  <c r="S272" i="14"/>
  <c r="T271" i="14"/>
  <c r="S271" i="14"/>
  <c r="T270" i="14"/>
  <c r="S270" i="14"/>
  <c r="T269" i="14"/>
  <c r="S269" i="14"/>
  <c r="T268" i="14"/>
  <c r="S268" i="14"/>
  <c r="T267" i="14"/>
  <c r="S267" i="14"/>
  <c r="T266" i="14"/>
  <c r="S266" i="14"/>
  <c r="T265" i="14"/>
  <c r="S265" i="14"/>
  <c r="T264" i="14"/>
  <c r="S264" i="14"/>
  <c r="T263" i="14"/>
  <c r="S263" i="14"/>
  <c r="T262" i="14"/>
  <c r="S262" i="14"/>
  <c r="T261" i="14"/>
  <c r="S261" i="14"/>
  <c r="T260" i="14"/>
  <c r="S260" i="14"/>
  <c r="T259" i="14"/>
  <c r="S259" i="14"/>
  <c r="T258" i="14"/>
  <c r="S258" i="14"/>
  <c r="T257" i="14"/>
  <c r="S257" i="14"/>
  <c r="T256" i="14"/>
  <c r="S256" i="14"/>
  <c r="T255" i="14"/>
  <c r="S255" i="14"/>
  <c r="T254" i="14"/>
  <c r="S254" i="14"/>
  <c r="T253" i="14"/>
  <c r="S253" i="14"/>
  <c r="T252" i="14"/>
  <c r="S252" i="14"/>
  <c r="T251" i="14"/>
  <c r="S251" i="14"/>
  <c r="T250" i="14"/>
  <c r="S250" i="14"/>
  <c r="T249" i="14"/>
  <c r="S249" i="14"/>
  <c r="T248" i="14"/>
  <c r="S248" i="14"/>
  <c r="T247" i="14"/>
  <c r="S247" i="14"/>
  <c r="T246" i="14"/>
  <c r="S246" i="14"/>
  <c r="T245" i="14"/>
  <c r="S245" i="14"/>
  <c r="T244" i="14"/>
  <c r="S244" i="14"/>
  <c r="T243" i="14"/>
  <c r="S243" i="14"/>
  <c r="T242" i="14"/>
  <c r="S242" i="14"/>
  <c r="T241" i="14"/>
  <c r="S241" i="14"/>
  <c r="T240" i="14"/>
  <c r="S240" i="14"/>
  <c r="T239" i="14"/>
  <c r="S239" i="14"/>
  <c r="T238" i="14"/>
  <c r="S238" i="14"/>
  <c r="T237" i="14"/>
  <c r="S237" i="14"/>
  <c r="T236" i="14"/>
  <c r="S236" i="14"/>
  <c r="T235" i="14"/>
  <c r="S235" i="14"/>
  <c r="T234" i="14"/>
  <c r="S234" i="14"/>
  <c r="T233" i="14"/>
  <c r="S233" i="14"/>
  <c r="T232" i="14"/>
  <c r="S232" i="14"/>
  <c r="T231" i="14"/>
  <c r="S231" i="14"/>
  <c r="T230" i="14"/>
  <c r="S230" i="14"/>
  <c r="T229" i="14"/>
  <c r="S229" i="14"/>
  <c r="T228" i="14"/>
  <c r="S228" i="14"/>
  <c r="T227" i="14"/>
  <c r="S227" i="14"/>
  <c r="T226" i="14"/>
  <c r="S226" i="14"/>
  <c r="T225" i="14"/>
  <c r="S225" i="14"/>
  <c r="T224" i="14"/>
  <c r="S224" i="14"/>
  <c r="T223" i="14"/>
  <c r="S223" i="14"/>
  <c r="T222" i="14"/>
  <c r="S222" i="14"/>
  <c r="T221" i="14"/>
  <c r="S221" i="14"/>
  <c r="T220" i="14"/>
  <c r="S220" i="14"/>
  <c r="T219" i="14"/>
  <c r="S219" i="14"/>
  <c r="T218" i="14"/>
  <c r="S218" i="14"/>
  <c r="T217" i="14"/>
  <c r="S217" i="14"/>
  <c r="T216" i="14"/>
  <c r="S216" i="14"/>
  <c r="T215" i="14"/>
  <c r="S215" i="14"/>
  <c r="T214" i="14"/>
  <c r="S214" i="14"/>
  <c r="T213" i="14"/>
  <c r="S213" i="14"/>
  <c r="T212" i="14"/>
  <c r="S212" i="14"/>
  <c r="T211" i="14"/>
  <c r="S211" i="14"/>
  <c r="T210" i="14"/>
  <c r="S210" i="14"/>
  <c r="T209" i="14"/>
  <c r="S209" i="14"/>
  <c r="T208" i="14"/>
  <c r="S208" i="14"/>
  <c r="T207" i="14"/>
  <c r="S207" i="14"/>
  <c r="T206" i="14"/>
  <c r="S206" i="14"/>
  <c r="T205" i="14"/>
  <c r="S205" i="14"/>
  <c r="T204" i="14"/>
  <c r="S204" i="14"/>
  <c r="T203" i="14"/>
  <c r="S203" i="14"/>
  <c r="T202" i="14"/>
  <c r="S202" i="14"/>
  <c r="T201" i="14"/>
  <c r="S201" i="14"/>
  <c r="T200" i="14"/>
  <c r="S200" i="14"/>
  <c r="T199" i="14"/>
  <c r="S199" i="14"/>
  <c r="T198" i="14"/>
  <c r="S198" i="14"/>
  <c r="T197" i="14"/>
  <c r="S197" i="14"/>
  <c r="T196" i="14"/>
  <c r="S196" i="14"/>
  <c r="T195" i="14"/>
  <c r="S195" i="14"/>
  <c r="T194" i="14"/>
  <c r="S194" i="14"/>
  <c r="T193" i="14"/>
  <c r="S193" i="14"/>
  <c r="T192" i="14"/>
  <c r="S192" i="14"/>
  <c r="T191" i="14"/>
  <c r="S191" i="14"/>
  <c r="T190" i="14"/>
  <c r="S190" i="14"/>
  <c r="T189" i="14"/>
  <c r="S189" i="14"/>
  <c r="T188" i="14"/>
  <c r="S188" i="14"/>
  <c r="T187" i="14"/>
  <c r="S187" i="14"/>
  <c r="T186" i="14"/>
  <c r="S186" i="14"/>
  <c r="T185" i="14"/>
  <c r="S185" i="14"/>
  <c r="T184" i="14"/>
  <c r="S184" i="14"/>
  <c r="T183" i="14"/>
  <c r="S183" i="14"/>
  <c r="T182" i="14"/>
  <c r="S182" i="14"/>
  <c r="T181" i="14"/>
  <c r="S181" i="14"/>
  <c r="T180" i="14"/>
  <c r="S180" i="14"/>
  <c r="T179" i="14"/>
  <c r="S179" i="14"/>
  <c r="T178" i="14"/>
  <c r="S178" i="14"/>
  <c r="T177" i="14"/>
  <c r="S177" i="14"/>
  <c r="T176" i="14"/>
  <c r="S176" i="14"/>
  <c r="T175" i="14"/>
  <c r="S175" i="14"/>
  <c r="T174" i="14"/>
  <c r="S174" i="14"/>
  <c r="T173" i="14"/>
  <c r="S173" i="14"/>
  <c r="T172" i="14"/>
  <c r="S172" i="14"/>
  <c r="T171" i="14"/>
  <c r="S171" i="14"/>
  <c r="T170" i="14"/>
  <c r="S170" i="14"/>
  <c r="T169" i="14"/>
  <c r="S169" i="14"/>
  <c r="T168" i="14"/>
  <c r="S168" i="14"/>
  <c r="T167" i="14"/>
  <c r="S167" i="14"/>
  <c r="T166" i="14"/>
  <c r="S166" i="14"/>
  <c r="T165" i="14"/>
  <c r="S165" i="14"/>
  <c r="T164" i="14"/>
  <c r="S164" i="14"/>
  <c r="T163" i="14"/>
  <c r="S163" i="14"/>
  <c r="T162" i="14"/>
  <c r="S162" i="14"/>
  <c r="T161" i="14"/>
  <c r="S161" i="14"/>
  <c r="T160" i="14"/>
  <c r="S160" i="14"/>
  <c r="T159" i="14"/>
  <c r="S159" i="14"/>
  <c r="T158" i="14"/>
  <c r="S158" i="14"/>
  <c r="T157" i="14"/>
  <c r="S157" i="14"/>
  <c r="T156" i="14"/>
  <c r="S156" i="14"/>
  <c r="T155" i="14"/>
  <c r="S155" i="14"/>
  <c r="T154" i="14"/>
  <c r="S154" i="14"/>
  <c r="T153" i="14"/>
  <c r="S153" i="14"/>
  <c r="T152" i="14"/>
  <c r="S152" i="14"/>
  <c r="T151" i="14"/>
  <c r="S151" i="14"/>
  <c r="T150" i="14"/>
  <c r="S150" i="14"/>
  <c r="T149" i="14"/>
  <c r="S149" i="14"/>
  <c r="T148" i="14"/>
  <c r="S148" i="14"/>
  <c r="T147" i="14"/>
  <c r="S147" i="14"/>
  <c r="T146" i="14"/>
  <c r="S146" i="14"/>
  <c r="T145" i="14"/>
  <c r="S145" i="14"/>
  <c r="T144" i="14"/>
  <c r="S144" i="14"/>
  <c r="T143" i="14"/>
  <c r="S143" i="14"/>
  <c r="T142" i="14"/>
  <c r="S142" i="14"/>
  <c r="T141" i="14"/>
  <c r="S141" i="14"/>
  <c r="T140" i="14"/>
  <c r="S140" i="14"/>
  <c r="T139" i="14"/>
  <c r="S139" i="14"/>
  <c r="T138" i="14"/>
  <c r="S138" i="14"/>
  <c r="T137" i="14"/>
  <c r="S137" i="14"/>
  <c r="T136" i="14"/>
  <c r="S136" i="14"/>
  <c r="T135" i="14"/>
  <c r="S135" i="14"/>
  <c r="T134" i="14"/>
  <c r="S134" i="14"/>
  <c r="T133" i="14"/>
  <c r="S133" i="14"/>
  <c r="T132" i="14"/>
  <c r="S132" i="14"/>
  <c r="T131" i="14"/>
  <c r="S131" i="14"/>
  <c r="T130" i="14"/>
  <c r="S130" i="14"/>
  <c r="T129" i="14"/>
  <c r="S129" i="14"/>
  <c r="T128" i="14"/>
  <c r="S128" i="14"/>
  <c r="T127" i="14"/>
  <c r="S127" i="14"/>
  <c r="T126" i="14"/>
  <c r="S126" i="14"/>
  <c r="T125" i="14"/>
  <c r="S125" i="14"/>
  <c r="T124" i="14"/>
  <c r="S124" i="14"/>
  <c r="T123" i="14"/>
  <c r="S123" i="14"/>
  <c r="T122" i="14"/>
  <c r="S122" i="14"/>
  <c r="T121" i="14"/>
  <c r="S121" i="14"/>
  <c r="T120" i="14"/>
  <c r="S120" i="14"/>
  <c r="T119" i="14"/>
  <c r="S119" i="14"/>
  <c r="T118" i="14"/>
  <c r="S118" i="14"/>
  <c r="T117" i="14"/>
  <c r="S117" i="14"/>
  <c r="T116" i="14"/>
  <c r="S116" i="14"/>
  <c r="T115" i="14"/>
  <c r="S115" i="14"/>
  <c r="T114" i="14"/>
  <c r="S114" i="14"/>
  <c r="T113" i="14"/>
  <c r="S113" i="14"/>
  <c r="T112" i="14"/>
  <c r="S112" i="14"/>
  <c r="T111" i="14"/>
  <c r="S111" i="14"/>
  <c r="T110" i="14"/>
  <c r="S110" i="14"/>
  <c r="T109" i="14"/>
  <c r="S109" i="14"/>
  <c r="T108" i="14"/>
  <c r="S108" i="14"/>
  <c r="T107" i="14"/>
  <c r="S107" i="14"/>
  <c r="T106" i="14"/>
  <c r="S106" i="14"/>
  <c r="T105" i="14"/>
  <c r="S105" i="14"/>
  <c r="T104" i="14"/>
  <c r="S104" i="14"/>
  <c r="T103" i="14"/>
  <c r="S103" i="14"/>
  <c r="T102" i="14"/>
  <c r="S102" i="14"/>
  <c r="T101" i="14"/>
  <c r="S101" i="14"/>
  <c r="T100" i="14"/>
  <c r="S100" i="14"/>
  <c r="T99" i="14"/>
  <c r="S99" i="14"/>
  <c r="T98" i="14"/>
  <c r="S98" i="14"/>
  <c r="T97" i="14"/>
  <c r="S97" i="14"/>
  <c r="T96" i="14"/>
  <c r="S96" i="14"/>
  <c r="T95" i="14"/>
  <c r="S95" i="14"/>
  <c r="T94" i="14"/>
  <c r="S94" i="14"/>
  <c r="T93" i="14"/>
  <c r="S93" i="14"/>
  <c r="T92" i="14"/>
  <c r="S92" i="14"/>
  <c r="T91" i="14"/>
  <c r="S91" i="14"/>
  <c r="T90" i="14"/>
  <c r="S90" i="14"/>
  <c r="T89" i="14"/>
  <c r="S89" i="14"/>
  <c r="T88" i="14"/>
  <c r="S88" i="14"/>
  <c r="T87" i="14"/>
  <c r="S87" i="14"/>
  <c r="T86" i="14"/>
  <c r="S86" i="14"/>
  <c r="T85" i="14"/>
  <c r="S85" i="14"/>
  <c r="T84" i="14"/>
  <c r="S84" i="14"/>
  <c r="T83" i="14"/>
  <c r="S83" i="14"/>
  <c r="T82" i="14"/>
  <c r="S82" i="14"/>
  <c r="T81" i="14"/>
  <c r="S81" i="14"/>
  <c r="T80" i="14"/>
  <c r="S80" i="14"/>
  <c r="T79" i="14"/>
  <c r="S79" i="14"/>
  <c r="T78" i="14"/>
  <c r="S78" i="14"/>
  <c r="T77" i="14"/>
  <c r="S77" i="14"/>
  <c r="T76" i="14"/>
  <c r="S76" i="14"/>
  <c r="T75" i="14"/>
  <c r="S75" i="14"/>
  <c r="T74" i="14"/>
  <c r="S74" i="14"/>
  <c r="T73" i="14"/>
  <c r="S73" i="14"/>
  <c r="T72" i="14"/>
  <c r="S72" i="14"/>
  <c r="T71" i="14"/>
  <c r="S71" i="14"/>
  <c r="T70" i="14"/>
  <c r="S70" i="14"/>
  <c r="T69" i="14"/>
  <c r="S69" i="14"/>
  <c r="T68" i="14"/>
  <c r="S68" i="14"/>
  <c r="T67" i="14"/>
  <c r="S67" i="14"/>
  <c r="T66" i="14"/>
  <c r="S66" i="14"/>
  <c r="T65" i="14"/>
  <c r="S65" i="14"/>
  <c r="T64" i="14"/>
  <c r="S64" i="14"/>
  <c r="T63" i="14"/>
  <c r="S63" i="14"/>
  <c r="T62" i="14"/>
  <c r="S62" i="14"/>
  <c r="T61" i="14"/>
  <c r="S61" i="14"/>
  <c r="T60" i="14"/>
  <c r="S60" i="14"/>
  <c r="T59" i="14"/>
  <c r="S59" i="14"/>
  <c r="T58" i="14"/>
  <c r="S58" i="14"/>
  <c r="T57" i="14"/>
  <c r="S57" i="14"/>
  <c r="T56" i="14"/>
  <c r="S56" i="14"/>
  <c r="T55" i="14"/>
  <c r="S55" i="14"/>
  <c r="T54" i="14"/>
  <c r="S54" i="14"/>
  <c r="T53" i="14"/>
  <c r="S53" i="14"/>
  <c r="T52" i="14"/>
  <c r="S52" i="14"/>
  <c r="T51" i="14"/>
  <c r="S51" i="14"/>
  <c r="T50" i="14"/>
  <c r="S50" i="14"/>
  <c r="T49" i="14"/>
  <c r="S49" i="14"/>
  <c r="T48" i="14"/>
  <c r="S48" i="14"/>
  <c r="T47" i="14"/>
  <c r="S47" i="14"/>
  <c r="T46" i="14"/>
  <c r="S46" i="14"/>
  <c r="T45" i="14"/>
  <c r="S45" i="14"/>
  <c r="T44" i="14"/>
  <c r="S44" i="14"/>
  <c r="T43" i="14"/>
  <c r="S43" i="14"/>
  <c r="T42" i="14"/>
  <c r="S42" i="14"/>
  <c r="T41" i="14"/>
  <c r="S41" i="14"/>
  <c r="T40" i="14"/>
  <c r="S40" i="14"/>
  <c r="T39" i="14"/>
  <c r="S39" i="14"/>
  <c r="T38" i="14"/>
  <c r="S38" i="14"/>
  <c r="T37" i="14"/>
  <c r="S37" i="14"/>
  <c r="T36" i="14"/>
  <c r="S36" i="14"/>
  <c r="T35" i="14"/>
  <c r="S35" i="14"/>
  <c r="T34" i="14"/>
  <c r="S34" i="14"/>
  <c r="T33" i="14"/>
  <c r="S33" i="14"/>
  <c r="T32" i="14"/>
  <c r="S32" i="14"/>
  <c r="T31" i="14"/>
  <c r="S31" i="14"/>
  <c r="T30" i="14"/>
  <c r="S30" i="14"/>
  <c r="T29" i="14"/>
  <c r="S29" i="14"/>
  <c r="T28" i="14"/>
  <c r="S28" i="14"/>
  <c r="T27" i="14"/>
  <c r="S27" i="14"/>
  <c r="T26" i="14"/>
  <c r="S26" i="14"/>
  <c r="T25" i="14"/>
  <c r="S25" i="14"/>
  <c r="T24" i="14"/>
  <c r="S24" i="14"/>
  <c r="T23" i="14"/>
  <c r="S23" i="14"/>
  <c r="T22" i="14"/>
  <c r="S22" i="14"/>
  <c r="T21" i="14"/>
  <c r="S21" i="14"/>
  <c r="T20" i="14"/>
  <c r="S20" i="14"/>
  <c r="T19" i="14"/>
  <c r="S19" i="14"/>
  <c r="T18" i="14"/>
  <c r="S18" i="14"/>
  <c r="T17" i="14"/>
  <c r="S17" i="14"/>
  <c r="T16" i="14"/>
  <c r="S16" i="14"/>
  <c r="T15" i="14"/>
  <c r="S15" i="14"/>
  <c r="T14" i="14"/>
  <c r="S14" i="14"/>
  <c r="T13" i="14"/>
  <c r="S13" i="14"/>
  <c r="T12" i="14"/>
  <c r="S12" i="14"/>
  <c r="T11" i="14"/>
  <c r="S11" i="14"/>
  <c r="T10" i="14"/>
  <c r="S10" i="14"/>
  <c r="T9" i="14"/>
  <c r="S9" i="14"/>
  <c r="T8" i="14"/>
  <c r="S8" i="14"/>
  <c r="T7" i="14"/>
  <c r="S7" i="14"/>
  <c r="T6" i="14"/>
  <c r="S6" i="14"/>
  <c r="T5" i="14"/>
  <c r="S5" i="14"/>
  <c r="T4" i="14"/>
  <c r="S4" i="14"/>
  <c r="T3" i="14"/>
  <c r="S3" i="14"/>
  <c r="T2" i="14"/>
  <c r="S2" i="14"/>
  <c r="P86" i="13"/>
  <c r="O86" i="13"/>
  <c r="P85" i="13"/>
  <c r="O85" i="13"/>
  <c r="P84" i="13"/>
  <c r="O84" i="13"/>
  <c r="P83" i="13"/>
  <c r="O83" i="13"/>
  <c r="P82" i="13"/>
  <c r="O82" i="13"/>
  <c r="P81" i="13"/>
  <c r="O81" i="13"/>
  <c r="P80" i="13"/>
  <c r="O80" i="13"/>
  <c r="P79" i="13"/>
  <c r="O79" i="13"/>
  <c r="P78" i="13"/>
  <c r="O78" i="13"/>
  <c r="P77" i="13"/>
  <c r="O77" i="13"/>
  <c r="P76" i="13"/>
  <c r="O76" i="13"/>
  <c r="P75" i="13"/>
  <c r="O75" i="13"/>
  <c r="P74" i="13"/>
  <c r="O74" i="13"/>
  <c r="P73" i="13"/>
  <c r="O73" i="13"/>
  <c r="P72" i="13"/>
  <c r="O72" i="13"/>
  <c r="P71" i="13"/>
  <c r="O71" i="13"/>
  <c r="P70" i="13"/>
  <c r="O70" i="13"/>
  <c r="P69" i="13"/>
  <c r="O69" i="13"/>
  <c r="P68" i="13"/>
  <c r="O68" i="13"/>
  <c r="P67" i="13"/>
  <c r="O67" i="13"/>
  <c r="P66" i="13"/>
  <c r="O66" i="13"/>
  <c r="P65" i="13"/>
  <c r="O65" i="13"/>
  <c r="P64" i="13"/>
  <c r="O64" i="13"/>
  <c r="P63" i="13"/>
  <c r="O63" i="13"/>
  <c r="P62" i="13"/>
  <c r="O62" i="13"/>
  <c r="P61" i="13"/>
  <c r="O61" i="13"/>
  <c r="P60" i="13"/>
  <c r="O60" i="13"/>
  <c r="P59" i="13"/>
  <c r="O59" i="13"/>
  <c r="P58" i="13"/>
  <c r="O58" i="13"/>
  <c r="P57" i="13"/>
  <c r="O57" i="13"/>
  <c r="P56" i="13"/>
  <c r="O56" i="13"/>
  <c r="P55" i="13"/>
  <c r="O55" i="13"/>
  <c r="P54" i="13"/>
  <c r="O54" i="13"/>
  <c r="P53" i="13"/>
  <c r="O53" i="13"/>
  <c r="P52" i="13"/>
  <c r="O52" i="13"/>
  <c r="P51" i="13"/>
  <c r="O51" i="13"/>
  <c r="P50" i="13"/>
  <c r="O50" i="13"/>
  <c r="P49" i="13"/>
  <c r="O49" i="13"/>
  <c r="P48" i="13"/>
  <c r="O48" i="13"/>
  <c r="P47" i="13"/>
  <c r="O47" i="13"/>
  <c r="P46" i="13"/>
  <c r="O46" i="13"/>
  <c r="P45" i="13"/>
  <c r="O45" i="13"/>
  <c r="P44" i="13"/>
  <c r="O44" i="13"/>
  <c r="P43" i="13"/>
  <c r="O43" i="13"/>
  <c r="P42" i="13"/>
  <c r="O42" i="13"/>
  <c r="P41" i="13"/>
  <c r="O41" i="13"/>
  <c r="P40" i="13"/>
  <c r="O40" i="13"/>
  <c r="P39" i="13"/>
  <c r="O39" i="13"/>
  <c r="P38" i="13"/>
  <c r="O38" i="13"/>
  <c r="P37" i="13"/>
  <c r="O37" i="13"/>
  <c r="P36" i="13"/>
  <c r="O36" i="13"/>
  <c r="P35" i="13"/>
  <c r="O35" i="13"/>
  <c r="P34" i="13"/>
  <c r="O34" i="13"/>
  <c r="P33" i="13"/>
  <c r="O33" i="13"/>
  <c r="P32" i="13"/>
  <c r="O32" i="13"/>
  <c r="P31" i="13"/>
  <c r="O31" i="13"/>
  <c r="P30" i="13"/>
  <c r="O30" i="13"/>
  <c r="P29" i="13"/>
  <c r="O29" i="13"/>
  <c r="P28" i="13"/>
  <c r="O28" i="13"/>
  <c r="P27" i="13"/>
  <c r="O27" i="13"/>
  <c r="P26" i="13"/>
  <c r="O26" i="13"/>
  <c r="P25" i="13"/>
  <c r="O25" i="13"/>
  <c r="P24" i="13"/>
  <c r="O24" i="13"/>
  <c r="P23" i="13"/>
  <c r="O23" i="13"/>
  <c r="P22" i="13"/>
  <c r="O22" i="13"/>
  <c r="P21" i="13"/>
  <c r="O21" i="13"/>
  <c r="P20" i="13"/>
  <c r="O20" i="13"/>
  <c r="P19" i="13"/>
  <c r="O19" i="13"/>
  <c r="P18" i="13"/>
  <c r="O18" i="13"/>
  <c r="P17" i="13"/>
  <c r="O17" i="13"/>
  <c r="P16" i="13"/>
  <c r="O16" i="13"/>
  <c r="P15" i="13"/>
  <c r="O15" i="13"/>
  <c r="P14" i="13"/>
  <c r="O14" i="13"/>
  <c r="P13" i="13"/>
  <c r="O13" i="13"/>
  <c r="P12" i="13"/>
  <c r="O12" i="13"/>
  <c r="P11" i="13"/>
  <c r="O11" i="13"/>
  <c r="P10" i="13"/>
  <c r="O10" i="13"/>
  <c r="P9" i="13"/>
  <c r="O9" i="13"/>
  <c r="P8" i="13"/>
  <c r="O8" i="13"/>
  <c r="P7" i="13"/>
  <c r="O7" i="13"/>
  <c r="P6" i="13"/>
  <c r="O6" i="13"/>
  <c r="P5" i="13"/>
  <c r="O5" i="13"/>
  <c r="P4" i="13"/>
  <c r="O4" i="13"/>
  <c r="P3" i="13"/>
  <c r="O3" i="13"/>
  <c r="P2" i="13"/>
  <c r="O2" i="13"/>
  <c r="I86" i="12"/>
  <c r="I85" i="12"/>
  <c r="I84" i="12"/>
  <c r="I83" i="12"/>
  <c r="I82" i="12"/>
  <c r="I81" i="12"/>
  <c r="I80" i="12"/>
  <c r="I79" i="12"/>
  <c r="I78" i="12"/>
  <c r="I77" i="12"/>
  <c r="I76" i="12"/>
  <c r="I75" i="12"/>
  <c r="I74" i="12"/>
  <c r="I73" i="12"/>
  <c r="I72" i="12"/>
  <c r="I71" i="12"/>
  <c r="I70" i="12"/>
  <c r="I69" i="12"/>
  <c r="I68" i="12"/>
  <c r="I67" i="12"/>
  <c r="I66" i="12"/>
  <c r="I65" i="12"/>
  <c r="I64" i="12"/>
  <c r="I63" i="12"/>
  <c r="I62" i="12"/>
  <c r="I61" i="12"/>
  <c r="I60" i="12"/>
  <c r="I59" i="12"/>
  <c r="I58" i="12"/>
  <c r="I57" i="12"/>
  <c r="I56" i="12"/>
  <c r="I55" i="12"/>
  <c r="I54" i="12"/>
  <c r="I53" i="12"/>
  <c r="I52" i="12"/>
  <c r="I51" i="12"/>
  <c r="I50" i="12"/>
  <c r="I49" i="12"/>
  <c r="I48" i="12"/>
  <c r="I47" i="12"/>
  <c r="I46" i="12"/>
  <c r="I45" i="12"/>
  <c r="I44" i="12"/>
  <c r="I43" i="12"/>
  <c r="I42" i="12"/>
  <c r="I41" i="12"/>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I7" i="12"/>
  <c r="I6" i="12"/>
  <c r="I5" i="12"/>
  <c r="I4" i="12"/>
  <c r="I3" i="12"/>
  <c r="I2" i="12"/>
  <c r="L86" i="11"/>
  <c r="L85" i="11"/>
  <c r="L84" i="11"/>
  <c r="L83" i="11"/>
  <c r="L82" i="11"/>
  <c r="L81" i="11"/>
  <c r="L80" i="11"/>
  <c r="L79" i="11"/>
  <c r="L78" i="11"/>
  <c r="L77" i="11"/>
  <c r="L76" i="11"/>
  <c r="L75" i="11"/>
  <c r="L74" i="11"/>
  <c r="L73" i="11"/>
  <c r="L72" i="11"/>
  <c r="L71" i="11"/>
  <c r="L70" i="11"/>
  <c r="L69" i="11"/>
  <c r="L68" i="11"/>
  <c r="L67" i="11"/>
  <c r="L66" i="11"/>
  <c r="L65" i="11"/>
  <c r="L64" i="11"/>
  <c r="L63" i="11"/>
  <c r="L62" i="11"/>
  <c r="L61" i="11"/>
  <c r="L60" i="11"/>
  <c r="L59" i="11"/>
  <c r="L58" i="11"/>
  <c r="L57" i="11"/>
  <c r="L56" i="11"/>
  <c r="L55" i="11"/>
  <c r="L54" i="11"/>
  <c r="L53" i="11"/>
  <c r="L52" i="11"/>
  <c r="L51" i="11"/>
  <c r="L50" i="11"/>
  <c r="L49" i="11"/>
  <c r="L48" i="11"/>
  <c r="L47" i="11"/>
  <c r="L46" i="11"/>
  <c r="L45" i="11"/>
  <c r="L44" i="11"/>
  <c r="L43" i="11"/>
  <c r="L42" i="11"/>
  <c r="L41" i="11"/>
  <c r="L40" i="11"/>
  <c r="L39" i="11"/>
  <c r="L38" i="11"/>
  <c r="L37" i="11"/>
  <c r="L36" i="11"/>
  <c r="L35" i="11"/>
  <c r="L34" i="11"/>
  <c r="L33" i="11"/>
  <c r="L32" i="11"/>
  <c r="L31" i="11"/>
  <c r="L30" i="11"/>
  <c r="L29" i="11"/>
  <c r="L28" i="11"/>
  <c r="L27" i="11"/>
  <c r="L26" i="11"/>
  <c r="L25" i="11"/>
  <c r="L24" i="11"/>
  <c r="L23" i="11"/>
  <c r="L22" i="11"/>
  <c r="L21" i="11"/>
  <c r="L20" i="11"/>
  <c r="L19" i="11"/>
  <c r="L18" i="11"/>
  <c r="L17" i="11"/>
  <c r="L16" i="11"/>
  <c r="L15" i="11"/>
  <c r="L14" i="11"/>
  <c r="L13" i="11"/>
  <c r="L12" i="11"/>
  <c r="L11" i="11"/>
  <c r="L10" i="11"/>
  <c r="L9" i="11"/>
  <c r="L8" i="11"/>
  <c r="L7" i="11"/>
  <c r="L6" i="11"/>
  <c r="L5" i="11"/>
  <c r="L4" i="11"/>
  <c r="L3" i="11"/>
  <c r="L2" i="11"/>
  <c r="K86" i="10"/>
  <c r="K85" i="10"/>
  <c r="K84" i="10"/>
  <c r="K83" i="10"/>
  <c r="K82" i="10"/>
  <c r="K81" i="10"/>
  <c r="K80" i="10"/>
  <c r="K79" i="10"/>
  <c r="K78" i="10"/>
  <c r="K77" i="10"/>
  <c r="K76" i="10"/>
  <c r="K75" i="10"/>
  <c r="K74" i="10"/>
  <c r="K73" i="10"/>
  <c r="K72" i="10"/>
  <c r="K71" i="10"/>
  <c r="K70" i="10"/>
  <c r="K69" i="10"/>
  <c r="K68" i="10"/>
  <c r="K67" i="10"/>
  <c r="K66" i="10"/>
  <c r="K65" i="10"/>
  <c r="K64" i="10"/>
  <c r="K63" i="10"/>
  <c r="K62" i="10"/>
  <c r="K61" i="10"/>
  <c r="K60" i="10"/>
  <c r="K59" i="10"/>
  <c r="K58" i="10"/>
  <c r="K57" i="10"/>
  <c r="K56" i="10"/>
  <c r="K55"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K9" i="10"/>
  <c r="K8" i="10"/>
  <c r="K7" i="10"/>
  <c r="K6" i="10"/>
  <c r="K5" i="10"/>
  <c r="K4" i="10"/>
  <c r="K3" i="10"/>
  <c r="K2" i="10"/>
  <c r="J86" i="9"/>
  <c r="J85" i="9"/>
  <c r="J84" i="9"/>
  <c r="J83" i="9"/>
  <c r="J82" i="9"/>
  <c r="J81" i="9"/>
  <c r="J80" i="9"/>
  <c r="J79" i="9"/>
  <c r="J78" i="9"/>
  <c r="J77" i="9"/>
  <c r="J76" i="9"/>
  <c r="J75" i="9"/>
  <c r="J74" i="9"/>
  <c r="J73" i="9"/>
  <c r="J72" i="9"/>
  <c r="J71" i="9"/>
  <c r="J70" i="9"/>
  <c r="J69" i="9"/>
  <c r="J68" i="9"/>
  <c r="J67" i="9"/>
  <c r="J66" i="9"/>
  <c r="J65" i="9"/>
  <c r="J64" i="9"/>
  <c r="J63" i="9"/>
  <c r="J62" i="9"/>
  <c r="J61" i="9"/>
  <c r="J60" i="9"/>
  <c r="J59" i="9"/>
  <c r="J58" i="9"/>
  <c r="J57" i="9"/>
  <c r="J56" i="9"/>
  <c r="J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J6" i="9"/>
  <c r="J5" i="9"/>
  <c r="J4" i="9"/>
  <c r="J3" i="9"/>
  <c r="J2" i="9"/>
  <c r="R86" i="8"/>
  <c r="R85" i="8"/>
  <c r="R84" i="8"/>
  <c r="R83" i="8"/>
  <c r="R82" i="8"/>
  <c r="R81" i="8"/>
  <c r="R80" i="8"/>
  <c r="R79" i="8"/>
  <c r="R78" i="8"/>
  <c r="R77" i="8"/>
  <c r="R76" i="8"/>
  <c r="R75" i="8"/>
  <c r="R74" i="8"/>
  <c r="R73" i="8"/>
  <c r="R72" i="8"/>
  <c r="R71" i="8"/>
  <c r="R70" i="8"/>
  <c r="R69" i="8"/>
  <c r="R68" i="8"/>
  <c r="R67" i="8"/>
  <c r="R66" i="8"/>
  <c r="R65" i="8"/>
  <c r="R64" i="8"/>
  <c r="R63" i="8"/>
  <c r="R62" i="8"/>
  <c r="R61" i="8"/>
  <c r="R60" i="8"/>
  <c r="R59" i="8"/>
  <c r="R58" i="8"/>
  <c r="R57" i="8"/>
  <c r="R56" i="8"/>
  <c r="R55" i="8"/>
  <c r="R54" i="8"/>
  <c r="R53" i="8"/>
  <c r="R52" i="8"/>
  <c r="R51" i="8"/>
  <c r="R50" i="8"/>
  <c r="R49" i="8"/>
  <c r="R48" i="8"/>
  <c r="R47" i="8"/>
  <c r="R46" i="8"/>
  <c r="R45" i="8"/>
  <c r="R44" i="8"/>
  <c r="R43" i="8"/>
  <c r="R42" i="8"/>
  <c r="R41" i="8"/>
  <c r="R40" i="8"/>
  <c r="R39" i="8"/>
  <c r="R38" i="8"/>
  <c r="R37" i="8"/>
  <c r="R36" i="8"/>
  <c r="R35" i="8"/>
  <c r="R34" i="8"/>
  <c r="R33" i="8"/>
  <c r="R32" i="8"/>
  <c r="R31" i="8"/>
  <c r="R30" i="8"/>
  <c r="R29" i="8"/>
  <c r="R28" i="8"/>
  <c r="R27" i="8"/>
  <c r="R26" i="8"/>
  <c r="R25" i="8"/>
  <c r="R24" i="8"/>
  <c r="R23" i="8"/>
  <c r="R22" i="8"/>
  <c r="R21" i="8"/>
  <c r="R20" i="8"/>
  <c r="R19" i="8"/>
  <c r="R18" i="8"/>
  <c r="R17" i="8"/>
  <c r="R16" i="8"/>
  <c r="R15" i="8"/>
  <c r="R14" i="8"/>
  <c r="R13" i="8"/>
  <c r="R12" i="8"/>
  <c r="R11" i="8"/>
  <c r="R10" i="8"/>
  <c r="R9" i="8"/>
  <c r="R8" i="8"/>
  <c r="R7" i="8"/>
  <c r="R6" i="8"/>
  <c r="R5" i="8"/>
  <c r="R4" i="8"/>
  <c r="R3" i="8"/>
  <c r="R2" i="8"/>
  <c r="M86" i="7"/>
  <c r="M85" i="7"/>
  <c r="M84" i="7"/>
  <c r="M83" i="7"/>
  <c r="M82" i="7"/>
  <c r="M81" i="7"/>
  <c r="M80" i="7"/>
  <c r="M79" i="7"/>
  <c r="M78" i="7"/>
  <c r="M77" i="7"/>
  <c r="M76" i="7"/>
  <c r="M75" i="7"/>
  <c r="M74" i="7"/>
  <c r="M73" i="7"/>
  <c r="M72" i="7"/>
  <c r="M71" i="7"/>
  <c r="M70" i="7"/>
  <c r="M69" i="7"/>
  <c r="M68" i="7"/>
  <c r="M67" i="7"/>
  <c r="M66" i="7"/>
  <c r="M65" i="7"/>
  <c r="M64" i="7"/>
  <c r="M63" i="7"/>
  <c r="M62" i="7"/>
  <c r="M61" i="7"/>
  <c r="M60" i="7"/>
  <c r="M59" i="7"/>
  <c r="M58" i="7"/>
  <c r="M57" i="7"/>
  <c r="M56" i="7"/>
  <c r="M55" i="7"/>
  <c r="M54" i="7"/>
  <c r="M53" i="7"/>
  <c r="M52" i="7"/>
  <c r="M51" i="7"/>
  <c r="M50" i="7"/>
  <c r="M49" i="7"/>
  <c r="M48" i="7"/>
  <c r="M47" i="7"/>
  <c r="M46" i="7"/>
  <c r="M45" i="7"/>
  <c r="M44" i="7"/>
  <c r="M43" i="7"/>
  <c r="M42" i="7"/>
  <c r="M41" i="7"/>
  <c r="M40" i="7"/>
  <c r="M39" i="7"/>
  <c r="M38" i="7"/>
  <c r="M37" i="7"/>
  <c r="M36" i="7"/>
  <c r="M35" i="7"/>
  <c r="M34" i="7"/>
  <c r="M33" i="7"/>
  <c r="M32" i="7"/>
  <c r="M31" i="7"/>
  <c r="M30" i="7"/>
  <c r="M29" i="7"/>
  <c r="M28" i="7"/>
  <c r="M27" i="7"/>
  <c r="M26" i="7"/>
  <c r="M25" i="7"/>
  <c r="M24" i="7"/>
  <c r="M23" i="7"/>
  <c r="M22" i="7"/>
  <c r="M21" i="7"/>
  <c r="M20" i="7"/>
  <c r="M19" i="7"/>
  <c r="M18" i="7"/>
  <c r="M17" i="7"/>
  <c r="M16" i="7"/>
  <c r="M15" i="7"/>
  <c r="M14" i="7"/>
  <c r="M13" i="7"/>
  <c r="M12" i="7"/>
  <c r="M11" i="7"/>
  <c r="M10" i="7"/>
  <c r="M9" i="7"/>
  <c r="M8" i="7"/>
  <c r="M7" i="7"/>
  <c r="M6" i="7"/>
  <c r="M5" i="7"/>
  <c r="M4" i="7"/>
  <c r="M3" i="7"/>
  <c r="M2" i="7"/>
  <c r="BS86" i="6"/>
  <c r="BS85" i="6"/>
  <c r="BS84" i="6"/>
  <c r="BS83" i="6"/>
  <c r="BS82" i="6"/>
  <c r="BS81" i="6"/>
  <c r="BS80" i="6"/>
  <c r="BS79" i="6"/>
  <c r="BS78" i="6"/>
  <c r="BS77" i="6"/>
  <c r="BS76" i="6"/>
  <c r="BS75" i="6"/>
  <c r="BS74" i="6"/>
  <c r="BS73" i="6"/>
  <c r="BS72" i="6"/>
  <c r="BS71" i="6"/>
  <c r="BS70" i="6"/>
  <c r="BS69" i="6"/>
  <c r="BS68" i="6"/>
  <c r="BS67" i="6"/>
  <c r="BS66" i="6"/>
  <c r="BS65" i="6"/>
  <c r="BS64" i="6"/>
  <c r="BS63" i="6"/>
  <c r="BS62" i="6"/>
  <c r="BS61" i="6"/>
  <c r="BS60" i="6"/>
  <c r="BS59" i="6"/>
  <c r="BS58" i="6"/>
  <c r="BS57" i="6"/>
  <c r="BS56" i="6"/>
  <c r="BS55" i="6"/>
  <c r="BS54" i="6"/>
  <c r="BS53" i="6"/>
  <c r="BS52" i="6"/>
  <c r="BS51" i="6"/>
  <c r="BS50" i="6"/>
  <c r="BS49" i="6"/>
  <c r="BS48" i="6"/>
  <c r="BS47" i="6"/>
  <c r="BS46" i="6"/>
  <c r="BS45" i="6"/>
  <c r="BS44" i="6"/>
  <c r="BS43" i="6"/>
  <c r="BS42" i="6"/>
  <c r="BS41" i="6"/>
  <c r="BS40" i="6"/>
  <c r="BS39" i="6"/>
  <c r="BS38" i="6"/>
  <c r="BS37" i="6"/>
  <c r="BS36" i="6"/>
  <c r="BS35" i="6"/>
  <c r="BS34" i="6"/>
  <c r="BS33" i="6"/>
  <c r="BS32" i="6"/>
  <c r="BS31" i="6"/>
  <c r="BS30" i="6"/>
  <c r="BS29" i="6"/>
  <c r="BS28" i="6"/>
  <c r="BS27" i="6"/>
  <c r="BS26" i="6"/>
  <c r="BS25" i="6"/>
  <c r="BS24" i="6"/>
  <c r="BS23" i="6"/>
  <c r="BS22" i="6"/>
  <c r="BS21" i="6"/>
  <c r="BS20" i="6"/>
  <c r="BS19" i="6"/>
  <c r="BS18" i="6"/>
  <c r="BS17" i="6"/>
  <c r="BS16" i="6"/>
  <c r="BS15" i="6"/>
  <c r="BS14" i="6"/>
  <c r="BS13" i="6"/>
  <c r="BS12" i="6"/>
  <c r="BS11" i="6"/>
  <c r="BS10" i="6"/>
  <c r="BS9" i="6"/>
  <c r="BS8" i="6"/>
  <c r="BS7" i="6"/>
  <c r="BS6" i="6"/>
  <c r="BS5" i="6"/>
  <c r="BS4" i="6"/>
  <c r="BS3" i="6"/>
  <c r="BS2" i="6"/>
  <c r="AF86" i="5"/>
  <c r="AF85" i="5"/>
  <c r="AF84" i="5"/>
  <c r="AF83" i="5"/>
  <c r="AF82" i="5"/>
  <c r="AF81" i="5"/>
  <c r="AF80" i="5"/>
  <c r="AF79" i="5"/>
  <c r="AF78" i="5"/>
  <c r="AF77" i="5"/>
  <c r="AF76" i="5"/>
  <c r="AF75" i="5"/>
  <c r="AF74" i="5"/>
  <c r="AF73" i="5"/>
  <c r="AF72" i="5"/>
  <c r="AF71" i="5"/>
  <c r="AF70" i="5"/>
  <c r="AF69" i="5"/>
  <c r="AF68" i="5"/>
  <c r="AF67" i="5"/>
  <c r="AF66" i="5"/>
  <c r="AF65" i="5"/>
  <c r="AF64" i="5"/>
  <c r="AF63" i="5"/>
  <c r="AF62" i="5"/>
  <c r="AF61" i="5"/>
  <c r="AF60" i="5"/>
  <c r="AF59" i="5"/>
  <c r="AF58" i="5"/>
  <c r="AF57" i="5"/>
  <c r="AF56" i="5"/>
  <c r="AF55" i="5"/>
  <c r="AF54" i="5"/>
  <c r="AF53" i="5"/>
  <c r="AF52" i="5"/>
  <c r="AF51" i="5"/>
  <c r="AF50" i="5"/>
  <c r="AF49" i="5"/>
  <c r="AF48" i="5"/>
  <c r="AF47" i="5"/>
  <c r="AF46" i="5"/>
  <c r="AF45" i="5"/>
  <c r="AF44" i="5"/>
  <c r="AF43" i="5"/>
  <c r="AF42" i="5"/>
  <c r="AF41" i="5"/>
  <c r="AF40" i="5"/>
  <c r="AF39" i="5"/>
  <c r="AF38" i="5"/>
  <c r="AF37"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F8" i="5"/>
  <c r="AF7" i="5"/>
  <c r="AF6" i="5"/>
  <c r="AF5" i="5"/>
  <c r="AF4" i="5"/>
  <c r="AF3" i="5"/>
  <c r="AF2" i="5"/>
  <c r="AA35" i="4"/>
  <c r="Z35" i="4"/>
  <c r="Y35" i="4"/>
  <c r="V35" i="4"/>
  <c r="E35" i="4"/>
  <c r="AA34" i="4"/>
  <c r="Z34" i="4"/>
  <c r="Y34" i="4"/>
  <c r="V34" i="4"/>
  <c r="E34" i="4"/>
  <c r="AA33" i="4"/>
  <c r="Z33" i="4"/>
  <c r="Y33" i="4"/>
  <c r="V33" i="4"/>
  <c r="E33" i="4"/>
  <c r="AA32" i="4"/>
  <c r="Z32" i="4"/>
  <c r="Y32" i="4"/>
  <c r="V32" i="4"/>
  <c r="E32" i="4"/>
  <c r="AA31" i="4"/>
  <c r="Z31" i="4"/>
  <c r="Y31" i="4"/>
  <c r="V31" i="4"/>
  <c r="E31" i="4"/>
  <c r="AA30" i="4"/>
  <c r="Z30" i="4"/>
  <c r="Y30" i="4"/>
  <c r="V30" i="4"/>
  <c r="E30" i="4"/>
  <c r="AA29" i="4"/>
  <c r="Z29" i="4"/>
  <c r="Y29" i="4"/>
  <c r="V29" i="4"/>
  <c r="E29" i="4"/>
  <c r="AA28" i="4"/>
  <c r="Z28" i="4"/>
  <c r="Y28" i="4"/>
  <c r="V28" i="4"/>
  <c r="E28" i="4"/>
  <c r="AA27" i="4"/>
  <c r="Z27" i="4"/>
  <c r="Y27" i="4"/>
  <c r="V27" i="4"/>
  <c r="AA26" i="4"/>
  <c r="Z26" i="4"/>
  <c r="Y26" i="4"/>
  <c r="V26" i="4"/>
  <c r="AA25" i="4"/>
  <c r="Z25" i="4"/>
  <c r="Y25" i="4"/>
  <c r="V25" i="4"/>
  <c r="AA24" i="4"/>
  <c r="Z24" i="4"/>
  <c r="Y24" i="4"/>
  <c r="V24" i="4"/>
  <c r="AA23" i="4"/>
  <c r="Z23" i="4"/>
  <c r="Y23" i="4"/>
  <c r="V23" i="4"/>
  <c r="AA22" i="4"/>
  <c r="Z22" i="4"/>
  <c r="Y22" i="4"/>
  <c r="V22" i="4"/>
  <c r="AA21" i="4"/>
  <c r="Z21" i="4"/>
  <c r="Y21" i="4"/>
  <c r="V21" i="4"/>
  <c r="AA20" i="4"/>
  <c r="Z20" i="4"/>
  <c r="Y20" i="4"/>
  <c r="V20" i="4"/>
  <c r="E20" i="4"/>
  <c r="AA19" i="4"/>
  <c r="Z19" i="4"/>
  <c r="Y19" i="4"/>
  <c r="V19" i="4"/>
  <c r="E19" i="4"/>
  <c r="AA18" i="4"/>
  <c r="Z18" i="4"/>
  <c r="Y18" i="4"/>
  <c r="V18" i="4"/>
  <c r="AA17" i="4"/>
  <c r="Z17" i="4"/>
  <c r="Y17" i="4"/>
  <c r="V17" i="4"/>
  <c r="E17" i="4"/>
  <c r="AA16" i="4"/>
  <c r="Z16" i="4"/>
  <c r="Y16" i="4"/>
  <c r="V16" i="4"/>
  <c r="AA15" i="4"/>
  <c r="Z15" i="4"/>
  <c r="Y15" i="4"/>
  <c r="V15" i="4"/>
  <c r="AA14" i="4"/>
  <c r="Z14" i="4"/>
  <c r="Y14" i="4"/>
  <c r="V14" i="4"/>
  <c r="AA13" i="4"/>
  <c r="Z13" i="4"/>
  <c r="Y13" i="4"/>
  <c r="V13" i="4"/>
  <c r="AA12" i="4"/>
  <c r="Z12" i="4"/>
  <c r="Y12" i="4"/>
  <c r="V12" i="4"/>
  <c r="AA11" i="4"/>
  <c r="Z11" i="4"/>
  <c r="Y11" i="4"/>
  <c r="V11" i="4"/>
  <c r="AA10" i="4"/>
  <c r="Z10" i="4"/>
  <c r="Y10" i="4"/>
  <c r="V10" i="4"/>
  <c r="AA9" i="4"/>
  <c r="Z9" i="4"/>
  <c r="Y9" i="4"/>
  <c r="V9" i="4"/>
  <c r="AA8" i="4"/>
  <c r="Z8" i="4"/>
  <c r="Y8" i="4"/>
  <c r="V8" i="4"/>
  <c r="AA7" i="4"/>
  <c r="Z7" i="4"/>
  <c r="Y7" i="4"/>
  <c r="V7" i="4"/>
  <c r="AA6" i="4"/>
  <c r="Z6" i="4"/>
  <c r="Y6" i="4"/>
  <c r="V6" i="4"/>
  <c r="AA5" i="4"/>
  <c r="Z5" i="4"/>
  <c r="Y5" i="4"/>
  <c r="V5" i="4"/>
  <c r="AA4" i="4"/>
  <c r="Z4" i="4"/>
  <c r="Y4" i="4"/>
  <c r="V4" i="4"/>
  <c r="AA3" i="4"/>
  <c r="Z3" i="4"/>
  <c r="Y3" i="4"/>
  <c r="V3" i="4"/>
  <c r="AA2" i="4"/>
  <c r="Z2" i="4"/>
  <c r="Y2" i="4"/>
  <c r="V2" i="4"/>
  <c r="U87" i="3"/>
  <c r="S87" i="3"/>
  <c r="M87" i="3"/>
  <c r="J87" i="3"/>
  <c r="U86" i="3"/>
  <c r="S86" i="3"/>
  <c r="M86" i="3"/>
  <c r="J86" i="3"/>
  <c r="U85" i="3"/>
  <c r="S85" i="3"/>
  <c r="M85" i="3"/>
  <c r="J85" i="3"/>
  <c r="U84" i="3"/>
  <c r="S84" i="3"/>
  <c r="M84" i="3"/>
  <c r="J84" i="3"/>
  <c r="U83" i="3"/>
  <c r="S83" i="3"/>
  <c r="M83" i="3"/>
  <c r="J83" i="3"/>
  <c r="U82" i="3"/>
  <c r="S82" i="3"/>
  <c r="M82" i="3"/>
  <c r="J82" i="3"/>
  <c r="U81" i="3"/>
  <c r="S81" i="3"/>
  <c r="M81" i="3"/>
  <c r="J81" i="3"/>
  <c r="U80" i="3"/>
  <c r="S80" i="3"/>
  <c r="M80" i="3"/>
  <c r="J80" i="3"/>
  <c r="U79" i="3"/>
  <c r="S79" i="3"/>
  <c r="M79" i="3"/>
  <c r="J79" i="3"/>
  <c r="U78" i="3"/>
  <c r="S78" i="3"/>
  <c r="M78" i="3"/>
  <c r="J78" i="3"/>
  <c r="U77" i="3"/>
  <c r="S77" i="3"/>
  <c r="M77" i="3"/>
  <c r="J77" i="3"/>
  <c r="U76" i="3"/>
  <c r="S76" i="3"/>
  <c r="M76" i="3"/>
  <c r="J76" i="3"/>
  <c r="U75" i="3"/>
  <c r="S75" i="3"/>
  <c r="M75" i="3"/>
  <c r="J75" i="3"/>
  <c r="U74" i="3"/>
  <c r="S74" i="3"/>
  <c r="M74" i="3"/>
  <c r="J74" i="3"/>
  <c r="U73" i="3"/>
  <c r="S73" i="3"/>
  <c r="M73" i="3"/>
  <c r="J73" i="3"/>
  <c r="U72" i="3"/>
  <c r="S72" i="3"/>
  <c r="M72" i="3"/>
  <c r="J72" i="3"/>
  <c r="U71" i="3"/>
  <c r="S71" i="3"/>
  <c r="M71" i="3"/>
  <c r="J71" i="3"/>
  <c r="U70" i="3"/>
  <c r="S70" i="3"/>
  <c r="M70" i="3"/>
  <c r="J70" i="3"/>
  <c r="U69" i="3"/>
  <c r="S69" i="3"/>
  <c r="M69" i="3"/>
  <c r="J69" i="3"/>
  <c r="U68" i="3"/>
  <c r="S68" i="3"/>
  <c r="M68" i="3"/>
  <c r="J68" i="3"/>
  <c r="U67" i="3"/>
  <c r="S67" i="3"/>
  <c r="M67" i="3"/>
  <c r="J67" i="3"/>
  <c r="U66" i="3"/>
  <c r="S66" i="3"/>
  <c r="M66" i="3"/>
  <c r="J66" i="3"/>
  <c r="U65" i="3"/>
  <c r="S65" i="3"/>
  <c r="M65" i="3"/>
  <c r="J65" i="3"/>
  <c r="U64" i="3"/>
  <c r="S64" i="3"/>
  <c r="M64" i="3"/>
  <c r="J64" i="3"/>
  <c r="U63" i="3"/>
  <c r="S63" i="3"/>
  <c r="M63" i="3"/>
  <c r="J63" i="3"/>
  <c r="U62" i="3"/>
  <c r="S62" i="3"/>
  <c r="M62" i="3"/>
  <c r="J62" i="3"/>
  <c r="U61" i="3"/>
  <c r="S61" i="3"/>
  <c r="M61" i="3"/>
  <c r="J61" i="3"/>
  <c r="U60" i="3"/>
  <c r="S60" i="3"/>
  <c r="M60" i="3"/>
  <c r="J60" i="3"/>
  <c r="U59" i="3"/>
  <c r="S59" i="3"/>
  <c r="M59" i="3"/>
  <c r="J59" i="3"/>
  <c r="U58" i="3"/>
  <c r="S58" i="3"/>
  <c r="M58" i="3"/>
  <c r="J58" i="3"/>
  <c r="U57" i="3"/>
  <c r="S57" i="3"/>
  <c r="M57" i="3"/>
  <c r="J57" i="3"/>
  <c r="U56" i="3"/>
  <c r="S56" i="3"/>
  <c r="M56" i="3"/>
  <c r="J56" i="3"/>
  <c r="U55" i="3"/>
  <c r="S55" i="3"/>
  <c r="M55" i="3"/>
  <c r="J55" i="3"/>
  <c r="U54" i="3"/>
  <c r="S54" i="3"/>
  <c r="M54" i="3"/>
  <c r="J54" i="3"/>
  <c r="U53" i="3"/>
  <c r="S53" i="3"/>
  <c r="M53" i="3"/>
  <c r="J53" i="3"/>
  <c r="U52" i="3"/>
  <c r="S52" i="3"/>
  <c r="M52" i="3"/>
  <c r="J52" i="3"/>
  <c r="U51" i="3"/>
  <c r="S51" i="3"/>
  <c r="M51" i="3"/>
  <c r="J51" i="3"/>
  <c r="U50" i="3"/>
  <c r="S50" i="3"/>
  <c r="M50" i="3"/>
  <c r="J50" i="3"/>
  <c r="U49" i="3"/>
  <c r="S49" i="3"/>
  <c r="M49" i="3"/>
  <c r="J49" i="3"/>
  <c r="U48" i="3"/>
  <c r="S48" i="3"/>
  <c r="M48" i="3"/>
  <c r="J48" i="3"/>
  <c r="U47" i="3"/>
  <c r="S47" i="3"/>
  <c r="M47" i="3"/>
  <c r="J47" i="3"/>
  <c r="U46" i="3"/>
  <c r="S46" i="3"/>
  <c r="M46" i="3"/>
  <c r="J46" i="3"/>
  <c r="U45" i="3"/>
  <c r="S45" i="3"/>
  <c r="M45" i="3"/>
  <c r="J45" i="3"/>
  <c r="U44" i="3"/>
  <c r="S44" i="3"/>
  <c r="M44" i="3"/>
  <c r="J44" i="3"/>
  <c r="U43" i="3"/>
  <c r="S43" i="3"/>
  <c r="M43" i="3"/>
  <c r="J43" i="3"/>
  <c r="U42" i="3"/>
  <c r="S42" i="3"/>
  <c r="M42" i="3"/>
  <c r="J42" i="3"/>
  <c r="U41" i="3"/>
  <c r="S41" i="3"/>
  <c r="M41" i="3"/>
  <c r="J41" i="3"/>
  <c r="U40" i="3"/>
  <c r="S40" i="3"/>
  <c r="M40" i="3"/>
  <c r="J40" i="3"/>
  <c r="U39" i="3"/>
  <c r="S39" i="3"/>
  <c r="M39" i="3"/>
  <c r="J39" i="3"/>
  <c r="U38" i="3"/>
  <c r="S38" i="3"/>
  <c r="M38" i="3"/>
  <c r="J38" i="3"/>
  <c r="U37" i="3"/>
  <c r="S37" i="3"/>
  <c r="M37" i="3"/>
  <c r="J37" i="3"/>
  <c r="U36" i="3"/>
  <c r="S36" i="3"/>
  <c r="M36" i="3"/>
  <c r="J36" i="3"/>
  <c r="U35" i="3"/>
  <c r="S35" i="3"/>
  <c r="M35" i="3"/>
  <c r="J35" i="3"/>
  <c r="U34" i="3"/>
  <c r="S34" i="3"/>
  <c r="M34" i="3"/>
  <c r="J34" i="3"/>
  <c r="U33" i="3"/>
  <c r="S33" i="3"/>
  <c r="M33" i="3"/>
  <c r="J33" i="3"/>
  <c r="U32" i="3"/>
  <c r="S32" i="3"/>
  <c r="M32" i="3"/>
  <c r="J32" i="3"/>
  <c r="U31" i="3"/>
  <c r="S31" i="3"/>
  <c r="M31" i="3"/>
  <c r="J31" i="3"/>
  <c r="U30" i="3"/>
  <c r="S30" i="3"/>
  <c r="M30" i="3"/>
  <c r="J30" i="3"/>
  <c r="U29" i="3"/>
  <c r="S29" i="3"/>
  <c r="M29" i="3"/>
  <c r="J29" i="3"/>
  <c r="U28" i="3"/>
  <c r="S28" i="3"/>
  <c r="M28" i="3"/>
  <c r="J28" i="3"/>
  <c r="U27" i="3"/>
  <c r="S27" i="3"/>
  <c r="M27" i="3"/>
  <c r="J27" i="3"/>
  <c r="U26" i="3"/>
  <c r="S26" i="3"/>
  <c r="M26" i="3"/>
  <c r="J26" i="3"/>
  <c r="U25" i="3"/>
  <c r="S25" i="3"/>
  <c r="M25" i="3"/>
  <c r="J25" i="3"/>
  <c r="U24" i="3"/>
  <c r="S24" i="3"/>
  <c r="M24" i="3"/>
  <c r="J24" i="3"/>
  <c r="U23" i="3"/>
  <c r="S23" i="3"/>
  <c r="M23" i="3"/>
  <c r="J23" i="3"/>
  <c r="U22" i="3"/>
  <c r="S22" i="3"/>
  <c r="M22" i="3"/>
  <c r="J22" i="3"/>
  <c r="U21" i="3"/>
  <c r="S21" i="3"/>
  <c r="M21" i="3"/>
  <c r="J21" i="3"/>
  <c r="U20" i="3"/>
  <c r="S20" i="3"/>
  <c r="M20" i="3"/>
  <c r="J20" i="3"/>
  <c r="U19" i="3"/>
  <c r="S19" i="3"/>
  <c r="M19" i="3"/>
  <c r="J19" i="3"/>
  <c r="U18" i="3"/>
  <c r="S18" i="3"/>
  <c r="M18" i="3"/>
  <c r="J18" i="3"/>
  <c r="U17" i="3"/>
  <c r="S17" i="3"/>
  <c r="M17" i="3"/>
  <c r="J17" i="3"/>
  <c r="U16" i="3"/>
  <c r="S16" i="3"/>
  <c r="M16" i="3"/>
  <c r="J16" i="3"/>
  <c r="U15" i="3"/>
  <c r="S15" i="3"/>
  <c r="M15" i="3"/>
  <c r="J15" i="3"/>
  <c r="U14" i="3"/>
  <c r="S14" i="3"/>
  <c r="M14" i="3"/>
  <c r="J14" i="3"/>
  <c r="U13" i="3"/>
  <c r="S13" i="3"/>
  <c r="M13" i="3"/>
  <c r="J13" i="3"/>
  <c r="U12" i="3"/>
  <c r="S12" i="3"/>
  <c r="M12" i="3"/>
  <c r="J12" i="3"/>
  <c r="U11" i="3"/>
  <c r="S11" i="3"/>
  <c r="M11" i="3"/>
  <c r="J11" i="3"/>
  <c r="U10" i="3"/>
  <c r="S10" i="3"/>
  <c r="M10" i="3"/>
  <c r="J10" i="3"/>
  <c r="U9" i="3"/>
  <c r="S9" i="3"/>
  <c r="M9" i="3"/>
  <c r="J9" i="3"/>
  <c r="U8" i="3"/>
  <c r="S8" i="3"/>
  <c r="M8" i="3"/>
  <c r="J8" i="3"/>
  <c r="U7" i="3"/>
  <c r="S7" i="3"/>
  <c r="M7" i="3"/>
  <c r="J7" i="3"/>
  <c r="U6" i="3"/>
  <c r="S6" i="3"/>
  <c r="M6" i="3"/>
  <c r="J6" i="3"/>
  <c r="U5" i="3"/>
  <c r="S5" i="3"/>
  <c r="M5" i="3"/>
  <c r="J5" i="3"/>
  <c r="U4" i="3"/>
  <c r="S4" i="3"/>
  <c r="M4" i="3"/>
  <c r="J4" i="3"/>
  <c r="U3" i="3"/>
  <c r="S3" i="3"/>
  <c r="M3" i="3"/>
  <c r="J3" i="3"/>
  <c r="B49" i="2"/>
  <c r="B48" i="2"/>
  <c r="B47" i="2"/>
  <c r="B46" i="2"/>
  <c r="B45" i="2"/>
  <c r="C43" i="2"/>
  <c r="C42" i="2"/>
  <c r="C41" i="2"/>
  <c r="C40" i="2"/>
  <c r="C39" i="2"/>
  <c r="C38" i="2"/>
  <c r="C14" i="2"/>
  <c r="B14" i="2"/>
  <c r="C13" i="2"/>
  <c r="B13" i="2"/>
  <c r="C12" i="2"/>
  <c r="B12" i="2"/>
  <c r="C11" i="2"/>
  <c r="B11" i="2"/>
  <c r="B10" i="2"/>
  <c r="B9" i="2"/>
  <c r="E8" i="2"/>
  <c r="B8" i="2"/>
  <c r="E7" i="2"/>
  <c r="C7" i="2"/>
  <c r="B7" i="2"/>
  <c r="E6" i="2"/>
  <c r="C6" i="2"/>
  <c r="B6" i="2"/>
  <c r="B5" i="2"/>
  <c r="B28" i="1"/>
  <c r="B27" i="1"/>
  <c r="B26" i="1"/>
  <c r="B25" i="1"/>
  <c r="B24" i="1"/>
  <c r="B23" i="1"/>
  <c r="B22" i="1"/>
  <c r="B21" i="1"/>
  <c r="B20" i="1"/>
  <c r="B19" i="1"/>
  <c r="B18" i="1"/>
  <c r="B17" i="1"/>
  <c r="B16" i="1"/>
  <c r="B15" i="1"/>
  <c r="B14" i="1"/>
  <c r="B13" i="1"/>
  <c r="B12" i="1"/>
  <c r="B11" i="1"/>
  <c r="B10" i="1"/>
  <c r="B9" i="1"/>
  <c r="B8" i="1"/>
  <c r="B7" i="1"/>
  <c r="B6" i="1"/>
  <c r="B5" i="1"/>
  <c r="B4" i="1"/>
  <c r="B3" i="1"/>
  <c r="J479" i="22"/>
  <c r="J463" i="22"/>
  <c r="J734" i="22"/>
  <c r="J222" i="22"/>
  <c r="J493" i="22"/>
  <c r="J764" i="22"/>
  <c r="J252" i="22"/>
  <c r="J523" i="22"/>
  <c r="J11" i="22"/>
  <c r="J282" i="22"/>
  <c r="J553" i="22"/>
  <c r="J41" i="22"/>
  <c r="J312" i="22"/>
  <c r="J583" i="22"/>
  <c r="J71" i="22"/>
  <c r="J342" i="22"/>
  <c r="J613" i="22"/>
  <c r="J101" i="22"/>
  <c r="J388" i="22"/>
  <c r="J675" i="22"/>
  <c r="J163" i="22"/>
  <c r="J450" i="22"/>
  <c r="J737" i="22"/>
  <c r="J225" i="22"/>
  <c r="J496" i="22"/>
  <c r="J718" i="22"/>
  <c r="J206" i="22"/>
  <c r="J477" i="22"/>
  <c r="J748" i="22"/>
  <c r="J236" i="22"/>
  <c r="J507" i="22"/>
  <c r="J266" i="22"/>
  <c r="J537" i="22"/>
  <c r="J25" i="22"/>
  <c r="J296" i="22"/>
  <c r="J567" i="22"/>
  <c r="J326" i="22"/>
  <c r="J597" i="22"/>
  <c r="J85" i="22"/>
  <c r="J659" i="22"/>
  <c r="J147" i="22"/>
  <c r="J721" i="22"/>
  <c r="J480" i="22"/>
  <c r="J702" i="22"/>
  <c r="J461" i="22"/>
  <c r="J732" i="22"/>
  <c r="J491" i="22"/>
  <c r="J250" i="22"/>
  <c r="J521" i="22"/>
  <c r="J280" i="22"/>
  <c r="J39" i="22"/>
  <c r="J581" i="22"/>
  <c r="J69" i="22"/>
  <c r="J356" i="22"/>
  <c r="J131" i="22"/>
  <c r="J705" i="22"/>
  <c r="J193" i="22"/>
  <c r="J547" i="22"/>
  <c r="J368" i="22"/>
  <c r="J221" i="22"/>
  <c r="J311" i="22"/>
  <c r="J447" i="22"/>
  <c r="J778" i="22"/>
  <c r="J55" i="22"/>
  <c r="J372" i="22"/>
  <c r="J434" i="22"/>
  <c r="J209" i="22"/>
  <c r="J190" i="22"/>
  <c r="J220" i="22"/>
  <c r="J762" i="22"/>
  <c r="J9" i="22"/>
  <c r="J551" i="22"/>
  <c r="J310" i="22"/>
  <c r="J643" i="22"/>
  <c r="J418" i="22"/>
  <c r="J464" i="22"/>
  <c r="J370" i="22"/>
  <c r="J698" i="22"/>
  <c r="J216" i="22"/>
  <c r="J246" i="22"/>
  <c r="J292" i="22"/>
  <c r="J67" i="22"/>
  <c r="J641" i="22"/>
  <c r="J230" i="22"/>
  <c r="J395" i="22"/>
  <c r="J425" i="22"/>
  <c r="J184" i="22"/>
  <c r="J726" i="22"/>
  <c r="J214" i="22"/>
  <c r="J260" i="22"/>
  <c r="J322" i="22"/>
  <c r="J609" i="22"/>
  <c r="J97" i="22"/>
  <c r="J462" i="22"/>
  <c r="J552" i="22"/>
  <c r="J628" i="22"/>
  <c r="J465" i="22"/>
  <c r="J224" i="22"/>
  <c r="J431" i="22"/>
  <c r="J415" i="22"/>
  <c r="J686" i="22"/>
  <c r="J174" i="22"/>
  <c r="J445" i="22"/>
  <c r="J716" i="22"/>
  <c r="J204" i="22"/>
  <c r="J475" i="22"/>
  <c r="J746" i="22"/>
  <c r="J234" i="22"/>
  <c r="J505" i="22"/>
  <c r="J776" i="22"/>
  <c r="J264" i="22"/>
  <c r="J535" i="22"/>
  <c r="J23" i="22"/>
  <c r="J294" i="22"/>
  <c r="J565" i="22"/>
  <c r="J53" i="22"/>
  <c r="J340" i="22"/>
  <c r="J627" i="22"/>
  <c r="J115" i="22"/>
  <c r="J402" i="22"/>
  <c r="J689" i="22"/>
  <c r="J177" i="22"/>
  <c r="J448" i="22"/>
  <c r="J399" i="22"/>
  <c r="J670" i="22"/>
  <c r="J158" i="22"/>
  <c r="J429" i="22"/>
  <c r="J700" i="22"/>
  <c r="J188" i="22"/>
  <c r="J459" i="22"/>
  <c r="J730" i="22"/>
  <c r="J218" i="22"/>
  <c r="J489" i="22"/>
  <c r="J760" i="22"/>
  <c r="J248" i="22"/>
  <c r="J519" i="22"/>
  <c r="J7" i="22"/>
  <c r="J278" i="22"/>
  <c r="J549" i="22"/>
  <c r="J37" i="22"/>
  <c r="J324" i="22"/>
  <c r="J611" i="22"/>
  <c r="J99" i="22"/>
  <c r="J386" i="22"/>
  <c r="J673" i="22"/>
  <c r="J161" i="22"/>
  <c r="J432" i="22"/>
  <c r="J383" i="22"/>
  <c r="J654" i="22"/>
  <c r="J142" i="22"/>
  <c r="J413" i="22"/>
  <c r="J684" i="22"/>
  <c r="J172" i="22"/>
  <c r="J443" i="22"/>
  <c r="J714" i="22"/>
  <c r="J202" i="22"/>
  <c r="J473" i="22"/>
  <c r="J744" i="22"/>
  <c r="J232" i="22"/>
  <c r="J503" i="22"/>
  <c r="J774" i="22"/>
  <c r="J262" i="22"/>
  <c r="J533" i="22"/>
  <c r="J21" i="22"/>
  <c r="J308" i="22"/>
  <c r="J595" i="22"/>
  <c r="J83" i="22"/>
  <c r="J657" i="22"/>
  <c r="J145" i="22"/>
  <c r="J416" i="22"/>
  <c r="J367" i="22"/>
  <c r="J638" i="22"/>
  <c r="J126" i="22"/>
  <c r="J397" i="22"/>
  <c r="J668" i="22"/>
  <c r="J156" i="22"/>
  <c r="J427" i="22"/>
  <c r="J186" i="22"/>
  <c r="J457" i="22"/>
  <c r="J728" i="22"/>
  <c r="J487" i="22"/>
  <c r="J758" i="22"/>
  <c r="J517" i="22"/>
  <c r="J5" i="22"/>
  <c r="J579" i="22"/>
  <c r="J354" i="22"/>
  <c r="J129" i="22"/>
  <c r="J400" i="22"/>
  <c r="J351" i="22"/>
  <c r="J622" i="22"/>
  <c r="J110" i="22"/>
  <c r="J381" i="22"/>
  <c r="J652" i="22"/>
  <c r="J140" i="22"/>
  <c r="J411" i="22"/>
  <c r="J682" i="22"/>
  <c r="J170" i="22"/>
  <c r="J441" i="22"/>
  <c r="J712" i="22"/>
  <c r="J200" i="22"/>
  <c r="J471" i="22"/>
  <c r="J742" i="22"/>
  <c r="J501" i="22"/>
  <c r="J788" i="22"/>
  <c r="J276" i="22"/>
  <c r="J563" i="22"/>
  <c r="J51" i="22"/>
  <c r="J338" i="22"/>
  <c r="J625" i="22"/>
  <c r="J113" i="22"/>
  <c r="J384" i="22"/>
  <c r="J335" i="22"/>
  <c r="J606" i="22"/>
  <c r="J94" i="22"/>
  <c r="J365" i="22"/>
  <c r="J636" i="22"/>
  <c r="J124" i="22"/>
  <c r="J666" i="22"/>
  <c r="J154" i="22"/>
  <c r="J696" i="22"/>
  <c r="J455" i="22"/>
  <c r="J485" i="22"/>
  <c r="J35" i="22"/>
  <c r="J251" i="22"/>
  <c r="J70" i="22"/>
  <c r="J178" i="22"/>
  <c r="J772" i="22"/>
  <c r="J319" i="22"/>
  <c r="J590" i="22"/>
  <c r="J78" i="22"/>
  <c r="J349" i="22"/>
  <c r="J620" i="22"/>
  <c r="J108" i="22"/>
  <c r="J379" i="22"/>
  <c r="J650" i="22"/>
  <c r="J138" i="22"/>
  <c r="J409" i="22"/>
  <c r="J680" i="22"/>
  <c r="J168" i="22"/>
  <c r="J439" i="22"/>
  <c r="J710" i="22"/>
  <c r="J198" i="22"/>
  <c r="J469" i="22"/>
  <c r="J756" i="22"/>
  <c r="J244" i="22"/>
  <c r="J531" i="22"/>
  <c r="J19" i="22"/>
  <c r="J306" i="22"/>
  <c r="J593" i="22"/>
  <c r="J81" i="22"/>
  <c r="J352" i="22"/>
  <c r="J303" i="22"/>
  <c r="J574" i="22"/>
  <c r="J62" i="22"/>
  <c r="J333" i="22"/>
  <c r="J604" i="22"/>
  <c r="J92" i="22"/>
  <c r="J363" i="22"/>
  <c r="J634" i="22"/>
  <c r="J122" i="22"/>
  <c r="J393" i="22"/>
  <c r="J664" i="22"/>
  <c r="J152" i="22"/>
  <c r="J423" i="22"/>
  <c r="J694" i="22"/>
  <c r="J182" i="22"/>
  <c r="J453" i="22"/>
  <c r="J740" i="22"/>
  <c r="J228" i="22"/>
  <c r="J515" i="22"/>
  <c r="J3" i="22"/>
  <c r="J290" i="22"/>
  <c r="J577" i="22"/>
  <c r="J65" i="22"/>
  <c r="J336" i="22"/>
  <c r="J287" i="22"/>
  <c r="J558" i="22"/>
  <c r="J46" i="22"/>
  <c r="J317" i="22"/>
  <c r="J588" i="22"/>
  <c r="J76" i="22"/>
  <c r="J347" i="22"/>
  <c r="J618" i="22"/>
  <c r="J106" i="22"/>
  <c r="J377" i="22"/>
  <c r="J648" i="22"/>
  <c r="J136" i="22"/>
  <c r="J407" i="22"/>
  <c r="J678" i="22"/>
  <c r="J166" i="22"/>
  <c r="J437" i="22"/>
  <c r="J724" i="22"/>
  <c r="J212" i="22"/>
  <c r="J499" i="22"/>
  <c r="J786" i="22"/>
  <c r="J274" i="22"/>
  <c r="J561" i="22"/>
  <c r="J49" i="22"/>
  <c r="J320" i="22"/>
  <c r="J554" i="22"/>
  <c r="J584" i="22"/>
  <c r="J343" i="22"/>
  <c r="J102" i="22"/>
  <c r="J148" i="22"/>
  <c r="J435" i="22"/>
  <c r="J722" i="22"/>
  <c r="J497" i="22"/>
  <c r="J768" i="22"/>
  <c r="J779" i="22"/>
  <c r="J194" i="22"/>
  <c r="J733" i="22"/>
  <c r="J281" i="22"/>
  <c r="J341" i="22"/>
  <c r="J736" i="22"/>
  <c r="J783" i="22"/>
  <c r="J271" i="22"/>
  <c r="J542" i="22"/>
  <c r="J30" i="22"/>
  <c r="J301" i="22"/>
  <c r="J572" i="22"/>
  <c r="J60" i="22"/>
  <c r="J331" i="22"/>
  <c r="J602" i="22"/>
  <c r="J90" i="22"/>
  <c r="J361" i="22"/>
  <c r="J632" i="22"/>
  <c r="J120" i="22"/>
  <c r="J391" i="22"/>
  <c r="J662" i="22"/>
  <c r="J150" i="22"/>
  <c r="J421" i="22"/>
  <c r="J708" i="22"/>
  <c r="J196" i="22"/>
  <c r="J483" i="22"/>
  <c r="J770" i="22"/>
  <c r="J258" i="22"/>
  <c r="J545" i="22"/>
  <c r="J33" i="22"/>
  <c r="J304" i="22"/>
  <c r="J767" i="22"/>
  <c r="J255" i="22"/>
  <c r="J526" i="22"/>
  <c r="J14" i="22"/>
  <c r="J285" i="22"/>
  <c r="J556" i="22"/>
  <c r="J44" i="22"/>
  <c r="J315" i="22"/>
  <c r="J586" i="22"/>
  <c r="J74" i="22"/>
  <c r="J345" i="22"/>
  <c r="J616" i="22"/>
  <c r="J104" i="22"/>
  <c r="J375" i="22"/>
  <c r="J646" i="22"/>
  <c r="J134" i="22"/>
  <c r="J405" i="22"/>
  <c r="J692" i="22"/>
  <c r="J180" i="22"/>
  <c r="J467" i="22"/>
  <c r="J754" i="22"/>
  <c r="J242" i="22"/>
  <c r="J529" i="22"/>
  <c r="J17" i="22"/>
  <c r="J288" i="22"/>
  <c r="J751" i="22"/>
  <c r="J239" i="22"/>
  <c r="J510" i="22"/>
  <c r="J781" i="22"/>
  <c r="J269" i="22"/>
  <c r="J540" i="22"/>
  <c r="J28" i="22"/>
  <c r="J299" i="22"/>
  <c r="J570" i="22"/>
  <c r="J58" i="22"/>
  <c r="J329" i="22"/>
  <c r="J600" i="22"/>
  <c r="J88" i="22"/>
  <c r="J359" i="22"/>
  <c r="J630" i="22"/>
  <c r="J118" i="22"/>
  <c r="J389" i="22"/>
  <c r="J676" i="22"/>
  <c r="J164" i="22"/>
  <c r="J451" i="22"/>
  <c r="J738" i="22"/>
  <c r="J226" i="22"/>
  <c r="J513" i="22"/>
  <c r="J784" i="22"/>
  <c r="J272" i="22"/>
  <c r="J735" i="22"/>
  <c r="J223" i="22"/>
  <c r="J494" i="22"/>
  <c r="J765" i="22"/>
  <c r="J253" i="22"/>
  <c r="J524" i="22"/>
  <c r="J12" i="22"/>
  <c r="J283" i="22"/>
  <c r="J42" i="22"/>
  <c r="J313" i="22"/>
  <c r="J72" i="22"/>
  <c r="J614" i="22"/>
  <c r="J660" i="22"/>
  <c r="J210" i="22"/>
  <c r="J256" i="22"/>
  <c r="J719" i="22"/>
  <c r="J207" i="22"/>
  <c r="J749" i="22"/>
  <c r="J508" i="22"/>
  <c r="J267" i="22"/>
  <c r="J538" i="22"/>
  <c r="J26" i="22"/>
  <c r="J297" i="22"/>
  <c r="J568" i="22"/>
  <c r="J56" i="22"/>
  <c r="J327" i="22"/>
  <c r="J598" i="22"/>
  <c r="J86" i="22"/>
  <c r="J357" i="22"/>
  <c r="J644" i="22"/>
  <c r="J419" i="22"/>
  <c r="J706" i="22"/>
  <c r="J481" i="22"/>
  <c r="J752" i="22"/>
  <c r="J240" i="22"/>
  <c r="J191" i="22"/>
  <c r="J763" i="22"/>
  <c r="J10" i="22"/>
  <c r="J582" i="22"/>
  <c r="J690" i="22"/>
  <c r="J373" i="22"/>
  <c r="J237" i="22"/>
  <c r="J478" i="22"/>
  <c r="J132" i="22"/>
  <c r="J703" i="22"/>
  <c r="J492" i="22"/>
  <c r="J522" i="22"/>
  <c r="J40" i="22"/>
  <c r="J116" i="22"/>
  <c r="J623" i="22"/>
  <c r="J111" i="22"/>
  <c r="J382" i="22"/>
  <c r="J653" i="22"/>
  <c r="J141" i="22"/>
  <c r="J412" i="22"/>
  <c r="J683" i="22"/>
  <c r="J171" i="22"/>
  <c r="J442" i="22"/>
  <c r="J713" i="22"/>
  <c r="J201" i="22"/>
  <c r="J472" i="22"/>
  <c r="J743" i="22"/>
  <c r="J231" i="22"/>
  <c r="J502" i="22"/>
  <c r="J773" i="22"/>
  <c r="J261" i="22"/>
  <c r="J548" i="22"/>
  <c r="J36" i="22"/>
  <c r="J323" i="22"/>
  <c r="J610" i="22"/>
  <c r="J98" i="22"/>
  <c r="J385" i="22"/>
  <c r="J656" i="22"/>
  <c r="J144" i="22"/>
  <c r="J575" i="22"/>
  <c r="J717" i="22"/>
  <c r="J364" i="22"/>
  <c r="J27" i="22"/>
  <c r="J169" i="22"/>
  <c r="J615" i="22"/>
  <c r="J757" i="22"/>
  <c r="J436" i="22"/>
  <c r="J642" i="22"/>
  <c r="J305" i="22"/>
  <c r="J559" i="22"/>
  <c r="J701" i="22"/>
  <c r="J348" i="22"/>
  <c r="J506" i="22"/>
  <c r="J599" i="22"/>
  <c r="J741" i="22"/>
  <c r="J420" i="22"/>
  <c r="J626" i="22"/>
  <c r="J289" i="22"/>
  <c r="J543" i="22"/>
  <c r="J685" i="22"/>
  <c r="J490" i="22"/>
  <c r="J137" i="22"/>
  <c r="J295" i="22"/>
  <c r="J725" i="22"/>
  <c r="J404" i="22"/>
  <c r="J594" i="22"/>
  <c r="J273" i="22"/>
  <c r="J527" i="22"/>
  <c r="J669" i="22"/>
  <c r="J316" i="22"/>
  <c r="J474" i="22"/>
  <c r="J121" i="22"/>
  <c r="J279" i="22"/>
  <c r="J709" i="22"/>
  <c r="J100" i="22"/>
  <c r="J189" i="22"/>
  <c r="J87" i="22"/>
  <c r="J229" i="22"/>
  <c r="J114" i="22"/>
  <c r="J560" i="22"/>
  <c r="J153" i="22"/>
  <c r="J578" i="22"/>
  <c r="J637" i="22"/>
  <c r="J105" i="22"/>
  <c r="J693" i="22"/>
  <c r="J241" i="22"/>
  <c r="J573" i="22"/>
  <c r="J378" i="22"/>
  <c r="J183" i="22"/>
  <c r="J4" i="22"/>
  <c r="J672" i="22"/>
  <c r="J557" i="22"/>
  <c r="J520" i="22"/>
  <c r="J325" i="22"/>
  <c r="J640" i="22"/>
  <c r="J135" i="22"/>
  <c r="J608" i="22"/>
  <c r="J619" i="22"/>
  <c r="J408" i="22"/>
  <c r="J157" i="22"/>
  <c r="J745" i="22"/>
  <c r="J403" i="22"/>
  <c r="J528" i="22"/>
  <c r="J571" i="22"/>
  <c r="J534" i="22"/>
  <c r="J50" i="22"/>
  <c r="J750" i="22"/>
  <c r="J697" i="22"/>
  <c r="J165" i="22"/>
  <c r="J446" i="22"/>
  <c r="J539" i="22"/>
  <c r="J486" i="22"/>
  <c r="J355" i="22"/>
  <c r="J192" i="22"/>
  <c r="J430" i="22"/>
  <c r="J235" i="22"/>
  <c r="J328" i="22"/>
  <c r="J133" i="22"/>
  <c r="J176" i="22"/>
  <c r="J61" i="22"/>
  <c r="J454" i="22"/>
  <c r="J307" i="22"/>
  <c r="J29" i="22"/>
  <c r="J422" i="22"/>
  <c r="J275" i="22"/>
  <c r="J155" i="22"/>
  <c r="J406" i="22"/>
  <c r="J259" i="22"/>
  <c r="J139" i="22"/>
  <c r="J390" i="22"/>
  <c r="J80" i="22"/>
  <c r="J476" i="22"/>
  <c r="J374" i="22"/>
  <c r="J64" i="22"/>
  <c r="J460" i="22"/>
  <c r="J358" i="22"/>
  <c r="J401" i="22"/>
  <c r="J332" i="22"/>
  <c r="J257" i="22"/>
  <c r="J300" i="22"/>
  <c r="J458" i="22"/>
  <c r="J263" i="22"/>
  <c r="J562" i="22"/>
  <c r="J143" i="22"/>
  <c r="J731" i="22"/>
  <c r="J536" i="22"/>
  <c r="J629" i="22"/>
  <c r="J127" i="22"/>
  <c r="J362" i="22"/>
  <c r="J787" i="22"/>
  <c r="J667" i="22"/>
  <c r="J755" i="22"/>
  <c r="J777" i="22"/>
  <c r="J550" i="22"/>
  <c r="J766" i="22"/>
  <c r="J387" i="22"/>
  <c r="J109" i="22"/>
  <c r="J360" i="22"/>
  <c r="J34" i="22"/>
  <c r="J93" i="22"/>
  <c r="J681" i="22"/>
  <c r="J344" i="22"/>
  <c r="J149" i="22"/>
  <c r="J18" i="22"/>
  <c r="J77" i="22"/>
  <c r="J665" i="22"/>
  <c r="J470" i="22"/>
  <c r="J2" i="22"/>
  <c r="J414" i="22"/>
  <c r="J24" i="22"/>
  <c r="J117" i="22"/>
  <c r="J160" i="22"/>
  <c r="J366" i="22"/>
  <c r="J775" i="22"/>
  <c r="J753" i="22"/>
  <c r="J13" i="22"/>
  <c r="J759" i="22"/>
  <c r="J449" i="22"/>
  <c r="J334" i="22"/>
  <c r="J585" i="22"/>
  <c r="J564" i="22"/>
  <c r="J687" i="22"/>
  <c r="J569" i="22"/>
  <c r="J417" i="22"/>
  <c r="J302" i="22"/>
  <c r="J695" i="22"/>
  <c r="J286" i="22"/>
  <c r="J444" i="22"/>
  <c r="J249" i="22"/>
  <c r="J500" i="22"/>
  <c r="J227" i="22"/>
  <c r="J511" i="22"/>
  <c r="J84" i="22"/>
  <c r="J495" i="22"/>
  <c r="J621" i="22"/>
  <c r="J284" i="22"/>
  <c r="J426" i="22"/>
  <c r="J89" i="22"/>
  <c r="J247" i="22"/>
  <c r="J677" i="22"/>
  <c r="J68" i="22"/>
  <c r="J546" i="22"/>
  <c r="J720" i="22"/>
  <c r="J175" i="22"/>
  <c r="J605" i="22"/>
  <c r="J268" i="22"/>
  <c r="J410" i="22"/>
  <c r="J73" i="22"/>
  <c r="J215" i="22"/>
  <c r="J661" i="22"/>
  <c r="J52" i="22"/>
  <c r="J530" i="22"/>
  <c r="J704" i="22"/>
  <c r="J159" i="22"/>
  <c r="J589" i="22"/>
  <c r="J747" i="22"/>
  <c r="J394" i="22"/>
  <c r="J57" i="22"/>
  <c r="J199" i="22"/>
  <c r="J645" i="22"/>
  <c r="J20" i="22"/>
  <c r="J514" i="22"/>
  <c r="J688" i="22"/>
  <c r="J498" i="22"/>
  <c r="J715" i="22"/>
  <c r="J167" i="22"/>
  <c r="J482" i="22"/>
  <c r="J525" i="22"/>
  <c r="J330" i="22"/>
  <c r="J293" i="22"/>
  <c r="J162" i="22"/>
  <c r="J376" i="22"/>
  <c r="J339" i="22"/>
  <c r="J617" i="22"/>
  <c r="J112" i="22"/>
  <c r="J107" i="22"/>
  <c r="J48" i="22"/>
  <c r="J32" i="22"/>
  <c r="J433" i="22"/>
  <c r="J516" i="22"/>
  <c r="J369" i="22"/>
  <c r="J785" i="22"/>
  <c r="J54" i="22"/>
  <c r="J95" i="22"/>
  <c r="J541" i="22"/>
  <c r="J699" i="22"/>
  <c r="J346" i="22"/>
  <c r="J504" i="22"/>
  <c r="J151" i="22"/>
  <c r="J309" i="22"/>
  <c r="J771" i="22"/>
  <c r="J466" i="22"/>
  <c r="J624" i="22"/>
  <c r="J79" i="22"/>
  <c r="J488" i="22"/>
  <c r="J173" i="22"/>
  <c r="J761" i="22"/>
  <c r="J213" i="22"/>
  <c r="J82" i="22"/>
  <c r="J544" i="22"/>
  <c r="J649" i="22"/>
  <c r="J63" i="22"/>
  <c r="J509" i="22"/>
  <c r="J651" i="22"/>
  <c r="J314" i="22"/>
  <c r="J456" i="22"/>
  <c r="J119" i="22"/>
  <c r="J277" i="22"/>
  <c r="J739" i="22"/>
  <c r="J146" i="22"/>
  <c r="J592" i="22"/>
  <c r="J47" i="22"/>
  <c r="J205" i="22"/>
  <c r="J635" i="22"/>
  <c r="J298" i="22"/>
  <c r="J440" i="22"/>
  <c r="J103" i="22"/>
  <c r="J245" i="22"/>
  <c r="J723" i="22"/>
  <c r="J130" i="22"/>
  <c r="J576" i="22"/>
  <c r="J31" i="22"/>
  <c r="J424" i="22"/>
  <c r="J707" i="22"/>
  <c r="J15" i="22"/>
  <c r="J603" i="22"/>
  <c r="J566" i="22"/>
  <c r="J691" i="22"/>
  <c r="J782" i="22"/>
  <c r="J587" i="22"/>
  <c r="J392" i="22"/>
  <c r="J197" i="22"/>
  <c r="J66" i="22"/>
  <c r="J125" i="22"/>
  <c r="J729" i="22"/>
  <c r="J181" i="22"/>
  <c r="J512" i="22"/>
  <c r="J555" i="22"/>
  <c r="J518" i="22"/>
  <c r="J371" i="22"/>
  <c r="J208" i="22"/>
  <c r="J219" i="22"/>
  <c r="J187" i="22"/>
  <c r="J596" i="22"/>
  <c r="J350" i="22"/>
  <c r="J601" i="22"/>
  <c r="J580" i="22"/>
  <c r="J96" i="22"/>
  <c r="J780" i="22"/>
  <c r="J727" i="22"/>
  <c r="J243" i="22"/>
  <c r="J318" i="22"/>
  <c r="J711" i="22"/>
  <c r="J671" i="22"/>
  <c r="J265" i="22"/>
  <c r="J211" i="22"/>
  <c r="J655" i="22"/>
  <c r="J91" i="22"/>
  <c r="J679" i="22"/>
  <c r="J195" i="22"/>
  <c r="J321" i="22"/>
  <c r="J123" i="22"/>
  <c r="J398" i="22"/>
  <c r="J45" i="22"/>
  <c r="J203" i="22"/>
  <c r="J633" i="22"/>
  <c r="J8" i="22"/>
  <c r="J438" i="22"/>
  <c r="J612" i="22"/>
  <c r="J291" i="22"/>
  <c r="J769" i="22"/>
  <c r="J128" i="22"/>
  <c r="J532" i="22"/>
  <c r="J639" i="22"/>
  <c r="J270" i="22"/>
  <c r="J428" i="22"/>
  <c r="J75" i="22"/>
  <c r="J233" i="22"/>
  <c r="J663" i="22"/>
  <c r="J38" i="22"/>
  <c r="J484" i="22"/>
  <c r="J179" i="22"/>
  <c r="J353" i="22"/>
  <c r="J16" i="22"/>
  <c r="J607" i="22"/>
  <c r="J396" i="22"/>
  <c r="J59" i="22"/>
  <c r="J217" i="22"/>
  <c r="J647" i="22"/>
  <c r="J22" i="22"/>
  <c r="J468" i="22"/>
  <c r="J674" i="22"/>
  <c r="J337" i="22"/>
  <c r="J591" i="22"/>
  <c r="J380" i="22"/>
  <c r="J43" i="22"/>
  <c r="J185" i="22"/>
  <c r="J631" i="22"/>
  <c r="J6" i="22"/>
  <c r="J452" i="22"/>
  <c r="J658" i="22"/>
  <c r="J254" i="22"/>
  <c r="J238"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SEO Audit Bot</author>
  </authors>
  <commentList>
    <comment ref="D2" authorId="0" shapeId="0" xr:uid="{00000000-0006-0000-0200-000001000000}">
      <text>
        <r>
          <rPr>
            <sz val="11"/>
            <color theme="1"/>
            <rFont val="Calibri"/>
            <family val="2"/>
            <scheme val="minor"/>
          </rPr>
          <t>The live page being audited.</t>
        </r>
      </text>
    </comment>
    <comment ref="E2" authorId="0" shapeId="0" xr:uid="{00000000-0006-0000-0200-000002000000}">
      <text>
        <r>
          <rPr>
            <sz val="11"/>
            <color theme="1"/>
            <rFont val="Calibri"/>
            <family val="2"/>
            <scheme val="minor"/>
          </rPr>
          <t>Opens the Elementor editor directly, bypassing the standard WordPress dashboard.</t>
        </r>
      </text>
    </comment>
    <comment ref="F2" authorId="0" shapeId="0" xr:uid="{00000000-0006-0000-0200-000003000000}">
      <text>
        <r>
          <rPr>
            <sz val="11"/>
            <color theme="1"/>
            <rFont val="Calibri"/>
            <family val="2"/>
            <scheme val="minor"/>
          </rPr>
          <t>The primary search terms for this page. Keep these in mind while drafting.</t>
        </r>
      </text>
    </comment>
    <comment ref="G2" authorId="0" shapeId="0" xr:uid="{00000000-0006-0000-0200-000004000000}">
      <text>
        <r>
          <rPr>
            <sz val="11"/>
            <color theme="1"/>
            <rFont val="Calibri"/>
            <family val="2"/>
            <scheme val="minor"/>
          </rPr>
          <t>The first 250 characters of the actual page body text. Use this to understand the page context.</t>
        </r>
      </text>
    </comment>
    <comment ref="H2" authorId="0" shapeId="0" xr:uid="{00000000-0006-0000-0200-000005000000}">
      <text>
        <r>
          <rPr>
            <sz val="11"/>
            <color theme="1"/>
            <rFont val="Calibri"/>
            <family val="2"/>
            <scheme val="minor"/>
          </rPr>
          <t>Live crawled &lt;title&gt; value from the page.</t>
        </r>
      </text>
    </comment>
    <comment ref="I2" authorId="0" shapeId="0" xr:uid="{00000000-0006-0000-0200-000006000000}">
      <text>
        <r>
          <rPr>
            <sz val="11"/>
            <color theme="1"/>
            <rFont val="Calibri"/>
            <family val="2"/>
            <scheme val="minor"/>
          </rPr>
          <t>SEO RULE: 50-60 characters. Put the most important keyword at the beginning.</t>
        </r>
      </text>
    </comment>
    <comment ref="J2" authorId="0" shapeId="0" xr:uid="{00000000-0006-0000-0200-000007000000}">
      <text>
        <r>
          <rPr>
            <sz val="11"/>
            <color theme="1"/>
            <rFont val="Calibri"/>
            <family val="2"/>
            <scheme val="minor"/>
          </rPr>
          <t>Green = Good. Red = Too long (will be cut off by Google) or too short.</t>
        </r>
      </text>
    </comment>
    <comment ref="K2" authorId="0" shapeId="0" xr:uid="{00000000-0006-0000-0200-000008000000}">
      <text>
        <r>
          <rPr>
            <sz val="11"/>
            <color theme="1"/>
            <rFont val="Calibri"/>
            <family val="2"/>
            <scheme val="minor"/>
          </rPr>
          <t>Live crawled meta description from the page.</t>
        </r>
      </text>
    </comment>
    <comment ref="L2" authorId="0" shapeId="0" xr:uid="{00000000-0006-0000-0200-000009000000}">
      <text>
        <r>
          <rPr>
            <sz val="11"/>
            <color theme="1"/>
            <rFont val="Calibri"/>
            <family val="2"/>
            <scheme val="minor"/>
          </rPr>
          <t>SEO RULE: 120-160 characters. Must include a Call-To-Action (e.g., 'Read more', 'Register here').</t>
        </r>
      </text>
    </comment>
    <comment ref="M2" authorId="0" shapeId="0" xr:uid="{00000000-0006-0000-0200-00000A000000}">
      <text>
        <r>
          <rPr>
            <sz val="11"/>
            <color theme="1"/>
            <rFont val="Calibri"/>
            <family val="2"/>
            <scheme val="minor"/>
          </rPr>
          <t>Green = Good. Red = Too long (will be cut off by Google) or too short.</t>
        </r>
      </text>
    </comment>
    <comment ref="N2" authorId="0" shapeId="0" xr:uid="{00000000-0006-0000-0200-00000B000000}">
      <text>
        <r>
          <rPr>
            <sz val="11"/>
            <color theme="1"/>
            <rFont val="Calibri"/>
            <family val="2"/>
            <scheme val="minor"/>
          </rPr>
          <t>Current H1/H2/H3 structure scraped from the page.</t>
        </r>
      </text>
    </comment>
    <comment ref="O2" authorId="0" shapeId="0" xr:uid="{00000000-0006-0000-0200-00000C000000}">
      <text>
        <r>
          <rPr>
            <sz val="11"/>
            <color theme="1"/>
            <rFont val="Calibri"/>
            <family val="2"/>
            <scheme val="minor"/>
          </rPr>
          <t>Ensure exactly ONE H1. Use H2s for main sections, and H3s for sub-sections. Format headings as questions where possible.</t>
        </r>
      </text>
    </comment>
    <comment ref="P2" authorId="0" shapeId="0" xr:uid="{00000000-0006-0000-0200-00000D000000}">
      <text>
        <r>
          <rPr>
            <sz val="11"/>
            <color theme="1"/>
            <rFont val="Calibri"/>
            <family val="2"/>
            <scheme val="minor"/>
          </rPr>
          <t>A 40-60 word, highly factual paragraph designed to win AI overviews/Featured Snippets. Do not use marketing fluff here.</t>
        </r>
      </text>
    </comment>
    <comment ref="Q2" authorId="0" shapeId="0" xr:uid="{00000000-0006-0000-0200-00000E000000}">
      <text>
        <r>
          <rPr>
            <sz val="11"/>
            <color theme="1"/>
            <rFont val="Calibri"/>
            <family val="2"/>
            <scheme val="minor"/>
          </rPr>
          <t>Draft Question &amp; Answer pairs. These will be loaded into the AIOSEO FAQ schema block in Elementor.</t>
        </r>
      </text>
    </comment>
    <comment ref="R2" authorId="0" shapeId="0" xr:uid="{00000000-0006-0000-0200-00000F000000}">
      <text>
        <r>
          <rPr>
            <sz val="11"/>
            <color theme="1"/>
            <rFont val="Calibri"/>
            <family val="2"/>
            <scheme val="minor"/>
          </rPr>
          <t>The image shared on Social Media (Facebook/LinkedIn).</t>
        </r>
      </text>
    </comment>
    <comment ref="S2" authorId="0" shapeId="0" xr:uid="{00000000-0006-0000-0200-000010000000}">
      <text>
        <r>
          <rPr>
            <sz val="11"/>
            <color theme="1"/>
            <rFont val="Calibri"/>
            <family val="2"/>
            <scheme val="minor"/>
          </rPr>
          <t>Live preview of the social share image. Requires Microsoft 365 and an active internet connection to render.</t>
        </r>
      </text>
    </comment>
  </commentList>
</comments>
</file>

<file path=xl/sharedStrings.xml><?xml version="1.0" encoding="utf-8"?>
<sst xmlns="http://schemas.openxmlformats.org/spreadsheetml/2006/main" count="23261" uniqueCount="3448">
  <si>
    <t>Table of Contents</t>
  </si>
  <si>
    <t>Section</t>
  </si>
  <si>
    <t>Open</t>
  </si>
  <si>
    <t>Dashboard</t>
  </si>
  <si>
    <t>Content Optimization Hub</t>
  </si>
  <si>
    <t>FixPlan</t>
  </si>
  <si>
    <t>Main</t>
  </si>
  <si>
    <t>Technical</t>
  </si>
  <si>
    <t>Content</t>
  </si>
  <si>
    <t>AEO</t>
  </si>
  <si>
    <t>Schema &amp; Metadata</t>
  </si>
  <si>
    <t>Links</t>
  </si>
  <si>
    <t>Indexability</t>
  </si>
  <si>
    <t>Redirects</t>
  </si>
  <si>
    <t>Priority URLs</t>
  </si>
  <si>
    <t>AIOSEO</t>
  </si>
  <si>
    <t>Security</t>
  </si>
  <si>
    <t>Summary</t>
  </si>
  <si>
    <t>Legend</t>
  </si>
  <si>
    <t>LinksDetail</t>
  </si>
  <si>
    <t>Media</t>
  </si>
  <si>
    <t>Duplicates</t>
  </si>
  <si>
    <t>TemplateClusters</t>
  </si>
  <si>
    <t>IssueInventory</t>
  </si>
  <si>
    <t>RunMetadata</t>
  </si>
  <si>
    <t>DeltaFromPreviousRun</t>
  </si>
  <si>
    <t>ResolvedIssues</t>
  </si>
  <si>
    <t>CrawlGraph</t>
  </si>
  <si>
    <t>SitemapQA</t>
  </si>
  <si>
    <t>Metric</t>
  </si>
  <si>
    <t>Executive SEO &amp; AEO Dashboard</t>
  </si>
  <si>
    <t>Column_3</t>
  </si>
  <si>
    <t>Column_4</t>
  </si>
  <si>
    <t>Column_5</t>
  </si>
  <si>
    <t>Column_6</t>
  </si>
  <si>
    <t>Column_7</t>
  </si>
  <si>
    <t>Column_8</t>
  </si>
  <si>
    <t>Column_9</t>
  </si>
  <si>
    <t>Column_10</t>
  </si>
  <si>
    <t>Column_11</t>
  </si>
  <si>
    <t>Column_12</t>
  </si>
  <si>
    <t>Column_13</t>
  </si>
  <si>
    <t>Column_14</t>
  </si>
  <si>
    <t>Column_15</t>
  </si>
  <si>
    <t>Column_16</t>
  </si>
  <si>
    <t>Column_17</t>
  </si>
  <si>
    <t>Column_18</t>
  </si>
  <si>
    <t>Column_19</t>
  </si>
  <si>
    <t>Column_20</t>
  </si>
  <si>
    <t>Column_21</t>
  </si>
  <si>
    <t>Column_22</t>
  </si>
  <si>
    <t>Column_23</t>
  </si>
  <si>
    <t>Column_24</t>
  </si>
  <si>
    <t>Column_25</t>
  </si>
  <si>
    <t>URLs Crawled</t>
  </si>
  <si>
    <t>Executive SEO &amp; AEO Performance Report</t>
  </si>
  <si>
    <t>Pass Rate (%)</t>
  </si>
  <si>
    <t>1970-01-01 00:00:00.000000000</t>
  </si>
  <si>
    <t>Critical URL Count</t>
  </si>
  <si>
    <t>EXECUTIVE METRICS</t>
  </si>
  <si>
    <t>Value</t>
  </si>
  <si>
    <t>OWNER ISSUE SUMMARY (PIVOT)</t>
  </si>
  <si>
    <t>Warning URL Count</t>
  </si>
  <si>
    <t>Owner</t>
  </si>
  <si>
    <t>Issue Rows</t>
  </si>
  <si>
    <t>Affected URLs</t>
  </si>
  <si>
    <t>Critical</t>
  </si>
  <si>
    <t>Warning</t>
  </si>
  <si>
    <t>Observation</t>
  </si>
  <si>
    <t>Status Distribution</t>
  </si>
  <si>
    <t>Score Bands</t>
  </si>
  <si>
    <t>Projected Health Score % (if all To Do done)</t>
  </si>
  <si>
    <t>Projected Pass Rate % (if all To Do done)</t>
  </si>
  <si>
    <t>Status</t>
  </si>
  <si>
    <t>Count</t>
  </si>
  <si>
    <t>200 OK</t>
  </si>
  <si>
    <t>3xx Redirects</t>
  </si>
  <si>
    <t>Traditional SEO vs. 2026 AEO Readiness</t>
  </si>
  <si>
    <t>4xx Errors</t>
  </si>
  <si>
    <t>Dimension</t>
  </si>
  <si>
    <t>Score</t>
  </si>
  <si>
    <t>5xx Errors</t>
  </si>
  <si>
    <t>Traditional SEO</t>
  </si>
  <si>
    <t>Other</t>
  </si>
  <si>
    <t>2026 AEO Readiness</t>
  </si>
  <si>
    <t>Immediate Actions</t>
  </si>
  <si>
    <t>Strategic Narrative</t>
  </si>
  <si>
    <t>Top 5 URLs by Business Risk Score</t>
  </si>
  <si>
    <t>Severity</t>
  </si>
  <si>
    <t>High SEO / Low AEO suggests the site is visible to humans but invisible to AI answer engines.</t>
  </si>
  <si>
    <t>Rank</t>
  </si>
  <si>
    <t>Why Prioritized</t>
  </si>
  <si>
    <t>Has critical issues</t>
  </si>
  <si>
    <t>Medium</t>
  </si>
  <si>
    <t>Yes</t>
  </si>
  <si>
    <t>Dev</t>
  </si>
  <si>
    <t>Low</t>
  </si>
  <si>
    <t>Monitor</t>
  </si>
  <si>
    <t>Copy Writer</t>
  </si>
  <si>
    <t>https://africanmarketingconfederation.org/amc-conference-2023/amc-awards-book-now/</t>
  </si>
  <si>
    <t>PRIORITY SNAPSHOT</t>
  </si>
  <si>
    <t>Top Blocking Issue</t>
  </si>
  <si>
    <t>No Compression Header</t>
  </si>
  <si>
    <t>Top Issue Affected URLs</t>
  </si>
  <si>
    <t>4xx/5xx URLs</t>
  </si>
  <si>
    <t>Avg TTFB (ms)</t>
  </si>
  <si>
    <t>Quick Navigation</t>
  </si>
  <si>
    <t>Fix Plan</t>
  </si>
  <si>
    <t>Main URL Data</t>
  </si>
  <si>
    <t>Technical Diagnostics</t>
  </si>
  <si>
    <t>AEO Opportunities</t>
  </si>
  <si>
    <t>AIOSEO Action Queue</t>
  </si>
  <si>
    <t>TOP ISSUES TO FIX FIRST</t>
  </si>
  <si>
    <t>BUSINESS IMPACT SUMMARY</t>
  </si>
  <si>
    <t>2 error URLs detected (2 4xx / 0 5xx). Critical issue volume is 2 URLs and warning volume is 83. Top blocker: No Compression Header affecting 85 URLs.</t>
  </si>
  <si>
    <t>🚀 CONTENT HUB INSTRUCTIONS: 1. Draft content in 'Proposed' columns. | 2. Ensure 'Count' columns are Green. | 3. Use 'Elementor' link for direct editing. | 4. Update 'Status' to 'Completed' when finished. | 5. Preview branding in 'OG Image Preview' column.</t>
  </si>
  <si>
    <t>Assigned Owner</t>
  </si>
  <si>
    <t>Content Cluster ID</t>
  </si>
  <si>
    <t>URL</t>
  </si>
  <si>
    <t>Elementor Builder Link</t>
  </si>
  <si>
    <t>Target Keywords</t>
  </si>
  <si>
    <t>Current Page Copy Snippet</t>
  </si>
  <si>
    <t>Current Title</t>
  </si>
  <si>
    <t>Proposed Title (50-60 Chars)</t>
  </si>
  <si>
    <t>Title Count</t>
  </si>
  <si>
    <t>Current Meta Desc</t>
  </si>
  <si>
    <t>Proposed Meta Desc (120-160 Chars)</t>
  </si>
  <si>
    <t>Desc Count</t>
  </si>
  <si>
    <t>Current H-Tag Structure</t>
  </si>
  <si>
    <t>Proposed H-Tag Fixes</t>
  </si>
  <si>
    <t>AEO Answer Block Draft</t>
  </si>
  <si>
    <t>FAQ/QA Draft</t>
  </si>
  <si>
    <t>Current OG-Image URL</t>
  </si>
  <si>
    <t>OG Image Preview</t>
  </si>
  <si>
    <t>Social Share Note</t>
  </si>
  <si>
    <t>Open in Main</t>
  </si>
  <si>
    <t>BACK TO DASHBOARD</t>
  </si>
  <si>
    <t>To Do</t>
  </si>
  <si>
    <t>Unassigned</t>
  </si>
  <si>
    <t>home-african-marketing-confed</t>
  </si>
  <si>
    <t>https://africanmarketingconfederation.org/</t>
  </si>
  <si>
    <t>https://africanmarketingconfederation.org/wp-admin/post.php?post=8&amp;action=elementor</t>
  </si>
  <si>
    <t>[Auto]: H1 ABOUT The African Marketing Confederation H2 The 2026 AMC Conference H2 Meets the Mighty Victoria Falls H2 23 25 September Livingstone Zambia H2 The 2026 AMC Conference H2 Meets the Mighty Victoria Falls</t>
  </si>
  <si>
    <t>European marketers gather to choose their top achievers for 2026 Marketing associations from across Europe nominated national champions, with 10 finalists competing for the Marketer of the Year title. Read More » April 30, 2026</t>
  </si>
  <si>
    <t>African Marketing Confederation - Uniting Marketers for Excellence</t>
  </si>
  <si>
    <t>The African Marketing Confederation is the ground-breaking Pan-African body driving the development of top marketing standards across Africa and beyond.</t>
  </si>
  <si>
    <t>H1: ABOUT The African Marketing Confederation
H2: The 2026 AMC Conference
H2: Meets the Mighty Victoria Falls
H2: 23-25 September | Livingstone, Zambia
H2: The 2026 AMC Conference
H2: Meets the Mighty Victoria Falls</t>
  </si>
  <si>
    <t>about-us-african-marketing-confed</t>
  </si>
  <si>
    <t>https://africanmarketingconfederation.org/about-us/</t>
  </si>
  <si>
    <t>https://africanmarketingconfederation.org/wp-admin/post.php?post=84&amp;action=elementor</t>
  </si>
  <si>
    <t>[Auto]: about us</t>
  </si>
  <si>
    <t>Skip to content ABOUT The African Marketing Confederation​ The African Marketing Confederation is the ground-breaking Pan African body of marketing professionals spearheading the ongoing development of the highest possible standards of marketing acro...</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</si>
  <si>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</si>
  <si>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</si>
  <si>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H1: ABOUT The African Marketing Confederation​
H3: African Marketing Confederation ​ PRESIDENT’S COUNCIL
H2: Helen McIntee
H2: President and  Co-founder
H2: David Balikuddembe
H2: Secretary General</t>
  </si>
  <si>
    <t>african-marketing-confederation-tourism-chapter-african-marketing-confed</t>
  </si>
  <si>
    <t>https://africanmarketingconfederation.org/african-marketing-confederation-tourism-chapter/</t>
  </si>
  <si>
    <t>https://africanmarketingconfederation.org/wp-admin/post.php?post=28165&amp;action=elementor</t>
  </si>
  <si>
    <t>[Auto]: african marketing confederation tourism chapter</t>
  </si>
  <si>
    <t>Skip to content African Marketing Confederation Tourism Chapter Shaping Africa’s Tourism Narrative Through Strategic Marketing Tourism is one of Africa’s most powerful economic engines – generating jobs, stimulating investment, and fostering cultural...</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</si>
  <si>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</si>
  <si>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</si>
  <si>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H1: African Marketing Confederation Tourism Chapter
H3: Shaping Africa’s Tourism Narrative Through Strategic Marketing
H2: Charting the Course: Purpose, Mission &amp; Vision for Africa’s Tourism Future
H2: Our Goals and Objectives:</t>
  </si>
  <si>
    <t>amc-awards-2024-amc-awards-{n}-–-african</t>
  </si>
  <si>
    <t>https://africanmarketingconfederation.org/amc-awards-2024/</t>
  </si>
  <si>
    <t>https://africanmarketingconfederation.org/wp-admin/post.php?post=16125&amp;action=elementor</t>
  </si>
  <si>
    <t>[Auto]: amc awards 2024</t>
  </si>
  <si>
    <t>NOMINATIONS are Open ! AMC Awards The African Marketing Confederation Awards event is held annually as part of the African Marketing Confederation Forum. This distinguished event celebrates and acknowledges outstanding marketing campaigns and the vis...</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</si>
  <si>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</si>
  <si>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</si>
  <si>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H1: NOMINATIONS are Open !
H2: Awards Categories
H2: Tourism &amp; Destination Marketing Campaign
H2: of the Year
H2: Best Social Media Campaign
of the Year
H2: Best Social Media Campaign</t>
  </si>
  <si>
    <t>amc-conference-2022-prospectus-amc-conference-{n}-–-pro</t>
  </si>
  <si>
    <t>https://africanmarketingconfederation.org/amc-conference-2022-prospectus/</t>
  </si>
  <si>
    <t>https://africanmarketingconfederation.org/wp-admin/post.php?post=5619&amp;action=elementor</t>
  </si>
  <si>
    <t>[Auto]: amc conference 2022 prospectus</t>
  </si>
  <si>
    <t>Skip to content AMC Conference 2022 23 - 24 March 2022 Navigating Africa’s Unique Marketing Mix BOOK NOW Days Hours Minutes Seconds download prospectus To download the AMC 2022 Conference Prospectus please complete the form  below: First Name Last Na...</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</si>
  <si>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</si>
  <si>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</si>
  <si>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H2: AMC Conference 2022
H2: download prospectus
H2: BOOK NOW FOR THE AMC CONFERENCE 2022</t>
  </si>
  <si>
    <t>amc-conference-2022-thank-you-amc-conference-{n}-–-tha</t>
  </si>
  <si>
    <t>https://africanmarketingconfederation.org/amc-conference-2022-thank-you/</t>
  </si>
  <si>
    <t>https://africanmarketingconfederation.org/wp-admin/post.php?post=4941&amp;action=elementor</t>
  </si>
  <si>
    <t>[Auto]: amc conference 2022 thank you</t>
  </si>
  <si>
    <t>Skip to content AMC Conference 2022 23 - 24 March 2022 Navigating Africa’s Unique Marketing Mix ENQUIRE NOW Days Hours Minutes Seconds Success! Thank you for completing the enquiry form. Our team will contact you shortly! × The AMC Conference is the ...</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</si>
  <si>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</si>
  <si>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</si>
  <si>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H2: AMC Conference 2022
H2: WHO SHOULD ATTEND
H2: Countries Participating
H3: South Africa
H3: Nigeria
H3: Morocco</t>
  </si>
  <si>
    <t>amc-conference-2022-amc-conference-{n}-–-afr</t>
  </si>
  <si>
    <t>https://africanmarketingconfederation.org/amc-conference-2022/</t>
  </si>
  <si>
    <t>https://africanmarketingconfederation.org/wp-admin/post.php?post=4494&amp;action=elementor</t>
  </si>
  <si>
    <t>[Auto]: amc conference 2022</t>
  </si>
  <si>
    <t>AMC officially welcomes new member associations into the fold October 8, 2024 No Comments Angola, Botswana, Ethiopia, Mozambique and Tanzania receive their membership certificates. AMC now has 16 members. Read More »</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</si>
  <si>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</si>
  <si>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</si>
  <si>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</si>
  <si>
    <t>amc-conference-2023-amc-conference-{n}-–-afr</t>
  </si>
  <si>
    <t>https://africanmarketingconfederation.org/amc-conference-2023/</t>
  </si>
  <si>
    <t>https://africanmarketingconfederation.org/wp-admin/post.php?post=12371&amp;action=elementor</t>
  </si>
  <si>
    <t>[Auto]: amc conference 2023</t>
  </si>
  <si>
    <t>AMC Conference 6 - 9 September 2023 Imperial Botanical Beach Hotel, Entebbe, Uganda Thank you for joining us! View Presentations 2nd Annual African Marketing Confederation Conference Africa's $3.4 trillion Economy: Opportunities for Marketers Welcome...</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</si>
  <si>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</si>
  <si>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</si>
  <si>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H1: AMC Conference
H2: Africa's $3.4 trillion Economy: Opportunities for Marketers
H2: Thank you for joining us!
H2: Topics covered
H3: Africa Free Trade Area
H3: Business Intelligence</t>
  </si>
  <si>
    <t>amc-conference-2023-amc-awards-|-book-now-–-</t>
  </si>
  <si>
    <t>https://africanmarketingconfederation.org/wp-admin/post.php?post=13164&amp;action=elementor</t>
  </si>
  <si>
    <t>[Auto]: amc awards book now</t>
  </si>
  <si>
    <t>Skip to content 0 Your Cart Your cart is empty Return to Shop Continue Shopping</t>
  </si>
  <si>
    <t>AMC Awards | Book Now – African Marketing Confederation</t>
  </si>
  <si>
    <t>MISSING DESCRIPTION</t>
  </si>
  <si>
    <t>amc-conference-2023-amc-awards-–-african-mar</t>
  </si>
  <si>
    <t>https://africanmarketingconfederation.org/amc-conference-2023/amc-awards/</t>
  </si>
  <si>
    <t>https://africanmarketingconfederation.org/wp-admin/post.php?post=12954&amp;action=elementor</t>
  </si>
  <si>
    <t>[Auto]: amc awards</t>
  </si>
  <si>
    <t>Skip to content AMC Awards Welcome to the prestigious African Marketing Confederation Awards, a distinguished event that celebrates and acknowledges the remarkable achievements, cutting-edge innovations, and exceptional leadership demonstrated by out...</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</si>
  <si>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</si>
  <si>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</si>
  <si>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H1: AMC Awards
H2: AMC AWARD Winners</t>
  </si>
  <si>
    <t>amc-conference-2023-book-now-|-thank-you-–-a</t>
  </si>
  <si>
    <t>https://africanmarketingconfederation.org/amc-conference-2023/book-now-thank-you/</t>
  </si>
  <si>
    <t>https://africanmarketingconfederation.org/wp-admin/post.php?post=12497&amp;action=elementor</t>
  </si>
  <si>
    <t>[Auto]: book now thank you</t>
  </si>
  <si>
    <t>Thank you for completing your booking! Congratulations on booking your seat to the 2023 AfricaPro Conference presenting the 2nd Annual African Marketing Confederation Conference and Inaugural Technology Information Confederation Africa Conference! Yo...</t>
  </si>
  <si>
    <t>Book Now | Thank you – African Marketing Confederation</t>
  </si>
  <si>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</si>
  <si>
    <t>H2: Thank you for completing your booking!</t>
  </si>
  <si>
    <t>amc-conference-2023-book-now-–-african-marke</t>
  </si>
  <si>
    <t>https://africanmarketingconfederation.org/amc-conference-2023/book-now/</t>
  </si>
  <si>
    <t>https://africanmarketingconfederation.org/wp-admin/post.php?post=12407&amp;action=elementor</t>
  </si>
  <si>
    <t>[Auto]: book now</t>
  </si>
  <si>
    <t>Skip to content Book Now Individual Booking Package Options 1: Full Conference + Accommodation 5 - 9 September 2023 890 USD 3 Day Conference Including Excursions: 5 Sept - Networking evening and light dinner 6 Sept - Official opening and barbecue din...</t>
  </si>
  <si>
    <t>Book Now – African Marketing Confederation</t>
  </si>
  <si>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</si>
  <si>
    <t>H1: Book Now
H3: Individual Booking
H3: Group Bookings
H3: Group Bookings</t>
  </si>
  <si>
    <t>amc-conference-2023-download-prospectus-–-af</t>
  </si>
  <si>
    <t>https://africanmarketingconfederation.org/amc-conference-2023/download-prospectus/</t>
  </si>
  <si>
    <t>https://africanmarketingconfederation.org/wp-admin/post.php?post=13098&amp;action=elementor</t>
  </si>
  <si>
    <t>[Auto]: download prospectus</t>
  </si>
  <si>
    <t>BOOK NOW Prospectus Download the African Marketing Confederation Prospectus Learn more about the available sponsorship and exhibitor packages and how you can be a part of this exciting event First Name Last Name Email Position Are you a member of a c...</t>
  </si>
  <si>
    <t>Download Prospectus – African Marketing Confederation</t>
  </si>
  <si>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</si>
  <si>
    <t>H1: Prospectus
H2: Prospectus</t>
  </si>
  <si>
    <t>amc-conference-2023-gallery-–-african-market</t>
  </si>
  <si>
    <t>https://africanmarketingconfederation.org/amc-conference-2023/gallery/</t>
  </si>
  <si>
    <t>https://africanmarketingconfederation.org/wp-admin/post.php?post=13549&amp;action=elementor</t>
  </si>
  <si>
    <t>[Auto]: gallery</t>
  </si>
  <si>
    <t>Skip to content Conference Gallery All Day 1 Day 2 Day 3 Night 1 Night 2 Night 3 0 Your Cart Your cart is empty Return to Shop Continue Shopping</t>
  </si>
  <si>
    <t>Gallery – African Marketing Confederation</t>
  </si>
  <si>
    <t>Conference Gallery sydney sweeney met gala All Day 1 Day 2 Day 3 Night 1 Night 2 Night 3</t>
  </si>
  <si>
    <t>H1: Conference Gallery</t>
  </si>
  <si>
    <t>amc-conference-2023-partners-–-african-marke</t>
  </si>
  <si>
    <t>https://africanmarketingconfederation.org/amc-conference-2023/partners/</t>
  </si>
  <si>
    <t>https://africanmarketingconfederation.org/wp-admin/post.php?post=13282&amp;action=elementor</t>
  </si>
  <si>
    <t>[Auto]: partners</t>
  </si>
  <si>
    <t>Skip to content Conference Partners AMC Member Bodies 0 Your Cart Your cart is empty Return to Shop Continue Shopping</t>
  </si>
  <si>
    <t>Partners – African Marketing Confederation</t>
  </si>
  <si>
    <t>Conference Partners AMC Member Bodies</t>
  </si>
  <si>
    <t>H1: Conference Partners</t>
  </si>
  <si>
    <t>amc-conference-2023-programme-–-african-mark</t>
  </si>
  <si>
    <t>https://africanmarketingconfederation.org/amc-conference-2023/programme/</t>
  </si>
  <si>
    <t>https://africanmarketingconfederation.org/wp-admin/post.php?post=12945&amp;action=elementor</t>
  </si>
  <si>
    <t>[Auto]: programme</t>
  </si>
  <si>
    <t>Skip to content Programme Download Conference Presentations Are Marketers Intelligent Enough For AI - Fred Kithinzi Taking Africa to the world and bringing the world to Africa - Nondumiso Mabece| Next Media DGCEO Presentation Strategy and Technology:...</t>
  </si>
  <si>
    <t>Programme – African Marketing Confederation</t>
  </si>
  <si>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</si>
  <si>
    <t>H1: Programme
H2: Download Conference Presentations
H2: Conference Day 1
H3: WEDNESDAY | 6 SEPTEMBER 2023
H2: Conference Day 2
H3: THURSDAY | 7 SEPTEMBER 2023</t>
  </si>
  <si>
    <t>amc-conference-2023-speakers-–-african-marke</t>
  </si>
  <si>
    <t>https://africanmarketingconfederation.org/amc-conference-2023/speakers/</t>
  </si>
  <si>
    <t>https://africanmarketingconfederation.org/wp-admin/post.php?post=13179&amp;action=elementor</t>
  </si>
  <si>
    <t>[Auto]: speakers</t>
  </si>
  <si>
    <t>Skip to content Speakers Ali Hussein Kassim Kenya CEO - AHK Corp View Bio Cathy Adengo Uganda Head of Sustainability, Stanbic Bank Uganda View Bio Doreen Asaasira Muhangazi Uganda Chief Human Resource Officer View Bio James Sutton United Kingdom Stra...</t>
  </si>
  <si>
    <t>Speakers – African Marketing Confederation</t>
  </si>
  <si>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</si>
  <si>
    <t>H1: Speakers
H2: Ali Hussein Kassim
H3: Kenya
H2: Cathy Adengo
H3: Uganda
H2: Doreen Asaasira Muhangazi</t>
  </si>
  <si>
    <t>amc-conference-2024-recap-amc-conference-{n}-recap</t>
  </si>
  <si>
    <t>https://africanmarketingconfederation.org/amc-conference-2024-recap/</t>
  </si>
  <si>
    <t>https://africanmarketingconfederation.org/wp-admin/post.php?post=22401&amp;action=elementor</t>
  </si>
  <si>
    <t>[Auto]: amc conference 2024 recap</t>
  </si>
  <si>
    <t>Event Highlights AMC Marketing Conference 2024 Shaping the Future of African Marketing Get 2025 Conference Updates Share Your Experience Conference  Day 1 The conference kicked off with insightful addresses, including a keynote from marketing expert ...</t>
  </si>
  <si>
    <t>AMC Conference 2024 Recap – African Marketing Confederation</t>
  </si>
  <si>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</si>
  <si>
    <t>H1: Event Highlights
H3: Conference  Day 1
H3: Conference  Day 2
H3: Conference  Day 3
H3: Did you attend the 2024 AMC Conference? We’d love to hear about your experience!
H3: Countries Represented</t>
  </si>
  <si>
    <t>amc-conference-2024-sponsors-packages-sponsors-packages-–-afri</t>
  </si>
  <si>
    <t>https://africanmarketingconfederation.org/amc-conference-2024-sponsors-packages/</t>
  </si>
  <si>
    <t>https://africanmarketingconfederation.org/wp-admin/post.php?post=18318&amp;action=elementor</t>
  </si>
  <si>
    <t>[Auto]: amc conference 2024 sponsors packages</t>
  </si>
  <si>
    <t>SPONSORSHIP PACKAGES AMC Full-Conference Package Labadi Beach Hotel Full-day conference attendance 4 nights’ accommodation All breakfasts, lunches, &amp; 3 dinners $ 1550 View Product AMC Full-Conference Package La Palm Royal Beach Hotel Full-day confere...</t>
  </si>
  <si>
    <t>Sponsors Packages – African Marketing Confederation</t>
  </si>
  <si>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</si>
  <si>
    <t>H1: SPONSORSHIP PACKAGES
H2: AMC Full-Conference Package Labadi Beach Hotel
H3: $ 1550
H2: AMC Full-Conference Package La Palm Royal Beach Hotel
H3: $ 1330
H2: AMC Day Attendance Package</t>
  </si>
  <si>
    <t>amc-conference-2025-highlights-amc-conference-{n}-highl</t>
  </si>
  <si>
    <t>https://africanmarketingconfederation.org/amc-conference-2025-highlights/</t>
  </si>
  <si>
    <t>https://africanmarketingconfederation.org/wp-admin/post.php?post=30257&amp;action=elementor</t>
  </si>
  <si>
    <t>[Auto]: amc conference 2025 highlights</t>
  </si>
  <si>
    <t>2025 Event Highlights AMC Marketing Conference AMC Marketing Conference 250+ Delegates. 29 Countries. One Pan-African Voice. 250+ Delegates. 29 Countries. One Pan-African Marketing Voice. Get 2026 Conference Updates Share Your Experience 2025 Event H...</t>
  </si>
  <si>
    <t>AMC Conference 2025 Highlights – African Marketing Confederation</t>
  </si>
  <si>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</si>
  <si>
    <t>H1: 2025
H2: Moments that Shaped the 2025 AMC Conference
H2: Wednesday, 20 August
H2: Opening Keynote
H2: Back to Basics – Thriving in Tough Times
H2: Creating Authentic Connections Through User-Generated &amp; Short-Form Video</t>
  </si>
  <si>
    <t>amc-conference-2025-amc-conference-{n}</t>
  </si>
  <si>
    <t>https://africanmarketingconfederation.org/amc-conference-2025/</t>
  </si>
  <si>
    <t>https://africanmarketingconfederation.org/wp-admin/post.php?post=23710&amp;action=elementor</t>
  </si>
  <si>
    <t>[Auto]: amc conference 2025</t>
  </si>
  <si>
    <t>Thriving in Africa’s Evolving Markets: Trust, Trends &amp; Technology AMC Conference 2025 20 – 22 August  | Accra, Ghana Meet Our Speakers at the 2025 AMC Africa Conference See Speaker's Bio See Speaker's Bio See Speaker's Bio See Speaker's Bio See Speak...</t>
  </si>
  <si>
    <t>AMC Conference 2025</t>
  </si>
  <si>
    <t>Join Africa's top marketers at the AMC Conference 2025 n Accra, Ghana from 20-22 August - 3 days of insights, innovation, and powerful networking.</t>
  </si>
  <si>
    <t>H1: AMC Conference 2025
H2: Meet Our Speakers at the 2025 AMC Africa Conference
H2: Attend AMC Conference 2025 in Accra, Ghana
H2: 2025 Conference  Sponsors
H3: AMC Conference 2025
H2: Unmatched Networking</t>
  </si>
  <si>
    <t>amc-conference-2026-awards-nominations-thank-you-amc-conference-{n}-award</t>
  </si>
  <si>
    <t>https://africanmarketingconfederation.org/amc-conference-2026-awards-nominations-thank-you/</t>
  </si>
  <si>
    <t>https://africanmarketingconfederation.org/wp-admin/post.php?post=33280&amp;action=elementor</t>
  </si>
  <si>
    <t>[Auto]: amc conference 2026 awards nominations thank you</t>
  </si>
  <si>
    <t>2026 AMC Awards 25 September 2026 Thank you for submitting a nomination for the African Marketing Confederation (AMC) Awards. Our Awards Committee will review all nominations in line with the official criteria, and we will keep you informed of the ne...</t>
  </si>
  <si>
    <t>AMC Conference 2026 Awards Nominations Thank You – African Marketing Confederation</t>
  </si>
  <si>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</si>
  <si>
    <t>H1: 2026 AMC Awards
H2: AMC Full-Conference Package Labadi Beach Hotel
H2: AMC Full-Conference Package La Palm Royal Beach Hotel
H2: AMC Day Attendance Package
H2: AMC Conference Only Package</t>
  </si>
  <si>
    <t>amc-conference-2026-zambia-thank-you-amc-conference-{n}-zambi</t>
  </si>
  <si>
    <t>https://africanmarketingconfederation.org/amc-conference-2026-zambia-thank-you/</t>
  </si>
  <si>
    <t>https://africanmarketingconfederation.org/wp-admin/post.php?post=22778&amp;action=elementor</t>
  </si>
  <si>
    <t>[Auto]: amc conference 2026 zambia thank you</t>
  </si>
  <si>
    <t>2026 AMC Conference 23-25 September 2026 Thank you for registering for updates. As we shape the 2026 conference, we’ll keep you informed of confirmed developments, including venue, themes, and participation options. 00 Days 00 Hours Secure Your Place...</t>
  </si>
  <si>
    <t>AMC Conference 2026 Zambia Thank You – African Marketing Confederation</t>
  </si>
  <si>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</si>
  <si>
    <t>H1: 2026 AMC Conference
H2: AMC Full-Conference Package Labadi Beach Hotel
H2: AMC Full-Conference Package La Palm Royal Beach Hotel
H2: AMC Day Attendance Package
H2: AMC Conference Only Package</t>
  </si>
  <si>
    <t>amc-conference-2026-amc-conference-{n}-–-afr</t>
  </si>
  <si>
    <t>https://africanmarketingconfederation.org/amc-conference-2026/</t>
  </si>
  <si>
    <t>https://africanmarketingconfederation.org/wp-admin/post.php?post=31478&amp;action=elementor</t>
  </si>
  <si>
    <t>[Auto]: amc conference 2026</t>
  </si>
  <si>
    <t>2026 AMC Conference 23-25 September 23-25 September Hosted by the Zambia Institute of Marketing Livingstone, Zambia Africa’s Flagship Event for Marketing Leadership Sign Up for Updates Join the 2026 AMC Conference AMC Conference 2026 in Zambia The AM...</t>
  </si>
  <si>
    <t>AMC Conference 2026 – African Marketing Confederation</t>
  </si>
  <si>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</si>
  <si>
    <t>H1: AMC Conference 2026
H2: 2026 AMC Conference
H2: 23-25 September
H2: 23-25 September
H2: Livingstone, Zambia
H2: Join the</t>
  </si>
  <si>
    <t>amc-conference-programme-hybrid-programme​-–-afri</t>
  </si>
  <si>
    <t>https://africanmarketingconfederation.org/amc-conference-programme/</t>
  </si>
  <si>
    <t>https://africanmarketingconfederation.org/wp-admin/post.php?post=5057&amp;action=elementor</t>
  </si>
  <si>
    <t>[Auto]: amc conference programme</t>
  </si>
  <si>
    <t>Skip to content AMC Conference 2022 HYBRID CONFERENCE PROGRAMME​ 23 - 24 March 2022 Navigating Africa’s Unique Marketing Mix Conference day 1 Conference day 2 BOOK NOW FOR THE AMC CONFERENCE 2022 BOOK NOW Conference day 1 Wednesday, 23 March 2022 08h...</t>
  </si>
  <si>
    <t>HYBRID PROGRAMME​ – African Marketing Confederation</t>
  </si>
  <si>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</si>
  <si>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H2: AMC Conference 2022
H2: HYBRID CONFERENCE PROGRAMME​
H2: BOOK NOW FOR THE AMC CONFERENCE 2022
H2: Conference day 1
H2: Conference day 2
H2: BOOK NOW FOR THE AMC CONFERENCE 2022</t>
  </si>
  <si>
    <t>amc-conference-sponsors-untitled</t>
  </si>
  <si>
    <t>https://africanmarketingconfederation.org/amc-conference-sponsors/</t>
  </si>
  <si>
    <t>[Auto]: amc conference sponsors</t>
  </si>
  <si>
    <t>MISSING TITLE</t>
  </si>
  <si>
    <t>amc-conference-thank-you-amc-conference-|-thank-y</t>
  </si>
  <si>
    <t>https://africanmarketingconfederation.org/amc-conference-thank-you/</t>
  </si>
  <si>
    <t>https://africanmarketingconfederation.org/wp-admin/post.php?post=12477&amp;action=elementor</t>
  </si>
  <si>
    <t>[Auto]: amc conference thank you</t>
  </si>
  <si>
    <t>Back to AMC Website Thank You! Success! Thank you for completing the enquiry form. Our team will contact you shortly! × 2nd Annual African Marketing Confederation Conference Africa's $3.4 trillion Economy: Opportunities for Marketers The African Mark...</t>
  </si>
  <si>
    <t>AMC Conference | Thank You – African Marketing Confederation</t>
  </si>
  <si>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</si>
  <si>
    <t>H1: Thank You!
H2: Africa's $3.4 trillion Economy: Opportunities for Marketers
H3: Join us at this Conference
H2: Topics that will be covered
H3: Africa Free Trade Area
H3: Business Intelligence</t>
  </si>
  <si>
    <t>amc-forum-mombasa-amc-forum-mombasa-–-afri</t>
  </si>
  <si>
    <t>https://africanmarketingconfederation.org/amc-forum-mombasa/</t>
  </si>
  <si>
    <t>https://africanmarketingconfederation.org/wp-admin/post.php?post=21958&amp;action=elementor</t>
  </si>
  <si>
    <t>[Auto]: amc forum mombasa</t>
  </si>
  <si>
    <t>AMC Marketing Conference Sarova WhiteSands Beach Resort, Mombasa As a must-attend for all marketing professionals, this year’s marketing forum will address the crucial theme: Brand Resilience Amidst Economic Uncertainty In such tumultuous times acros...</t>
  </si>
  <si>
    <t>AMC Forum Mombasa – African Marketing Confederation</t>
  </si>
  <si>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</si>
  <si>
    <t>H1: AMC Marketing Conference
H2: Brand Resilience Amidst Economic Uncertainty
H3: Hear From Africa’s Marketing Leaders
H2: Sponsors
H2: Ali Hussein Kassim
H3: Kenya</t>
  </si>
  <si>
    <t>amc-forum-payments-amc-forum-payments-–-afr</t>
  </si>
  <si>
    <t>https://africanmarketingconfederation.org/amc-forum-payments/</t>
  </si>
  <si>
    <t>https://africanmarketingconfederation.org/wp-admin/post.php?post=21984&amp;action=elementor</t>
  </si>
  <si>
    <t>[Auto]: amc forum payments</t>
  </si>
  <si>
    <t>AMC Conference 2025 Thriving in Africa’s Evolving Markets: Trust, Trends &amp; Technology No products found! PUBLICATIONS Strategic Marketing for Africa Magazine CONTACT INFORMATION info@africanmarketingconfederation.org 0 Your Cart Your cart is empty Re...</t>
  </si>
  <si>
    <t>AMC Forum Payments – African Marketing Confederation</t>
  </si>
  <si>
    <t>AMC Conference 2025 Thriving in Africa’s Evolving Markets:Trust, Trends &amp; Technology No products found! PUBLICATIONS Strategic Marketing for Africa Magazine CONTACT INFORMATION info@africanmarketingconfederation.org © 2021 by African Marketing Confederation | Privacy Policy</t>
  </si>
  <si>
    <t>H2: AMC Conference 2025</t>
  </si>
  <si>
    <t>amc-launch-event-zambia-thank-you-2026-amc-launch-event-zambia-</t>
  </si>
  <si>
    <t>https://africanmarketingconfederation.org/amc-launch-event-zambia-thank-you-2026/</t>
  </si>
  <si>
    <t>https://africanmarketingconfederation.org/wp-admin/post.php?post=33131&amp;action=elementor</t>
  </si>
  <si>
    <t>[Auto]: amc launch event zambia thank you 2026</t>
  </si>
  <si>
    <t>2026 AMC Conference Launch Event 16 March 2026 | 10:00 CAT (GMT +2) Thank you for registering to view the live stream of the African Marketing Confederation Conference launch event. You will receive your access link as soon as the live stream becomes...</t>
  </si>
  <si>
    <t>AMC Launch Event Zambia Thank You 2026 – African Marketing Confederation</t>
  </si>
  <si>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</si>
  <si>
    <t>H1: 2026 AMC Conference Launch Event
H2: AMC Full-Conference Package Labadi Beach Hotel
H2: AMC Full-Conference Package La Palm Royal Beach Hotel
H2: AMC Day Attendance Package
H2: AMC Conference Only Package</t>
  </si>
  <si>
    <t>amc-marketing-conference-2024-amc-forum-mombasa-–-afri</t>
  </si>
  <si>
    <t>https://africanmarketingconfederation.org/amc-marketing-conference-2024/</t>
  </si>
  <si>
    <t>[Auto]: amc marketing conference 2024</t>
  </si>
  <si>
    <t>amc-marketing-conference-2024-amc-conference-{n}-ghana</t>
  </si>
  <si>
    <t>https://africanmarketingconfederation.org/amc-marketing-conference-2024/amc-conference-2025-ghana-sponsors/</t>
  </si>
  <si>
    <t>https://africanmarketingconfederation.org/wp-admin/post.php?post=25857&amp;action=elementor</t>
  </si>
  <si>
    <t>[Auto]: amc conference 2025 ghana sponsors</t>
  </si>
  <si>
    <t>2025 AMC conference Thank you for your interest in sponsoring the 2025 AMC Conference. A member of our team will be in touch to discuss available opportunities and next steps. PUBLICATIONS Strategic Marketing for Africa Magazine CONTACT INFORMATION i...</t>
  </si>
  <si>
    <t>AMC Conference 2025 Ghana Sponsors – African Marketing Confederation</t>
  </si>
  <si>
    <t>2025 AMC conference Thank you for your interest in sponsoring the 2025 AMC Conference. A member of our team will be in touch to discuss available opportunities and next steps. PUBLICATIONS Strategic Marketing for Africa Magazine CONTACT INFORMATION info@africanmarketingconfederation.org © 2021 by African Marketing Confederation | Privacy Policy</t>
  </si>
  <si>
    <t>H1: 2025 AMC conference</t>
  </si>
  <si>
    <t>amc-marketing-conference-2024-amc-launch-event-{n}-–-a</t>
  </si>
  <si>
    <t>https://africanmarketingconfederation.org/amc-marketing-conference-2024/amc-launch-event-2025/</t>
  </si>
  <si>
    <t>https://africanmarketingconfederation.org/wp-admin/post.php?post=25788&amp;action=elementor</t>
  </si>
  <si>
    <t>[Auto]: amc launch event 2025</t>
  </si>
  <si>
    <t>AMC Conference launch 2025 Labadi Beach Hotel or Online 15 May 2025 I 10 AM – 12 PM  GMT AMC Conference launch 2025 Name (Required) First Last Email (Required) Enter Email Confirm Email Phone Number (Required) Which country are you from? (Required) A...</t>
  </si>
  <si>
    <t>AMC Launch Event 2025 – African Marketing Confederation</t>
  </si>
  <si>
    <t>AMC Conference launch 2025 Labadi Beach Hotel or Online15 May 2025 I 10 AM – 12 PM GMT AMC Conference launch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t>
  </si>
  <si>
    <t>H1: AMC Conference launch 2025
H2: AMC Conference launch 2025</t>
  </si>
  <si>
    <t>amc-marketing-conference-2024-amc-preregister-{n}-–-af</t>
  </si>
  <si>
    <t>https://africanmarketingconfederation.org/amc-marketing-conference-2024/amc-preregister-2025/</t>
  </si>
  <si>
    <t>https://africanmarketingconfederation.org/wp-admin/post.php?post=26290&amp;action=elementor</t>
  </si>
  <si>
    <t>[Auto]: amc preregister 2025</t>
  </si>
  <si>
    <t>Pre-register for AMC Conference 2025 20 – 22 August | Accra, Ghana Complete the form below to be notified as soon as final registration and payment options become available. AMC Conference 2025 Name (Required) First Last Email (Required) Enter Email ...</t>
  </si>
  <si>
    <t>AMC Preregister 2025 – African Marketing Confederation</t>
  </si>
  <si>
    <t>Pre-register for AMC Conference 2025 20 - 22 August | Accra, Ghana Complete the form below to be notified as soon as final registration and payment options become available. AMC Conference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t>
  </si>
  <si>
    <t>H1: Pre-register for AMC Conference 2025
H2: AMC Conference 2025</t>
  </si>
  <si>
    <t>amc-marketing-conference-2024-{n}-amc-conference-award</t>
  </si>
  <si>
    <t>https://africanmarketingconfederation.org/amc-marketing-conference-2024/amc-programme-2025/</t>
  </si>
  <si>
    <t>https://africanmarketingconfederation.org/wp-admin/post.php?post=24882&amp;action=elementor</t>
  </si>
  <si>
    <t>[Auto]: amc programme 2025</t>
  </si>
  <si>
    <t>Conference Menu 2025 AMC Conference Programme Day 1 Day 2 Day 3 DOWNLOAD PROGRAMME DAY 1 DOWNLOAD PROGRAMME DAY 2 DOWNLOAD PROGRAMME DAY 3 PUBLICATIONS Strategic Marketing for Africa Magazine CONTACT INFORMATION info@africanmarketingconfederation.org...</t>
  </si>
  <si>
    <t>2025 AMC Conference Awards</t>
  </si>
  <si>
    <t>Celebrate excellence at the 2025 AMC Conference Awards as we honour outstanding achievements, innovation and leadership in Africa’s marketing industry.</t>
  </si>
  <si>
    <t>H1: 2025 AMC Conference</t>
  </si>
  <si>
    <t>amc-marketing-conference-2024-amc-speakers-presentatio</t>
  </si>
  <si>
    <t>https://africanmarketingconfederation.org/amc-marketing-conference-2024/amc-speakers-presentations-2024/</t>
  </si>
  <si>
    <t>https://africanmarketingconfederation.org/wp-admin/post.php?post=22595&amp;action=elementor</t>
  </si>
  <si>
    <t>[Auto]: amc speakers presentations 2024</t>
  </si>
  <si>
    <t>AMC speakers presentations 2024 Day 1 Day 2 Day 3 PUBLICATIONS Strategic Marketing for Africa Magazine CONTACT INFORMATION info@africanmarketingconfederation.org 0 Your Cart Your cart is empty Return to Shop Continue Shopping</t>
  </si>
  <si>
    <t>AMC speakers presentations 2024 – African Marketing Confederation</t>
  </si>
  <si>
    <t>AMC speakers presentations 2024 Day 1 https://youtu.be/daWjshF4Bdc Day 2 https://youtu.be/7Qf2P8YLD7I Day 3 PUBLICATIONS Strategic Marketing for Africa Magazine CONTACT INFORMATION info@africanmarketingconfederation.org © 2021 by African Marketing Confederation | Privacy Policy</t>
  </si>
  <si>
    <t>H1: AMC speakers presentations 2024</t>
  </si>
  <si>
    <t>amc-marketing-conference-2024-awards-{n}-–-african-mar</t>
  </si>
  <si>
    <t>https://africanmarketingconfederation.org/amc-marketing-conference-2024/awards-2025/</t>
  </si>
  <si>
    <t>https://africanmarketingconfederation.org/wp-admin/post.php?post=29496&amp;action=elementor</t>
  </si>
  <si>
    <t>[Auto]: awards 2025</t>
  </si>
  <si>
    <t>Conference Menu AMC Conference Awards 2025 AMC Awards 2025 Categories View detailed explanations of each award below. Click on the awards below to view detailed explanations of each criterion. Tourism &amp; Destination Marketing Campaign of the Year Best...</t>
  </si>
  <si>
    <t>Awards 2025 – African Marketing Confederation</t>
  </si>
  <si>
    <t>Conference Menu AMC Conference Awards 2025 AMC Awards 2025 Categories View detailed explanations of each award below.Click on the awards below to view detailed explanations of each criterion. Tourism &amp; Destination Marketing Campaign of the Year Best Social Media Campaignof the Year Most Effective Campaignof the Year Best Use of Local Insights Best Cause-Related Campaign</t>
  </si>
  <si>
    <t>H1: AMC Conference Awards 2025
H2: AMC Awards 2025 Categories
H2: Tourism &amp; Destination
Marketing Campaign
H2: of the Year
H2: Best Social Media Campaign
of the Year
H2: Best Social Media Campaign</t>
  </si>
  <si>
    <t>amc-marketing-conference-2024-programme-{n}-–-african-</t>
  </si>
  <si>
    <t>https://africanmarketingconfederation.org/amc-marketing-conference-2024/programme-2024/</t>
  </si>
  <si>
    <t>https://africanmarketingconfederation.org/wp-admin/post.php?post=16104&amp;action=elementor</t>
  </si>
  <si>
    <t>[Auto]: programme 2024</t>
  </si>
  <si>
    <t>Programme AMC 3rd Annual Conference 2024 Join us for an unparalleled marketing experience at the upcoming conference hosted by the African Marketing Confederation (AMC) in Kenya. From August 28th to 30th, 2024, immerse yourself in insightful discussi...</t>
  </si>
  <si>
    <t>Programme 2024 – African Marketing Confederation</t>
  </si>
  <si>
    <t>Programme AMC 3rd Annual Conference 2024 Join us for an unparalleled marketing experience at the upcoming conference hosted by the African Marketing Confederation (AMC) in Kenya. From August 28th to 30th, 2024, immerse yourself in insightful discussions, cutting-edge strategies, and industry trends that are shaping the future of marketing across the continent. Engage with top-notch</t>
  </si>
  <si>
    <t>H1: Programme
H2: AMC 3rd Annual Conference 2024
H2: Programme TBA
H3: Tuesday | 28 August 2024
H2: Conference Day 2
H3: Wednesday | 28th August 2024</t>
  </si>
  <si>
    <t>amc-marketing-conference-2024-untitled</t>
  </si>
  <si>
    <t>https://africanmarketingconfederation.org/amc-marketing-conference-2024/speakers-2024/</t>
  </si>
  <si>
    <t>[Auto]: speakers 2024</t>
  </si>
  <si>
    <t>amc-marketing-conference-2024-testimony-thank-you-page</t>
  </si>
  <si>
    <t>https://africanmarketingconfederation.org/amc-marketing-conference-2024/testimony-thank-you-page/</t>
  </si>
  <si>
    <t>https://africanmarketingconfederation.org/wp-admin/post.php?post=23021&amp;action=elementor</t>
  </si>
  <si>
    <t>[Auto]: testimony thank you page</t>
  </si>
  <si>
    <t>Thank you For your Feedback Thank you For the Feedback PUBLICATIONS Strategic Marketing for Africa Magazine CONTACT INFORMATION info@africanmarketingconfederation.org 0 Your Cart Your cart is empty Return to Shop Continue Shopping</t>
  </si>
  <si>
    <t>Testimony Thank you Page – African Marketing Confederation</t>
  </si>
  <si>
    <t>Thank you For your Feedback Thank you For the Feedback PUBLICATIONS Strategic Marketing for Africa Magazine CONTACT INFORMATION info@africanmarketingconfederation.org © 2021 by African Marketing Confederation | Privacy Policy</t>
  </si>
  <si>
    <t>H1: Thank you</t>
  </si>
  <si>
    <t>amc-masterclass-bookings-amc-masterclass-|-bookin</t>
  </si>
  <si>
    <t>https://africanmarketingconfederation.org/amc-masterclass-bookings/</t>
  </si>
  <si>
    <t>https://africanmarketingconfederation.org/wp-admin/post.php?post=6816&amp;action=elementor</t>
  </si>
  <si>
    <t>[Auto]: amc masterclass bookings</t>
  </si>
  <si>
    <t>AMC Masterclass | Bookings – African Marketing Confederation</t>
  </si>
  <si>
    <t>amc-masterclass-thank-you-amc-masterclass-|-thank-</t>
  </si>
  <si>
    <t>https://africanmarketingconfederation.org/amc-masterclass-thank-you/</t>
  </si>
  <si>
    <t>https://africanmarketingconfederation.org/wp-admin/post.php?post=6822&amp;action=elementor</t>
  </si>
  <si>
    <t>[Auto]: amc masterclass thank you</t>
  </si>
  <si>
    <t>AMC VIRTUAL MASTERCLASS 31 May 2022 Thank you for your Booking We received your booking and will contact you shortly! 0 Your Cart Your cart is empty Return to Shop Continue Shopping</t>
  </si>
  <si>
    <t>AMC Masterclass | Thank you – African Marketing Confederation</t>
  </si>
  <si>
    <t>AMC VIRTUAL MASTERCLASS 31 May 2022 Thank you for your Booking We received your booking and will contact you shortly!</t>
  </si>
  <si>
    <t>H2: AMC VIRTUAL
H2: Thank you for your Booking</t>
  </si>
  <si>
    <t>amc-masterclass-amc-masterclass-–-africa</t>
  </si>
  <si>
    <t>https://africanmarketingconfederation.org/amc-masterclass/</t>
  </si>
  <si>
    <t>https://africanmarketingconfederation.org/wp-admin/post.php?post=6553&amp;action=elementor</t>
  </si>
  <si>
    <t>[Auto]: amc masterclass</t>
  </si>
  <si>
    <t>Skip to content AMC VIRTUAL MASTERCLASS 31 May 2022 Thank you for attending Building The Perfect Blueprint for Digital and Strategic Marketing Align your digital efforts with your strategic goals and develop strong online marketing capabilities to he...</t>
  </si>
  <si>
    <t>AMC Masterclass – African Marketing Confederation</t>
  </si>
  <si>
    <t>AMC VIRTUAL MASTERCLASS 31 May 2022 Thank you for attending Building The Perfect Blueprint for Digital and Strategic Marketing Align your digital efforts with your strategic goals and develop strong online marketing capabilities to help your company stay ahead of the curve.Masterclass Outcomes: You will receive all the tools you need to overcome and avoid</t>
  </si>
  <si>
    <t>H2: AMC VIRTUAL
H2: Building The Perfect Blueprint for Digital and Strategic Marketing
H2: Facilitator
H3: Specialisms
H2: AMC VIRTUAL MASTERCLASS
H2: Tuesday, 31 May 2022</t>
  </si>
  <si>
    <t>amc-relaunch-programme-amc-relaunch-–-programme</t>
  </si>
  <si>
    <t>https://africanmarketingconfederation.org/amc-relaunch-programme/</t>
  </si>
  <si>
    <t>https://africanmarketingconfederation.org/wp-admin/post.php?post=4492&amp;action=elementor</t>
  </si>
  <si>
    <t>[Auto]: amc relaunch programme</t>
  </si>
  <si>
    <t>Skip to content amc relaunch Thank you for joining our first online gathering! WATCH RECORDINGS NOW WATCH NOW AMC RELAUNCH RECORDINGS The AMC relaunch event shared the vision and goals of the AMC, as well as hosting talks and discussions with top mar...</t>
  </si>
  <si>
    <t>AMC RELAUNCH – PROGRAMME – African Marketing Confederation</t>
  </si>
  <si>
    <t>amc relaunch Thank you for joining our first online gathering! WATCH RECORDINGS NOW WATCH NOW AMC RELAUNCH RECORDINGS The AMC relaunch event shared the vision and goals of the AMC, as well as hosting talks and discussions with top marketing thought leaders and professionals. The African Marketing Confederation (AMC) – the ground breaking Pan-African body</t>
  </si>
  <si>
    <t>H2: amc relaunch
H2: Thank you for joining our first online gathering!
H2: WATCH RECORDINGS NOW
H2: AMC RELAUNCH RECORDINGS
H2: LIGHTNING TALKS | Solidarity and Support for the African Marketing Confederation
H2: Thank you for attending the 2021 AMC relaunch</t>
  </si>
  <si>
    <t>amc-sign-up-now-form-2025-amc-sign-up-now-form-{n}</t>
  </si>
  <si>
    <t>https://africanmarketingconfederation.org/amc-sign-up-now-form-2025/</t>
  </si>
  <si>
    <t>https://africanmarketingconfederation.org/wp-admin/post.php?post=23001&amp;action=elementor</t>
  </si>
  <si>
    <t>[Auto]: amc sign up now form 2025</t>
  </si>
  <si>
    <t>Get Ready for Ghana in 2025! Name (Required) First Last Email (Required) Enter Email Confirm Email Phone Number (Required) Which country are you from? (Required) Afghanistan Albania Algeria American Samoa Andorra Angola Anguilla Antarctica Antigua an...</t>
  </si>
  <si>
    <t>AMC Sign up now Form 2025 – African Marketing Confederation</t>
  </si>
  <si>
    <t>Get Ready for Ghana in 2025! Name(Required) First Last Email(Required) Enter Email Confirm Email Phone Number(Required)CountryAfghanistanAlbaniaAlgeriaAmerican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t>
  </si>
  <si>
    <t>H1: Get Ready for Ghana in 2025!
H2: Sponsors</t>
  </si>
  <si>
    <t>amc-sponsors-2025-sponsorship-opportunitie</t>
  </si>
  <si>
    <t>https://africanmarketingconfederation.org/amc-sponsors-2025/</t>
  </si>
  <si>
    <t>https://africanmarketingconfederation.org/wp-admin/post.php?post=21952&amp;action=elementor</t>
  </si>
  <si>
    <t>[Auto]: amc sponsors 2025</t>
  </si>
  <si>
    <t>Africa’s Premier Marketing Event The 2025 African Marketing Confederation conference is poised to be the largest and most transformative gathering of marketing leaders, brand strategists, creative innovators, and key business leaders on the continent...</t>
  </si>
  <si>
    <t>Sponsorship Opportunities – 2025 AMC Conference</t>
  </si>
  <si>
    <t>Explore sponsorship opportunities for AMC Conference 2025 and position your brand alongside Africa’s leading marketers, innovators, and industry decision-makers.</t>
  </si>
  <si>
    <t>H1: Africa’s Premier Marketing Event
H2: Why Sponsor the 2025 AMC Conference?
H2: Amplified Brand Exposure:
H2: High-Impact Networking:
H2: Prime Event Access:
H2: Enhanced Brand Authority:</t>
  </si>
  <si>
    <t>amc-testimony-page-2024-amc-testimony-page-{n}-–</t>
  </si>
  <si>
    <t>https://africanmarketingconfederation.org/amc-testimony-page-2024/</t>
  </si>
  <si>
    <t>https://africanmarketingconfederation.org/wp-admin/post.php?post=22679&amp;action=elementor</t>
  </si>
  <si>
    <t>[Auto]: amc testimony page 2024</t>
  </si>
  <si>
    <t>How was your experience at the 2024 AMC Conference? Name (Required) First Last Email (Required) Enter Email Confirm Email Phone (Required) What Is Your Phone Number's Country Code? (Required) Afghanistan Albania Algeria American Samoa Andorra Angola ...</t>
  </si>
  <si>
    <t>AMC Testimony page 2024 – African Marketing Confederation</t>
  </si>
  <si>
    <t>How was your experience at the2024 AMC Conference? Name(Required) First Last Email(Required) Company Name How was your experience at the AMC Conference 2024? We'd love to hear about your key takeaways and memorable moments!What improvements would you recommend for the next AMC Conference to make it even more impactful? Sponsors Previous Next PUBLICATIONS Strategic Marketing</t>
  </si>
  <si>
    <t>H1: How was your experience at the 2024 AMC Conference?
H2: Sponsors</t>
  </si>
  <si>
    <t>awards-2026-1-{n}-amc-awards-{n}-–-afr</t>
  </si>
  <si>
    <t>https://africanmarketingconfederation.org/awards-2026-1/</t>
  </si>
  <si>
    <t>https://africanmarketingconfederation.org/wp-admin/post.php?post=32554&amp;action=elementor</t>
  </si>
  <si>
    <t>[Auto]: awards 2026 1</t>
  </si>
  <si>
    <t>2026 AMC AWARDS 2026 AMC Awards Submit Your Nomination View Awards Brochure Where Africa’s Boldest Ideas Take the Stage Entries Close: 26 July Held  annually at the African Marketing Confederation Conference , the AMC Awards stand as the definitive c...</t>
  </si>
  <si>
    <t>2026 AMC Awards-1 – African Marketing Confederation</t>
  </si>
  <si>
    <t>The African Marketing Confederation presents the 2026 AMC Awards. Submit your nominations to recognise innovative strategies, impact, and marketing results.</t>
  </si>
  <si>
    <t>H1: 2026 AMC AWARDS
H3: Entries Close: 26 July
H2: A Global Stage for Africa’s Marketing Excellence
H2: 2026 AMC Awards Categories
H2: 2026 AMC Awards Categories
H2: 2026 AMC Awards Categories</t>
  </si>
  <si>
    <t>awards-2026-test-awards-{n}-test-–-africa</t>
  </si>
  <si>
    <t>https://africanmarketingconfederation.org/awards-2026-test/</t>
  </si>
  <si>
    <t>https://africanmarketingconfederation.org/wp-admin/post.php?post=34552&amp;action=elementor</t>
  </si>
  <si>
    <t>[Auto]: awards 2026 test</t>
  </si>
  <si>
    <t>Skip to content 2026 AMC AWARDS 2026 AMC Awards Submit Your Nomination View Awards Brochure Where Africa’s Boldest Ideas Take the Stage Entries Close: 26 July Held annually at the African Marketing Confederation Conference , the AMC Awards stand as t...</t>
  </si>
  <si>
    <t>Awards 2026 test – African Marketing Confederation</t>
  </si>
  <si>
    <t>2026 AMC AWARDS 2026AMC Awards Submit Your Nomination View Awards Brochure Where Africa’s Boldest Ideas Take the Stage https://africanmarketingconfederation.org/wp-content/uploads/2026/03/16x9-AMC-Awards-Nominations-Video-2026.mp4 Entries Close: 26 July Held annually at the African Marketing Confederation Conference, the AMC Awards stand as the definitive celebration of marketing excellence across the continent. This distinguished platform brings together Africa’s leading minds and boldest work, recognising campaigns and</t>
  </si>
  <si>
    <t>awards-2026-{n}-amc-awards-–-african</t>
  </si>
  <si>
    <t>https://africanmarketingconfederation.org/awards-2026/</t>
  </si>
  <si>
    <t>https://africanmarketingconfederation.org/wp-admin/post.php?post=34622&amp;action=elementor</t>
  </si>
  <si>
    <t>[Auto]: awards 2026</t>
  </si>
  <si>
    <t>Skip to content 2026 AMC AWARDS 2026 AMC Awards Submit Your Nomination View Awards Brochure Where Africa’s Boldest Ideas Take the Stage Entries Close: 26 June Held  annually at the African Marketing Confederation Conference , the AMC Awards stand as ...</t>
  </si>
  <si>
    <t>2026 AMC Awards – African Marketing Confederation</t>
  </si>
  <si>
    <t>H1: 2026 AMC AWARDS
H3: Entries Close: 26 June
H2: A Global Stage for Africa’s Marketing Excellence
H2: 2026 AMC Awards Categories
H2: 2026 AMC Awards Categories
H2: 2026 AMC Awards Categories</t>
  </si>
  <si>
    <t>certified-professional-marketer-africa-certified-professional-m</t>
  </si>
  <si>
    <t>https://africanmarketingconfederation.org/certified-professional-marketer-africa/</t>
  </si>
  <si>
    <t>https://africanmarketingconfederation.org/wp-admin/post.php?post=28742&amp;action=elementor</t>
  </si>
  <si>
    <t>[Auto]: certified professional marketer africa</t>
  </si>
  <si>
    <t>Skip to content Certified Professional Marketer (Africa), CPM(A) The only designation of its kind on the continent - built for Africa, by Africa. Strategic Flexible Uniquely Africa Take your place among Africa’s marketing leaders with the Certified P...</t>
  </si>
  <si>
    <t>Certified Professional Marketer (Africa) – African Marketing Confederation</t>
  </si>
  <si>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</si>
  <si>
    <t>H2: Certified Professional Marketer (Africa), CPM(A)
H2: The only designation of its kind on the continent - built for Africa, by Africa.
H2: Take your place among Africa’s marketing leaders with the Certified Professional Marketer (Africa) – CPM(A)
H2: Why Choose the CPM(A)
H2: A Leading Marketing Programme in Africa
H2: Why Choose the CPM(A)</t>
  </si>
  <si>
    <t>chartered-marketer-africa-final-submission-fee-chartered-marketer-(afri</t>
  </si>
  <si>
    <t>https://africanmarketingconfederation.org/chartered-marketer-africa-final-submission-fee/</t>
  </si>
  <si>
    <t>https://africanmarketingconfederation.org/wp-admin/post.php?post=20001&amp;action=elementor</t>
  </si>
  <si>
    <t>[Auto]: chartered marketer africa final submission fee</t>
  </si>
  <si>
    <t>Skip to content Final Submission Fee Receive a 15% discount on your  final submission fee by making payment before 31 August 2024. No products found! 0 Your Cart Your cart is empty Return to Shop Continue Shopping</t>
  </si>
  <si>
    <t>Chartered Marketer (Africa) Final submission fee – African Marketing Confederation</t>
  </si>
  <si>
    <t>Final Submission Fee Receive a 15% discount on your final submission feeby making payment before 31 August 2024. Add to cart $2190,00 Original price was: $2190,00.$1862,00Current price is: $1862,00. Add to cart</t>
  </si>
  <si>
    <t>H1: Final Submission Fee</t>
  </si>
  <si>
    <t>chartered-marketer-africa-programme-fee-chartered-marketer-(afri</t>
  </si>
  <si>
    <t>https://africanmarketingconfederation.org/chartered-marketer-africa-programme-fee/</t>
  </si>
  <si>
    <t>https://africanmarketingconfederation.org/wp-admin/post.php?post=19980&amp;action=elementor</t>
  </si>
  <si>
    <t>[Auto]: chartered marketer africa programme fee</t>
  </si>
  <si>
    <t>Skip to content Programme Fee Receive a 15% discount on your programme fee by making payment before 31 August 2024. No products found! 0 Your Cart Your cart is empty Return to Shop Continue Shopping</t>
  </si>
  <si>
    <t>Chartered Marketer (Africa) Programme fee – African Marketing Confederation</t>
  </si>
  <si>
    <t>Programme Fee Receive a 15% discount on your programme fee by making payment before 31 August 2024. Add to cart $810,00 Original price was: $810,00.$689,00Current price is: $689,00. Add to cart</t>
  </si>
  <si>
    <t>H1: Programme Fee</t>
  </si>
  <si>
    <t>chartered-marketer-africa-thank-you-chartered-marketer-(afri</t>
  </si>
  <si>
    <t>https://africanmarketingconfederation.org/chartered-marketer-africa-thank-you/</t>
  </si>
  <si>
    <t>https://africanmarketingconfederation.org/wp-admin/post.php?post=10823&amp;action=elementor</t>
  </si>
  <si>
    <t>[Auto]: chartered marketer africa thank you</t>
  </si>
  <si>
    <t>Skip to content Thank You! Thank you for your enquiry – you can now download the brochure. Download Brochure 0 Your Cart Your cart is empty Return to Shop Continue Shopping</t>
  </si>
  <si>
    <t>Chartered Marketer (Africa) | Thank You – African Marketing Confederation</t>
  </si>
  <si>
    <t>Thank You! Thank you for your enquiry - you can now download the brochure. Download Brochure</t>
  </si>
  <si>
    <t>H3: Thank You!</t>
  </si>
  <si>
    <t>chartered-marketer-africa-the-chartered-marketer-a</t>
  </si>
  <si>
    <t>https://africanmarketingconfederation.org/chartered-marketer-africa/</t>
  </si>
  <si>
    <t>https://africanmarketingconfederation.org/wp-admin/post.php?post=9075&amp;action=elementor</t>
  </si>
  <si>
    <t>[Auto]: chartered marketer africa</t>
  </si>
  <si>
    <t>Skip to content The Chartered Marketer Africa Be recognised as one of Africa’s marketing titans Download Brochure Register Africa's Highest Professional Marketing Designation The CM(A) is awarded by the African Marketing Confederation (AMC) to the to...</t>
  </si>
  <si>
    <t>The Chartered Marketer Africa – African Marketing Confederation</t>
  </si>
  <si>
    <t>Become one of Africa’s marketing titans. The Chartered Marketer Africa is awarded to the top marketing professionals on the continent.</t>
  </si>
  <si>
    <t>H1: The Chartered Marketer Africa
H2: Africa's Highest Professional Marketing Designation
H2: Benefits of Attaining the CM(A) Designation:
H2: Professionalism
H2: Branding
H2: Networking</t>
  </si>
  <si>
    <t>checkout-cart-–-african-marketing</t>
  </si>
  <si>
    <t>https://africanmarketingconfederation.org/checkout/</t>
  </si>
  <si>
    <t>https://africanmarketingconfederation.org/wp-admin/post.php?post=17908&amp;action=elementor</t>
  </si>
  <si>
    <t>[Auto]: checkout</t>
  </si>
  <si>
    <t>Skip to content Your cart is currently empty. Return to shop 0 Your Cart Your cart is empty Return to Shop Continue Shopping</t>
  </si>
  <si>
    <t>Cart – African Marketing Confederation</t>
  </si>
  <si>
    <t>Your cart is currently empty. Return to shop</t>
  </si>
  <si>
    <t>conference-faq-2025-{n}-amc-conference-–-faq</t>
  </si>
  <si>
    <t>https://africanmarketingconfederation.org/conference-faq-2025/</t>
  </si>
  <si>
    <t>https://africanmarketingconfederation.org/wp-admin/post.php?post=24640&amp;action=elementor</t>
  </si>
  <si>
    <t>[Auto]: conference faq 2025</t>
  </si>
  <si>
    <t>FAQ 2025 African Marketing Confederation Conference General Information What is the African Marketing Confederation Conference? The African Marketing Confederation Conference is a premier gathering of marketing professionals, industry leaders, and in...</t>
  </si>
  <si>
    <t>2025 AMC Conference – FAQs Page</t>
  </si>
  <si>
    <t>Find answers to all your questions about the AMC Conference 2025 - venue, registration, speakers, agenda, sponsorship, and more information in our FAQs section.</t>
  </si>
  <si>
    <t>H1: FAQ</t>
  </si>
  <si>
    <t>conference-registrations-2024-conference-registrations</t>
  </si>
  <si>
    <t>https://africanmarketingconfederation.org/conference-registrations-2024/</t>
  </si>
  <si>
    <t>https://africanmarketingconfederation.org/wp-admin/post.php?post=16472&amp;action=elementor</t>
  </si>
  <si>
    <t>[Auto]: conference registrations 2024</t>
  </si>
  <si>
    <t>Skip to content AMC Conference Brand Resilience  Amidst Economic Uncertainty 25 - 27 September 2024 In collaboration with: View Presentations Interested in our 2024 Conference? Complete the form below to receive further information. AMC conference 20...</t>
  </si>
  <si>
    <t>Conference Registrations 2024 – African Marketing Confederation</t>
  </si>
  <si>
    <t>realalexisbreeze selfieAMC Conference Brand Resilience Amidst Economic Uncertainty 25 - 27 September 2024 In collaboration with: View Presentations Interested in our 2024 Conference? Complete the form below to receive further information. #gform_wrapper_3[data-form-index="2"].gform-theme,[data-parent-form="3_2"]{--gf-color-primary: #204ce5;--gf-color-primary-rgb: 32, 76, 229;--gf-color-primary-contrast: #fff;--gf-color-primary-contrast-rgb: 255, 255, 255;--gf-color-primary-darker: #001AB3;--gf-color-primary-lighter: #527EFF;--gf-color-secondary: #fff;--gf-color-secondary-rgb: 255, 255, 255;--gf-color-secondary-contrast: #112337;--gf-color-secondary-contrast-rgb: 17, 35, 55;--gf-color-secondary-darker: #F5F5F5;--gf-color-secondary-lighter: #FFFFFF;--gf-color-out-ctrl-light: rgba(17, 35, 55,</t>
  </si>
  <si>
    <t>H1: AMC Conference
H2: Interested in our 2024 Conference?
H2: AMC conference 2024</t>
  </si>
  <si>
    <t>contact-us-contact-us-–-african-mar</t>
  </si>
  <si>
    <t>https://africanmarketingconfederation.org/contact-us/</t>
  </si>
  <si>
    <t>https://africanmarketingconfederation.org/wp-admin/post.php?post=92&amp;action=elementor</t>
  </si>
  <si>
    <t>[Auto]: contact us</t>
  </si>
  <si>
    <t>Skip to content Enquire now Contact Us Want to know more about membership, courses, or anything else? Leave your details and we will respond promptly. Enquiries Name (Required) First Last Email (Required) Contact Number (Required) Select your Country...</t>
  </si>
  <si>
    <t>Contact Us – African Marketing Confederation</t>
  </si>
  <si>
    <t>Contact us to know more about membership, courses, and our upcoming conference.</t>
  </si>
  <si>
    <t>H1: Enquire now
H2: Enquiries</t>
  </si>
  <si>
    <t>download-brochure-download-brochure-–-afri</t>
  </si>
  <si>
    <t>https://africanmarketingconfederation.org/download-brochure/</t>
  </si>
  <si>
    <t>https://africanmarketingconfederation.org/wp-admin/post.php?post=18478&amp;action=elementor</t>
  </si>
  <si>
    <t>[Auto]: download brochure</t>
  </si>
  <si>
    <t>Skip to content Download Brochure Download Brochure Download Form Download Code of Conduct Submit relevant Documents 0 Your Cart Your cart is empty Return to Shop Continue Shopping</t>
  </si>
  <si>
    <t>Download Brochure – African Marketing Confederation</t>
  </si>
  <si>
    <t>Download Brochure Download Brochure Download Form Download Code of Conduct Submit relevant Documents</t>
  </si>
  <si>
    <t>H2: Download Brochure
H2: Submit relevant Documents</t>
  </si>
  <si>
    <t>download-prospectus-2024-download-prospectus-{n}-</t>
  </si>
  <si>
    <t>https://africanmarketingconfederation.org/download-prospectus-2024/</t>
  </si>
  <si>
    <t>https://africanmarketingconfederation.org/wp-admin/post.php?post=19172&amp;action=elementor</t>
  </si>
  <si>
    <t>[Auto]: download prospectus 2024</t>
  </si>
  <si>
    <t>Skip to content Download Prospectus Thank you for your interest. Download Prospectus 0 Your Cart Your cart is empty Return to Shop Continue Shopping</t>
  </si>
  <si>
    <t>Download Prospectus 2024 – African Marketing Confederation</t>
  </si>
  <si>
    <t>Download Prospectus Thank you for your interest. Download Prospectus</t>
  </si>
  <si>
    <t>H2: Download Prospectus</t>
  </si>
  <si>
    <t>education-education-–-african-mark</t>
  </si>
  <si>
    <t>https://africanmarketingconfederation.org/education/</t>
  </si>
  <si>
    <t>https://africanmarketingconfederation.org/wp-admin/post.php?post=88&amp;action=elementor</t>
  </si>
  <si>
    <t>[Auto]: education</t>
  </si>
  <si>
    <t>Skip to content short Courses For over a decade, we’ve been empowering Pan-African marketers to achieve greatness. Now, we’re taking things to the next level with our AMC Short Courses – designed by marketers for marketers. Our comprehensive courses ...</t>
  </si>
  <si>
    <t>Education – African Marketing Confederation</t>
  </si>
  <si>
    <t>short Courses For over a decade, we've been empowering Pan-African marketers to achieve greatness. Now, we're taking things to the next level with our AMC Short Courses - designed by marketers for marketers. Our comprehensive courses cover the full scope of practical marketing and sales topics, helping you stay ahead of the curve and increase</t>
  </si>
  <si>
    <t>H2: short Courses
H3: The Chartered Marketer Africa
H3: Enquire now
H2: Enquiries</t>
  </si>
  <si>
    <t>elementor-16548-thank-you-for-registerin</t>
  </si>
  <si>
    <t>https://africanmarketingconfederation.org/elementor-16548/</t>
  </si>
  <si>
    <t>https://africanmarketingconfederation.org/wp-admin/post.php?post=16548&amp;action=elementor</t>
  </si>
  <si>
    <t>[Auto]: elementor 16548</t>
  </si>
  <si>
    <t>Skip to content SUBMISSION RECEIVED Thank you for submitting your information! We appreciate your interest in the 2024 AMC Conference and will keep you updated with all the details about the upcoming event . Speakers Programme Awards 0 Your Cart Your...</t>
  </si>
  <si>
    <t>Thank you for registering – African Marketing Confederation</t>
  </si>
  <si>
    <t>SUBMISSION RECEIVED Thank you for submitting your information! We appreciate your interest in the 2024 AMC Conference and will keep you updated with all the details about the upcoming event. Speakers Programme Awards</t>
  </si>
  <si>
    <t>H2: SUBMISSION RECEIVED</t>
  </si>
  <si>
    <t>elementor-20341-elementor-#{n}-–-african</t>
  </si>
  <si>
    <t>https://africanmarketingconfederation.org/elementor-20341/</t>
  </si>
  <si>
    <t>https://africanmarketingconfederation.org/wp-admin/post.php?post=20341&amp;action=elementor</t>
  </si>
  <si>
    <t>[Auto]: elementor 20341</t>
  </si>
  <si>
    <t>Elementor #20341 – African Marketing Confederation</t>
  </si>
  <si>
    <t>elementor-31820-elementor-#{n}-–-african</t>
  </si>
  <si>
    <t>https://africanmarketingconfederation.org/elementor-31820/</t>
  </si>
  <si>
    <t>https://africanmarketingconfederation.org/wp-admin/post.php?post=31820&amp;action=elementor</t>
  </si>
  <si>
    <t>[Auto]: elementor 31820</t>
  </si>
  <si>
    <t>Skip to content 2026 TICON Africa Conference In partnership with the ICT Association of Zambia 23-25 September 2026 24-26 September 2026 Livingstone, Zambia Livingstone, Zambia Powering Africa’s Digital Rise Sign Up for Updates Join the TICON Africa ...</t>
  </si>
  <si>
    <t>Elementor #31820 – African Marketing Confederation</t>
  </si>
  <si>
    <t>2026 TICON Africa Conference In partnership with the ICT Association of Zambia 23-25 September 2026 24-26 September 2026 Livingstone, Zambia Livingstone, Zambia Powering Africa’s Digital Rise Sign Up for Updates Join the TICON Africa Conference 2026 TICON Africa Conference 2026 in Zambia The TICON Africa Conference returns in 2026 for its fourth iteration, this time</t>
  </si>
  <si>
    <t>H1: TICON Africa Conference 2026
H2: 2026 TICON Africa Conference
H2: 23-25 September 2026
H2: 24-26 September 2026 Livingstone, Zambia
H2: Livingstone, Zambia
H2: Join the</t>
  </si>
  <si>
    <t>general-enquiry-form-thank-you-general-enquiry-form-–-t</t>
  </si>
  <si>
    <t>https://africanmarketingconfederation.org/general-enquiry-form-thank-you/</t>
  </si>
  <si>
    <t>https://africanmarketingconfederation.org/wp-admin/post.php?post=5597&amp;action=elementor</t>
  </si>
  <si>
    <t>[Auto]: general enquiry form thank you</t>
  </si>
  <si>
    <t>Skip to content Thank You! Thank you for getting in touch! We appreciate you contacting us. One of our members will be getting back to you soon. 0 Your Cart Your cart is empty Return to Shop Continue Shopping</t>
  </si>
  <si>
    <t>General Enquiry Form – Thank You – African Marketing Confederation</t>
  </si>
  <si>
    <t>Thank You! Thank you for getting in touch! We appreciate you contacting us. One of our members will be getting back to you soon.</t>
  </si>
  <si>
    <t>launch-event-2026-amc-conference-launch-event-{n}-amc-con</t>
  </si>
  <si>
    <t>https://africanmarketingconfederation.org/launch-event-2026-amc-conference/</t>
  </si>
  <si>
    <t>https://africanmarketingconfederation.org/wp-admin/post.php?post=33050&amp;action=elementor</t>
  </si>
  <si>
    <t>[Auto]: launch event 2026 amc conference</t>
  </si>
  <si>
    <t>The Official Launch of the 2026 AMC Conference 10:00 CAT (GMT +2) | 16 March 2026 | Live Online from Lusaka 10:00 CAT (GMT +2) 16 March 2026 Live Online from Lusaka The livestream is available for viewing. Click on the link below to watch. Watch the ...</t>
  </si>
  <si>
    <t>Launch Event 2026 AMC Conference – African Marketing Confederation</t>
  </si>
  <si>
    <t>The Official Launch of the 2026 AMC Conference 10:00 CAT (GMT +2) | 16 March 2026 | Live Online from Lusaka 10:00 CAT (GMT +2) 16 March 2026 Live Online from Lusaka The livestream is available for viewing. Click on the link below to watch. Watch the Launch Event Three Conferences. One United Movement. The</t>
  </si>
  <si>
    <t>H1: 2026 AMC Conference
H2: The Official Launch of the
H2: 2026 AMC Conference
H2: 10:00 CAT (GMT +2) | 16 March 2026 | Live Online from Lusaka
H2: 10:00 CAT (GMT +2) 16 March 2026 Live Online from Lusaka
H2: Three Conferences.</t>
  </si>
  <si>
    <t>members-members-–-african-market</t>
  </si>
  <si>
    <t>https://africanmarketingconfederation.org/members/</t>
  </si>
  <si>
    <t>https://africanmarketingconfederation.org/wp-admin/post.php?post=86&amp;action=elementor</t>
  </si>
  <si>
    <t>[Auto]: members</t>
  </si>
  <si>
    <t>Skip to content OUR MEMBERS Marketers Association of Zimbabwe The Marketers Association of Zimbabwe was launched in 2007 with a vision to be a leading body of marketing professionals promoting professionalism of the highest standards and establishing...</t>
  </si>
  <si>
    <t>Members – African Marketing Confederation</t>
  </si>
  <si>
    <t>OUR MEMBERS Marketers Association of Zimbabwe The Marketers Association of Zimbabwe was launched in 2007 with a vision to be a leading body of marketing professionals promoting professionalism of the highest standards and establishing channels of career development for the benefit of organisations and the economy at large. Visit Website IMM Institute, South Africa The</t>
  </si>
  <si>
    <t>H1: OUR MEMBERS
H2: Marketers Association of Zimbabwe
H2: IMM Institute, South Africa
H2: The Zambia Institute of Marketing
H2: Marketing Society of Kenya
H2: Chartered Institute of Marketing, Ghana</t>
  </si>
  <si>
    <t>news-articles-news-articles-–-african-</t>
  </si>
  <si>
    <t>https://africanmarketingconfederation.org/news-articles/</t>
  </si>
  <si>
    <t>https://africanmarketingconfederation.org/wp-admin/post.php?post=2196&amp;action=elementor</t>
  </si>
  <si>
    <t>[Auto]: news articles</t>
  </si>
  <si>
    <t>European marketers gather to choose their top achievers for 2026 April 30, 2026 Marketing associations from across Europe nominated national champions, with 10 finalists competing for the Marketer of the Year title. Read More »</t>
  </si>
  <si>
    <t>News Articles – African Marketing Confederation</t>
  </si>
  <si>
    <t>AMC Conference Featured Marketing News LATEST news Subscribe Now Free monthly marketing news, articles, events and publication release notifications. Subscribe</t>
  </si>
  <si>
    <t>H1: LATEST news
H3: European marketers gather to choose their top achievers for 2026
H3: Namibia bets on Walvis Bay port as increasingly viable alternative
H3: ChatGPT ads in Africa: A game changer or a trust gamble?
H3: Report identifies five forces influencing global purchasing decisions
H3: Out now! New issue brings latest news and insights for Africa’s marketers</t>
  </si>
  <si>
    <t>privacy-policy-privacy-policy-–-african</t>
  </si>
  <si>
    <t>https://africanmarketingconfederation.org/privacy-policy/</t>
  </si>
  <si>
    <t>https://africanmarketingconfederation.org/wp-admin/post.php?post=3&amp;action=elementor</t>
  </si>
  <si>
    <t>[Auto]: privacy policy</t>
  </si>
  <si>
    <t>Skip to content Privacy Policy Who we are The ground-breaking African Marketing Confederation (AMC) was founded in 2011 when marketing associations from four African countries met in Livingston, Zambia, to discuss the status and development of the ma...</t>
  </si>
  <si>
    <t>Privacy Policy – African Marketing Confederation</t>
  </si>
  <si>
    <t>Privacy Policy Who we are The ground-breaking African Marketing Confederation (AMC) was founded in 2011 when marketing associations from four African countries met in Livingston, Zambia, to discuss the status and development of the marketing profession across Africa. Collaboration between the various national bodies and associations was deemed to be of the utmost importance in</t>
  </si>
  <si>
    <t>H1: Privacy Policy
H3: The ground-breaking African Marketing Confederation (AMC) was founded in 2011 when marketing associations from four African countries met in Livingston, Zambia, to discuss the status and development of the marketing profession across Africa.
H3: When clients visit our website and request that our team send them a quote or wish to register to attend the conference, the following information will be requested may be requested from them through a contact form but is not limited to name, surname, company name, job title, how they heard about us, how many delegates will attend and if they wish to subscribe to our newsletter.
H3: Articles on this site may include embedded content (e.g videos, images, articles, etc.).  Embedded content from other websites behave in the exact same way as if the visitor has visited the other website.
H3: This information captured from the website is collected and stored on the company CRM platform called Salesforce. Professional information may be, with the consent of Smart Procurement World, be shared with other organisations or customers for the purpose of facilitating business relationships in our customer’s best interests.
H3: If you have an account on this site, or have left comments, you can request to receive an exported file of the personal data we hold about you, including any data you have provided to us. You can also request that we erase any personal data we hold about you. This does not include any data we are obliged to keep for administrative, legal, or security purposes.</t>
  </si>
  <si>
    <t>publication-download-list-publication-download-lis</t>
  </si>
  <si>
    <t>https://africanmarketingconfederation.org/publication-download-list/</t>
  </si>
  <si>
    <t>https://africanmarketingconfederation.org/wp-admin/post.php?post=9047&amp;action=elementor</t>
  </si>
  <si>
    <t>[Auto]: publication download list</t>
  </si>
  <si>
    <t>Skip to content Download All Publications now Click on the publication edition below to download! Edition 1 | 2026 Edition 1 | 2026 Edition 4 | 2025 Edition 4 | 2025 Edition 3 | 2025 Edition 3 | 2025 Edition 2 | 2025 Edition 1 | 2025 Edition 4 | 2024...</t>
  </si>
  <si>
    <t>Publication Download List – African Marketing Confederation</t>
  </si>
  <si>
    <t>Download All Publications now Click on the publication edition below to download! Edition 1 | 2026 Edition 1 | 2026 Edition 4 | 2025 Edition 4 | 2025 Edition 3 | 2025 Edition 3 | 2025 Edition 2 | 2025 Edition 1 | 2025 Edition 4 | 2024 Edition 3 | 2024 Edition 2 |</t>
  </si>
  <si>
    <t>H3: Download All Publications now</t>
  </si>
  <si>
    <t>publications-2-publications-–-african-m</t>
  </si>
  <si>
    <t>https://africanmarketingconfederation.org/publications-2/</t>
  </si>
  <si>
    <t>https://africanmarketingconfederation.org/wp-admin/post.php?post=3686&amp;action=elementor</t>
  </si>
  <si>
    <t>[Auto]: publications 2</t>
  </si>
  <si>
    <t>Skip to content Strategic Marketing for Africa Explore the Latest in African Marketing Now Download Publication Glad to have contributed to one of the most competitive marketing platforms on the African continent…Please keep up the good work! Dr Taba...</t>
  </si>
  <si>
    <t>Publications – African Marketing Confederation</t>
  </si>
  <si>
    <t>Download Strategic Marketing for Africa, the continent's premier marketing publication. Discover the latest industry insights and trends from top experts today.</t>
  </si>
  <si>
    <t>H1: Strategic Marketing for Africa</t>
  </si>
  <si>
    <t>speakers-2025-our-speakers-–-{n}-amc-c</t>
  </si>
  <si>
    <t>https://africanmarketingconfederation.org/speakers-2025/</t>
  </si>
  <si>
    <t>https://africanmarketingconfederation.org/wp-admin/post.php?post=21962&amp;action=elementor</t>
  </si>
  <si>
    <t>[Auto]: speakers 2025</t>
  </si>
  <si>
    <t>Speakers AMC Conference 2025 Learn from Africa's Leading Marketing Minds The AMC Conference is renowned for attracting high-level marketing professionals, bold thinkers, and industry pioneers from across the continent. 2025 AMC Conference attendees c...</t>
  </si>
  <si>
    <t>Our Speakers – 2025 AMC Conference</t>
  </si>
  <si>
    <t>Discover what to expect from the AMC Conference 2025 speaker lineup, including insightful sessions led by Africa’s brightest marketing minds and thought leaders</t>
  </si>
  <si>
    <t>H1: Speakers</t>
  </si>
  <si>
    <t>speakers-speakers-–-african-marke</t>
  </si>
  <si>
    <t>https://africanmarketingconfederation.org/speakers/</t>
  </si>
  <si>
    <t>https://africanmarketingconfederation.org/wp-admin/post.php?post=3252&amp;action=elementor</t>
  </si>
  <si>
    <t>Skip to content amc relaunch JOIN OUR FIRST ONLINE GATHERING! WATCH RECORDINGS NOW WATCH NOW amc relaunch THANK YOU FOR JOINING OUR FIRST ONLINE GATHERING! WATCH RECORDINGS NOW WATCH NOW speakers Ms Harriet Khataba Thought Leader and Chief Executive ...</t>
  </si>
  <si>
    <t>amc relaunch JOIN OUR FIRST ONLINE GATHERING! WATCH RECORDINGS NOW WATCH NOW amc relaunch THANK YOU FOR JOINING OUR FIRST ONLINE GATHERING! WATCH RECORDINGS NOW WATCH NOW speakers Ms Harriet KhatabaThought Leader and Chief Executive Officer, Her Story Matters Mr Gillian RusikeExecutive, African Marketing Confederation Mrs Helen McInteePresident, African Marketing Confederation Dr. Alistair MokoenaCountry Director,</t>
  </si>
  <si>
    <t>H2: amc relaunch
H2: JOIN OUR FIRST ONLINE GATHERING!
H2: WATCH RECORDINGS NOW
H2: WATCH RECORDINGS NOW
H2: amc relaunch
H2: THANK YOU FOR JOINING OUR FIRST ONLINE GATHERING!</t>
  </si>
  <si>
    <t>sub-committees-sub-committees-–-african</t>
  </si>
  <si>
    <t>https://africanmarketingconfederation.org/sub-committees/</t>
  </si>
  <si>
    <t>https://africanmarketingconfederation.org/wp-admin/post.php?post=3634&amp;action=elementor</t>
  </si>
  <si>
    <t>[Auto]: sub committees</t>
  </si>
  <si>
    <t>Skip to content Sub Committees AMC’s Education and Membership Committee The AMC’s Education and Membership Committee is committed to assisting in the skills enhancement of marketing professionals on the continent, ensuring qualification mobility arou...</t>
  </si>
  <si>
    <t>Sub Committees – African Marketing Confederation</t>
  </si>
  <si>
    <t>Sub Committees AMC’s Education and Membership Committee The AMC’s Education and Membership Committee is committed to assisting in the skills enhancement of marketing professionals on the continent, ensuring qualification mobility around the globe. To these ends the Committee is currently focusing on the following projects: The Chartered Marketer (Africa) programme (set to be launched early</t>
  </si>
  <si>
    <t>H1: Sub Committees
H2: AMC’s Education and Membership Committee
H2: The AMC’s Events Committee
H2: The AMC Publishing Committee
H2: The AMC Research Committee</t>
  </si>
  <si>
    <t>subscribe-subscribe-–-african-mark</t>
  </si>
  <si>
    <t>https://africanmarketingconfederation.org/subscribe/</t>
  </si>
  <si>
    <t>https://africanmarketingconfederation.org/wp-admin/post.php?post=7781&amp;action=elementor</t>
  </si>
  <si>
    <t>[Auto]: subscribe</t>
  </si>
  <si>
    <t>Skip to content Subscribe Now Subscribe Name First Last Email Select your Country Afghanistan Albania Algeria American Samoa Andorra Angola Anguilla Antarctica Antigua and Barbuda Argentina Armenia Aruba Australia Austria Azerbaijan Bahamas Bahrain B...</t>
  </si>
  <si>
    <t>Subscribe – African Marketing Confederation</t>
  </si>
  <si>
    <t>Subscribe Now Subscribe Name First Last Email Select your 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t>
  </si>
  <si>
    <t>H3: Subscribe Now
H2: Subscribe</t>
  </si>
  <si>
    <t>test-homeslider-test-homeslider-–-africa</t>
  </si>
  <si>
    <t>https://africanmarketingconfederation.org/test-homeslider/</t>
  </si>
  <si>
    <t>https://africanmarketingconfederation.org/wp-admin/post.php?post=5490&amp;action=elementor</t>
  </si>
  <si>
    <t>[Auto]: test homeslider</t>
  </si>
  <si>
    <t>Skip to content Conference Book Now Connecting Marketing Professionals A must read for all marketers The 2nd edition of the Strategic Marketing for Africa magazine is now available. Read Now conference Book Now Connecting Marketing Professionals A mu...</t>
  </si>
  <si>
    <t>Test HomeSlider – African Marketing Confederation</t>
  </si>
  <si>
    <t>ConferenceBook NowConnecting Marketing Professionals A must read for all marketersThe 2nd edition of the Strategic Marketing for Africa magazine is now available. Read Now Previous Next conferenceBook NowConnecting Marketing Professionals A must read for all marketersThe 2nd edition of the Strategic Marketing for Africa magazine is now available. Read Now Previous Next</t>
  </si>
  <si>
    <t>test-payment-gate-test-payment-gate-–-afri</t>
  </si>
  <si>
    <t>https://africanmarketingconfederation.org/test-payment-gate/</t>
  </si>
  <si>
    <t>https://africanmarketingconfederation.org/wp-admin/post.php?post=27352&amp;action=elementor</t>
  </si>
  <si>
    <t>[Auto]: test payment gate</t>
  </si>
  <si>
    <t>Skip to content Add to cart Rated 0 out of 5 SPONSORSHIP PACKAGES AMC Day Attendance Package Full-day conference attendance All lunches &amp; 3 dinners Accommodation &amp; breakfasts excluded $ 550 Add to cart View Product Add to cart Rated 0 out of 5 SPONSO...</t>
  </si>
  <si>
    <t>Test payment gate – African Marketing Confederation</t>
  </si>
  <si>
    <t>Add to cart Rated 0 out of 5 CELEBRITY ENDORSEMENTS TEST 2$ $2 Add to cart View Product Add to cart Rated 0 out of 5 Application Fee Non-refundable application fee: $150 Add to cart View Product Add to cart Rated 0 out of 5 SPONSORSHIP PACKAGES AMC Day Attendance Package Full-day conference attendance All</t>
  </si>
  <si>
    <t>H2: AMC Day Attendance Package
H3: $ 550
H2: AMC Conference Only Package
H3: $ 330
H2: AMC Full-Conference Package La Palm Royal Beach Hotel
H3: $ 1330</t>
  </si>
  <si>
    <t>thank-you-for-registering-2024-registrations-kenya-thank-you-for-registerin</t>
  </si>
  <si>
    <t>https://africanmarketingconfederation.org/thank-you-for-registering-2024-registrations-kenya/</t>
  </si>
  <si>
    <t>https://africanmarketingconfederation.org/wp-admin/post.php?post=21591&amp;action=elementor</t>
  </si>
  <si>
    <t>[Auto]: thank you for registering 2024 registrations kenya</t>
  </si>
  <si>
    <t>Skip to content Thank You FOr  Registering Kenyan delegates, don’t miss your chance to grab discounted tickets! Buy Tickets 0 Your Cart Your cart is empty Return to Shop Continue Shopping</t>
  </si>
  <si>
    <t>Thank you for registering 2024 Registrations KENYA – African Marketing Confederation</t>
  </si>
  <si>
    <t>Thank You FOr Registering Kenyan delegates, don’t miss your chance to grab discounted tickets! Buy Tickets</t>
  </si>
  <si>
    <t>H2: Thank You FOr  Registering</t>
  </si>
  <si>
    <t>thank-you-for-registering-2024-registrations-thank-you-for-registerin</t>
  </si>
  <si>
    <t>https://africanmarketingconfederation.org/thank-you-for-registering-2024-registrations/</t>
  </si>
  <si>
    <t>https://africanmarketingconfederation.org/wp-admin/post.php?post=17195&amp;action=elementor</t>
  </si>
  <si>
    <t>[Auto]: thank you for registering 2024 registrations</t>
  </si>
  <si>
    <t>Skip to content Thank You FOr  Registering Please finalise your booking by selecting one of our tailored packages and completing payment via our secure online payment gateway. View Packages Download Prospectus 0 Your Cart Your cart is empty Return to...</t>
  </si>
  <si>
    <t>Thank you for registering 2024 Registrations – African Marketing Confederation</t>
  </si>
  <si>
    <t>Thank You FOr Registering Please finalise your booking by selecting one of our tailored packages and completing payment via our secure online payment gateway. View Packages Download Prospectus</t>
  </si>
  <si>
    <t>thank-you-for-subscribing-thank-you-for-subscribin</t>
  </si>
  <si>
    <t>https://africanmarketingconfederation.org/thank-you-for-subscribing/</t>
  </si>
  <si>
    <t>https://africanmarketingconfederation.org/wp-admin/post.php?post=7916&amp;action=elementor</t>
  </si>
  <si>
    <t>[Auto]: thank you for subscribing</t>
  </si>
  <si>
    <t>Skip to content Thank You for Subscribing to the The African Marketing Confederation newsletter. The AMC newsletter will keep you up to date with the latest marketing news, articles,event and publication release notifications. Here is what you can ex...</t>
  </si>
  <si>
    <t>Thank You for Subscribing – African Marketing Confederation</t>
  </si>
  <si>
    <t>Thank You for Subscribing to the The African Marketing Confederation newsletter. The AMC newsletter will keep you up to date with the latest marketing news, articles,event and publication release notifications. Here is what you can expect from us: Top industry articles The AMC newsletter will keep you up to date with the latest marketing news,</t>
  </si>
  <si>
    <t>H2: Thank You for Subscribing
H2: to the The African Marketing Confederation newsletter.
H2: Top industry articles
H2: Strategic Marketing for Africa
H2: Events
H2: Education</t>
  </si>
  <si>
    <t>thank-you-for-the-nomination-2024-thank-you-for-the-nomina</t>
  </si>
  <si>
    <t>https://africanmarketingconfederation.org/thank-you-for-the-nomination-2024/</t>
  </si>
  <si>
    <t>https://africanmarketingconfederation.org/wp-admin/post.php?post=17000&amp;action=elementor</t>
  </si>
  <si>
    <t>[Auto]: thank you for the nomination 2024</t>
  </si>
  <si>
    <t>Skip to content Thank You for your nomination! Speakers Programme Awards 0 Your Cart Your cart is empty Return to Shop Continue Shopping</t>
  </si>
  <si>
    <t>Thank you for the nomination 2024 – African Marketing Confederation</t>
  </si>
  <si>
    <t>Thank You for your nomination! Speakers Programme Awards</t>
  </si>
  <si>
    <t>H2: Thank You for your nomination!</t>
  </si>
  <si>
    <t>thank-you-for-the-submission-2024-thank-you-for-the-submis</t>
  </si>
  <si>
    <t>https://africanmarketingconfederation.org/thank-you-for-the-submission-2024/</t>
  </si>
  <si>
    <t>https://africanmarketingconfederation.org/wp-admin/post.php?post=17196&amp;action=elementor</t>
  </si>
  <si>
    <t>[Auto]: thank you for the submission 2024</t>
  </si>
  <si>
    <t>Skip to content Thank You for your Submission! Speakers Programme Awards 0 Your Cart Your cart is empty Return to Shop Continue Shopping</t>
  </si>
  <si>
    <t>Thank you for the Submission 2024 – African Marketing Confederation</t>
  </si>
  <si>
    <t>Thank You for your Submission! Speakers Programme Awards</t>
  </si>
  <si>
    <t>H2: Thank You for your Submission!</t>
  </si>
  <si>
    <t>upcoming-events-upcoming-events-–-africa</t>
  </si>
  <si>
    <t>https://africanmarketingconfederation.org/upcoming-events/</t>
  </si>
  <si>
    <t>https://africanmarketingconfederation.org/wp-admin/post.php?post=4909&amp;action=elementor</t>
  </si>
  <si>
    <t>[Auto]: upcoming events</t>
  </si>
  <si>
    <t>Skip to content UPCOMING EVENTS upcoming events AMC Conference 2022 19- 22 October The AMC Conference is the must attend Pan African event for marketing professionals. It will focus on solutions for marketers across the continent and will provide pra...</t>
  </si>
  <si>
    <t>Upcoming Events – African Marketing Confederation</t>
  </si>
  <si>
    <t>UPCOMING EVENTS upcoming events AMC Conference 2022 19- 22 October The AMC Conference is the must attend Pan African event for marketing professionals. It will focus on solutions for marketers across the continent and will provide practical tools for marketers to use in appealing to its diverse audience. More Info Subscribe Now Free monthly marketing</t>
  </si>
  <si>
    <t>H2: UPCOMING EVENTS
H2: upcoming events
H3: AMC Conference 2022
H3: Subscribe Now</t>
  </si>
  <si>
    <t>virtual-programme-virtual-programme-–-afri</t>
  </si>
  <si>
    <t>https://africanmarketingconfederation.org/virtual-programme/</t>
  </si>
  <si>
    <t>https://africanmarketingconfederation.org/wp-admin/post.php?post=5290&amp;action=elementor</t>
  </si>
  <si>
    <t>[Auto]: virtual programme</t>
  </si>
  <si>
    <t>Skip to content AMC Conference 2022 virtual conference programme 23 - 24 March 2022 Navigating Africa’s Unique Marketing Mix Conference day 1 Conference day 2 BOOK NOW FOR THE AMC CONFERENCE 2022 BOOK NOW Conference day 1 Wednesday, 23 March 2022 08h...</t>
  </si>
  <si>
    <t>VIRTUAL PROGRAMME – African Marketing Confederation</t>
  </si>
  <si>
    <t>AMC Conference 2022 virtual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</si>
  <si>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H2: AMC Conference 2022
H2: virtual conference programme
H2: BOOK NOW FOR THE AMC CONFERENCE 2022
H2: Conference day 1
H2: Conference day 2
H2: BOOK NOW FOR THE AMC CONFERENCE 2022</t>
  </si>
  <si>
    <t>Issue Type</t>
  </si>
  <si>
    <t>Priority Score</t>
  </si>
  <si>
    <t>Affected Count</t>
  </si>
  <si>
    <t>Detail Reference Tab</t>
  </si>
  <si>
    <t>Resolution Type</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</si>
  <si>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</si>
  <si>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</si>
  <si>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</si>
  <si>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</si>
  <si>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</si>
  <si>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</si>
  <si>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</si>
  <si>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</si>
  <si>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</si>
  <si>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</si>
  <si>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</si>
  <si>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</si>
  <si>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</si>
  <si>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</si>
  <si>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View Details</t>
  </si>
  <si>
    <t>Hub Status (Content Hub)</t>
  </si>
  <si>
    <t>Noindex Directive</t>
  </si>
  <si>
    <t>Manual Content</t>
  </si>
  <si>
    <t>Remove unintended noindex directives on index-worthy URLs.</t>
  </si>
  <si>
    <t>Meta robots or X-Robots-Tag contains noindex.</t>
  </si>
  <si>
    <t>M</t>
  </si>
  <si>
    <t>Immediate (Current Sprint)</t>
  </si>
  <si>
    <t>High Risk</t>
  </si>
  <si>
    <t>SEO</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</si>
  <si>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</si>
  <si>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</si>
  <si>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</si>
  <si>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</si>
  <si>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</si>
  <si>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</si>
  <si>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</si>
  <si>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Server/Host</t>
  </si>
  <si>
    <t>CWV LCP Above 4.0s</t>
  </si>
  <si>
    <t>Broken Internal Links</t>
  </si>
  <si>
    <t>Update internal links to valid URLs and remove dead references.</t>
  </si>
  <si>
    <t>Internal links resolve to missing or error pages.</t>
  </si>
  <si>
    <t>Non-200 Status</t>
  </si>
  <si>
    <t>https://africanmarketingconfederation.org/amc-conference-sponsors/
https://africanmarketingconfederation.org/amc-marketing-conference-2024/speakers-2024/</t>
  </si>
  <si>
    <t>Fix status code, restore page, or implement correct redirect to canonical destination.</t>
  </si>
  <si>
    <t>URL returns 4xx/5xx or equivalent failure.</t>
  </si>
  <si>
    <t>Missing Title</t>
  </si>
  <si>
    <t>Add unique descriptive title on affected template/page type.</t>
  </si>
  <si>
    <t>Template/page missing title tag.</t>
  </si>
  <si>
    <t>Redirect Chains</t>
  </si>
  <si>
    <t>S</t>
  </si>
  <si>
    <t>Next Sprint</t>
  </si>
  <si>
    <t>Medium Risk</t>
  </si>
  <si>
    <t>CWV LCP Needs Improvement (2.5-4.0s)</t>
  </si>
  <si>
    <t>Missing FAQ/QA Schema</t>
  </si>
  <si>
    <t>Add valid FAQPage or QAPage JSON-LD where appropriate and ensure on-page parity.</t>
  </si>
  <si>
    <t>No FAQPage/QAPage schema found for likely Q&amp;A style content.</t>
  </si>
  <si>
    <t>Deep URL (&gt;3 clicks)</t>
  </si>
  <si>
    <t>Low Image Alt Coverage</t>
  </si>
  <si>
    <t>Mixed Content</t>
  </si>
  <si>
    <t>Serve all assets over HTTPS and update hardcoded URLs.</t>
  </si>
  <si>
    <t>HTTPS page references insecure HTTP assets.</t>
  </si>
  <si>
    <t>Canonical Missing</t>
  </si>
  <si>
    <t>Hreflang Without Reciprocity</t>
  </si>
  <si>
    <t>Multiple H1</t>
  </si>
  <si>
    <t>Missing Meta Description</t>
  </si>
  <si>
    <t>https://africanmarketingconfederation.org/amc-conference-sponsors/
https://africanmarketingconfederation.org/amc-marketing-conference-2024/speakers-2024/
https://africanmarketingconfederation.org/elementor-20341/
https://africanmarketingconfederation.org/amc-conference-2023/amc-awards-book-now/
https://africanmarketingconfederation.org/amc-masterclass-bookings/</t>
  </si>
  <si>
    <t>Add concise unique description aligned with user intent.</t>
  </si>
  <si>
    <t>Meta description missing or empty.</t>
  </si>
  <si>
    <t>Missing H1</t>
  </si>
  <si>
    <t>Low AEO Readiness Score</t>
  </si>
  <si>
    <t>Add short direct answer blocks, question-led headings, and answer-ready formatting.</t>
  </si>
  <si>
    <t>Page lacks concise answer-oriented signals and structured answer patterns.</t>
  </si>
  <si>
    <t>Uses URL Parameters</t>
  </si>
  <si>
    <t>Backlog</t>
  </si>
  <si>
    <t>In Review</t>
  </si>
  <si>
    <t>No</t>
  </si>
  <si>
    <t>Generic Anchor Text Present</t>
  </si>
  <si>
    <t>INP Above 100ms</t>
  </si>
  <si>
    <t>CLS Above 0.1</t>
  </si>
  <si>
    <t>llms.txt Missing</t>
  </si>
  <si>
    <t>Image Filename Quality Issues</t>
  </si>
  <si>
    <t>https://africanmarketingconfederation.org/amc-conference-2026/
https://africanmarketingconfederation.org/amc-conference-2025-highlights/</t>
  </si>
  <si>
    <t>Low Regional Authority</t>
  </si>
  <si>
    <t>No Cache-Control Header</t>
  </si>
  <si>
    <t>No ETag Header</t>
  </si>
  <si>
    <t>No Question Headings</t>
  </si>
  <si>
    <t>Add clear question-style headings (especially H2/H3) for key intents.</t>
  </si>
  <si>
    <t>Headings are not phrased as user questions.</t>
  </si>
  <si>
    <t>No Answer-Friendly Structure</t>
  </si>
  <si>
    <t>Introduce structured bullets, ordered steps, or tables for key answers.</t>
  </si>
  <si>
    <t>Page lacks lists/tables that help concise answer extraction.</t>
  </si>
  <si>
    <t>No 40-60 Word Answer Paragraphs</t>
  </si>
  <si>
    <t>Add a direct 30-60 word answer summary near question headings.</t>
  </si>
  <si>
    <t>No concise answer-length paragraph detected.</t>
  </si>
  <si>
    <t>AI Crawlers Not Explicitly Allowed</t>
  </si>
  <si>
    <t>Thin Content</t>
  </si>
  <si>
    <t>Expand page with helpful, unique, intent-matching content.</t>
  </si>
  <si>
    <t>Insufficient body content for indexing confidence.</t>
  </si>
  <si>
    <t>Health Icon</t>
  </si>
  <si>
    <t>Status Code</t>
  </si>
  <si>
    <t>Load Time (s)</t>
  </si>
  <si>
    <t>Title</t>
  </si>
  <si>
    <t>Meta Description</t>
  </si>
  <si>
    <t>Word Count (Body)</t>
  </si>
  <si>
    <t>SEO Health Score</t>
  </si>
  <si>
    <t>Severity Badge</t>
  </si>
  <si>
    <t>Title Length</t>
  </si>
  <si>
    <t>Meta Desc Length</t>
  </si>
  <si>
    <t>OG-Image</t>
  </si>
  <si>
    <t>Has Valid JSON-LD</t>
  </si>
  <si>
    <t>H1 Content</t>
  </si>
  <si>
    <t>H1 Length</t>
  </si>
  <si>
    <t>H2 Content</t>
  </si>
  <si>
    <t>H2 Length</t>
  </si>
  <si>
    <t>H3 Content</t>
  </si>
  <si>
    <t>H3 Length</t>
  </si>
  <si>
    <t>H4 Content</t>
  </si>
  <si>
    <t>H4 Length</t>
  </si>
  <si>
    <t>H5 Content</t>
  </si>
  <si>
    <t>H5 Length</t>
  </si>
  <si>
    <t>H6 Content</t>
  </si>
  <si>
    <t>H6 Length</t>
  </si>
  <si>
    <t>CWV LCP (s)</t>
  </si>
  <si>
    <t>CWV INP (ms)</t>
  </si>
  <si>
    <t>CWV CLS</t>
  </si>
  <si>
    <t>Field vs Lab</t>
  </si>
  <si>
    <t>Regional Authority Score</t>
  </si>
  <si>
    <t>Technical View</t>
  </si>
  <si>
    <t>FAIL 🔴</t>
  </si>
  <si>
    <t>Indexable</t>
  </si>
  <si>
    <t>Lab</t>
  </si>
  <si>
    <t>WARN 🟡</t>
  </si>
  <si>
    <t>Status Class</t>
  </si>
  <si>
    <t>Indexability Reason</t>
  </si>
  <si>
    <t>TTFB (ms)</t>
  </si>
  <si>
    <t>Total Request Time (ms)</t>
  </si>
  <si>
    <t>Final URL</t>
  </si>
  <si>
    <t>Canonical URL</t>
  </si>
  <si>
    <t>Canonical Type</t>
  </si>
  <si>
    <t>Protocol</t>
  </si>
  <si>
    <t>Redirect Chain Length</t>
  </si>
  <si>
    <t>Redirect Target</t>
  </si>
  <si>
    <t>Redirect Hops</t>
  </si>
  <si>
    <t>HTTP-&gt;HTTPS Redirect</t>
  </si>
  <si>
    <t>Content-Type</t>
  </si>
  <si>
    <t>HTTP Version</t>
  </si>
  <si>
    <t>HTML Size (KB)</t>
  </si>
  <si>
    <t>Compression Enabled</t>
  </si>
  <si>
    <t>Cache-Control</t>
  </si>
  <si>
    <t>ETag</t>
  </si>
  <si>
    <t>X-Robots-Tag</t>
  </si>
  <si>
    <t>Meta Robots Raw</t>
  </si>
  <si>
    <t>Canonical Matches Final URL</t>
  </si>
  <si>
    <t>Canonical Absolute URL</t>
  </si>
  <si>
    <t>Canonical in Sitemap Match</t>
  </si>
  <si>
    <t>Hreflang Present</t>
  </si>
  <si>
    <t>Hreflang Count</t>
  </si>
  <si>
    <t>Hreflang Self Reference</t>
  </si>
  <si>
    <t>Hreflang Reciprocal Check</t>
  </si>
  <si>
    <t>Hreflang Canonical Consistency</t>
  </si>
  <si>
    <t>x-default Present</t>
  </si>
  <si>
    <t>Pagination rel=next</t>
  </si>
  <si>
    <t>Pagination rel=prev</t>
  </si>
  <si>
    <t>Last-Modified</t>
  </si>
  <si>
    <t>Published Date</t>
  </si>
  <si>
    <t>Modified Date</t>
  </si>
  <si>
    <t>Last Updated</t>
  </si>
  <si>
    <t>Change Frequency</t>
  </si>
  <si>
    <t>Priority</t>
  </si>
  <si>
    <t>AI Crawlers Allowed (GPTBot/ClaudeBot/PerplexityBot)</t>
  </si>
  <si>
    <t>llms.txt Present</t>
  </si>
  <si>
    <t>CWV Data Source</t>
  </si>
  <si>
    <t>Regional Entity Hits</t>
  </si>
  <si>
    <t>Answer Block Detected (First 60 Words)</t>
  </si>
  <si>
    <t>AEO Extractability Score</t>
  </si>
  <si>
    <t>Critical Issues Count</t>
  </si>
  <si>
    <t>Warning Issues Count</t>
  </si>
  <si>
    <t>Observation Issues Count</t>
  </si>
  <si>
    <t>Inlinks Bucket</t>
  </si>
  <si>
    <t>Important But Underlinked</t>
  </si>
  <si>
    <t>SERP Title Truncation Risk</t>
  </si>
  <si>
    <t>SERP Meta Truncation Risk</t>
  </si>
  <si>
    <t>SERP Title Pixel Approx</t>
  </si>
  <si>
    <t>SERP Meta Pixel Approx</t>
  </si>
  <si>
    <t>Cannibalization Hint</t>
  </si>
  <si>
    <t>Stable Issue IDs</t>
  </si>
  <si>
    <t>URL Depth</t>
  </si>
  <si>
    <t>Param URL Flag</t>
  </si>
  <si>
    <t>4xx</t>
  </si>
  <si>
    <t>HTTP 404</t>
  </si>
  <si>
    <t>https://africanmarketingconfederation.org/amc-forum-sponsors/</t>
  </si>
  <si>
    <t>https</t>
  </si>
  <si>
    <t>text/html; charset=UTF-8</t>
  </si>
  <si>
    <t>HTTP/1.1</t>
  </si>
  <si>
    <t>2024-09-18T12:27:33+00:00</t>
  </si>
  <si>
    <t>weekly</t>
  </si>
  <si>
    <t>0.7</t>
  </si>
  <si>
    <t>0</t>
  </si>
  <si>
    <t>https://africanmarketingconfederation.org/amc-conference-sponsors/::non-200_status | https://africanmarketingconfederation.org/amc-conference-sponsors/::missing_title | https://africanmarketingconfederation.org/amc-conference-sponsors/::missing_meta_description | https://africanmarketingconfederation.org/amc-conference-sponsors/::low_aeo_readiness_score | https://africanmarketingconfederation.org/amc-conference-sponsors/::no_compression_header | https://africanmarketingconfederation.org/amc-conference-sponsors/::no_cache-control_header | https://africanmarketingconfederation.org/amc-conference-sponsors/::no_etag_header | https://africanmarketingconfederation.org/amc-conference-sponsors/::no_question_headings | https://africanmarketingconfederation.org/amc-conference-sponsors/::no_answer-friendly_structure | https://africanmarketingconfederation.org/amc-conference-sponsors/::no_40-60_word_answer_paragraphs | https://africanmarketingconfederation.org/amc-conference-sponsors/::low_regional_authority | https://africanmarketingconfederation.org/amc-conference-sponsors/::ai_crawlers_not_explicitly_allowed</t>
  </si>
  <si>
    <t>https://africanmarketingconfederation.org/amc-forum-speakers/</t>
  </si>
  <si>
    <t>2024-09-18T12:11:23+00:00</t>
  </si>
  <si>
    <t>https://africanmarketingconfederation.org/amc-marketing-conference-2024/speakers-2024/::non-200_status | https://africanmarketingconfederation.org/amc-marketing-conference-2024/speakers-2024/::missing_title | https://africanmarketingconfederation.org/amc-marketing-conference-2024/speakers-2024/::missing_meta_description | https://africanmarketingconfederation.org/amc-marketing-conference-2024/speakers-2024/::low_aeo_readiness_score | https://africanmarketingconfederation.org/amc-marketing-conference-2024/speakers-2024/::no_compression_header | https://africanmarketingconfederation.org/amc-marketing-conference-2024/speakers-2024/::no_cache-control_header | https://africanmarketingconfederation.org/amc-marketing-conference-2024/speakers-2024/::no_etag_header | https://africanmarketingconfederation.org/amc-marketing-conference-2024/speakers-2024/::no_question_headings | https://africanmarketingconfederation.org/amc-marketing-conference-2024/speakers-2024/::no_answer-friendly_structure | https://africanmarketingconfederation.org/amc-marketing-conference-2024/speakers-2024/::no_40-60_word_answer_paragraphs | https://africanmarketingconfederation.org/amc-marketing-conference-2024/speakers-2024/::low_regional_authority | https://africanmarketingconfederation.org/amc-marketing-conference-2024/speakers-2024/::ai_crawlers_not_explicitly_allowed</t>
  </si>
  <si>
    <t>2xx</t>
  </si>
  <si>
    <t>2026-04-29T08:23:06+00:00</t>
  </si>
  <si>
    <t>always</t>
  </si>
  <si>
    <t>1</t>
  </si>
  <si>
    <t>https://africanmarketingconfederation.org/::multiple_h1 | https://africanmarketingconfederation.org/::low_aeo_readiness_score | https://africanmarketingconfederation.org/::no_compression_header | https://africanmarketingconfederation.org/::no_cache-control_header | https://africanmarketingconfederation.org/::no_etag_header | https://africanmarketingconfederation.org/::thin_content | https://africanmarketingconfederation.org/::no_question_headings | https://africanmarketingconfederation.org/::no_answer-friendly_structure | https://africanmarketingconfederation.org/::no_40-60_word_answer_paragraphs | https://africanmarketingconfederation.org/::ai_crawlers_not_explicitly_allowed</t>
  </si>
  <si>
    <t>2026-04-17T08:53:24+00:00</t>
  </si>
  <si>
    <t>https://africanmarketingconfederation.org/about-us/::low_aeo_readiness_score | https://africanmarketingconfederation.org/about-us/::no_compression_header | https://africanmarketingconfederation.org/about-us/::no_cache-control_header | https://africanmarketingconfederation.org/about-us/::no_etag_header | https://africanmarketingconfederation.org/about-us/::thin_content | https://africanmarketingconfederation.org/about-us/::no_question_headings | https://africanmarketingconfederation.org/about-us/::no_answer-friendly_structure | https://africanmarketingconfederation.org/about-us/::no_40-60_word_answer_paragraphs | https://africanmarketingconfederation.org/about-us/::ai_crawlers_not_explicitly_allowed</t>
  </si>
  <si>
    <t>2026-04-17T08:55:48+00:00</t>
  </si>
  <si>
    <t>https://africanmarketingconfederation.org/african-marketing-confederation-tourism-chapter/::multiple_h1 | https://africanmarketingconfederation.org/african-marketing-confederation-tourism-chapter/::low_aeo_readiness_score | https://africanmarketingconfederation.org/african-marketing-confederation-tourism-chapter/::no_compression_header | https://africanmarketingconfederation.org/african-marketing-confederation-tourism-chapter/::no_cache-control_header | https://africanmarketingconfederation.org/african-marketing-confederation-tourism-chapter/::no_etag_header | https://africanmarketingconfederation.org/african-marketing-confederation-tourism-chapter/::no_question_headings | https://africanmarketingconfederation.org/african-marketing-confederation-tourism-chapter/::no_answer-friendly_structure | https://africanmarketingconfederation.org/african-marketing-confederation-tourism-chapter/::no_40-60_word_answer_paragraphs | https://africanmarketingconfederation.org/african-marketing-confederation-tourism-chapter/::ai_crawlers_not_explicitly_allowed</t>
  </si>
  <si>
    <t>2025-04-24T13:54:46+00:00</t>
  </si>
  <si>
    <t>https://africanmarketingconfederation.org/amc-awards-2024/::multiple_h1 | https://africanmarketingconfederation.org/amc-awards-2024/::low_aeo_readiness_score | https://africanmarketingconfederation.org/amc-awards-2024/::no_compression_header | https://africanmarketingconfederation.org/amc-awards-2024/::no_cache-control_header | https://africanmarketingconfederation.org/amc-awards-2024/::no_etag_header | https://africanmarketingconfederation.org/amc-awards-2024/::no_question_headings | https://africanmarketingconfederation.org/amc-awards-2024/::no_answer-friendly_structure | https://africanmarketingconfederation.org/amc-awards-2024/::no_40-60_word_answer_paragraphs | https://africanmarketingconfederation.org/amc-awards-2024/::ai_crawlers_not_explicitly_allowed</t>
  </si>
  <si>
    <t>2025-07-14T07:22:03+00:00</t>
  </si>
  <si>
    <t>https://africanmarketingconfederation.org/amc-conference-2022-prospectus/::missing_h1 | https://africanmarketingconfederation.org/amc-conference-2022-prospectus/::low_aeo_readiness_score | https://africanmarketingconfederation.org/amc-conference-2022-prospectus/::no_compression_header | https://africanmarketingconfederation.org/amc-conference-2022-prospectus/::no_cache-control_header | https://africanmarketingconfederation.org/amc-conference-2022-prospectus/::no_etag_header | https://africanmarketingconfederation.org/amc-conference-2022-prospectus/::thin_content | https://africanmarketingconfederation.org/amc-conference-2022-prospectus/::no_question_headings | https://africanmarketingconfederation.org/amc-conference-2022-prospectus/::no_answer-friendly_structure | https://africanmarketingconfederation.org/amc-conference-2022-prospectus/::no_40-60_word_answer_paragraphs | https://africanmarketingconfederation.org/amc-conference-2022-prospectus/::ai_crawlers_not_explicitly_allowed</t>
  </si>
  <si>
    <t>2021-11-26T08:41:00+00:00</t>
  </si>
  <si>
    <t>https://africanmarketingconfederation.org/amc-conference-2022-thank-you/::missing_h1 | https://africanmarketingconfederation.org/amc-conference-2022-thank-you/::low_aeo_readiness_score | https://africanmarketingconfederation.org/amc-conference-2022-thank-you/::no_compression_header | https://africanmarketingconfederation.org/amc-conference-2022-thank-you/::no_cache-control_header | https://africanmarketingconfederation.org/amc-conference-2022-thank-you/::no_etag_header | https://africanmarketingconfederation.org/amc-conference-2022-thank-you/::no_question_headings | https://africanmarketingconfederation.org/amc-conference-2022-thank-you/::no_answer-friendly_structure | https://africanmarketingconfederation.org/amc-conference-2022-thank-you/::no_40-60_word_answer_paragraphs | https://africanmarketingconfederation.org/amc-conference-2022-thank-you/::ai_crawlers_not_explicitly_allowed</t>
  </si>
  <si>
    <t>2026-01-21T00:07:32+00:00</t>
  </si>
  <si>
    <t>https://africanmarketingconfederation.org/amc-conference-2022/::missing_h1 | https://africanmarketingconfederation.org/amc-conference-2022/::low_aeo_readiness_score | https://africanmarketingconfederation.org/amc-conference-2022/::no_compression_header | https://africanmarketingconfederation.org/amc-conference-2022/::no_cache-control_header | https://africanmarketingconfederation.org/amc-conference-2022/::no_etag_header | https://africanmarketingconfederation.org/amc-conference-2022/::thin_content | https://africanmarketingconfederation.org/amc-conference-2022/::no_question_headings | https://africanmarketingconfederation.org/amc-conference-2022/::no_answer-friendly_structure | https://africanmarketingconfederation.org/amc-conference-2022/::no_40-60_word_answer_paragraphs | https://africanmarketingconfederation.org/amc-conference-2022/::ai_crawlers_not_explicitly_allowed</t>
  </si>
  <si>
    <t>2025-03-03T07:59:34+00:00</t>
  </si>
  <si>
    <t>https://africanmarketingconfederation.org/amc-conference-2023/::low_aeo_readiness_score | https://africanmarketingconfederation.org/amc-conference-2023/::no_compression_header | https://africanmarketingconfederation.org/amc-conference-2023/::no_cache-control_header | https://africanmarketingconfederation.org/amc-conference-2023/::no_etag_header | https://africanmarketingconfederation.org/amc-conference-2023/::no_question_headings | https://africanmarketingconfederation.org/amc-conference-2023/::no_answer-friendly_structure | https://africanmarketingconfederation.org/amc-conference-2023/::no_40-60_word_answer_paragraphs | https://africanmarketingconfederation.org/amc-conference-2023/::ai_crawlers_not_explicitly_allowed</t>
  </si>
  <si>
    <t>2023-08-22T14:14:41+00:00</t>
  </si>
  <si>
    <t>https://africanmarketingconfederation.org/amc-conference-2023/amc-awards-book-now/::missing_meta_description | https://africanmarketingconfederation.org/amc-conference-2023/amc-awards-book-now/::missing_h1 | https://africanmarketingconfederation.org/amc-conference-2023/amc-awards-book-now/::low_aeo_readiness_score | https://africanmarketingconfederation.org/amc-conference-2023/amc-awards-book-now/::no_compression_header | https://africanmarketingconfederation.org/amc-conference-2023/amc-awards-book-now/::no_cache-control_header | https://africanmarketingconfederation.org/amc-conference-2023/amc-awards-book-now/::no_etag_header | https://africanmarketingconfederation.org/amc-conference-2023/amc-awards-book-now/::thin_content | https://africanmarketingconfederation.org/amc-conference-2023/amc-awards-book-now/::no_question_headings | https://africanmarketingconfederation.org/amc-conference-2023/amc-awards-book-now/::no_answer-friendly_structure | https://africanmarketingconfederation.org/amc-conference-2023/amc-awards-book-now/::no_40-60_word_answer_paragraphs | https://africanmarketingconfederation.org/amc-conference-2023/amc-awards-book-now/::ai_crawlers_not_explicitly_allowed</t>
  </si>
  <si>
    <t>2023-11-23T11:51:22+00:00</t>
  </si>
  <si>
    <t>https://africanmarketingconfederation.org/amc-conference-2023/amc-awards/::low_aeo_readiness_score | https://africanmarketingconfederation.org/amc-conference-2023/amc-awards/::no_compression_header | https://africanmarketingconfederation.org/amc-conference-2023/amc-awards/::no_cache-control_header | https://africanmarketingconfederation.org/amc-conference-2023/amc-awards/::no_etag_header | https://africanmarketingconfederation.org/amc-conference-2023/amc-awards/::no_question_headings | https://africanmarketingconfederation.org/amc-conference-2023/amc-awards/::no_answer-friendly_structure | https://africanmarketingconfederation.org/amc-conference-2023/amc-awards/::no_40-60_word_answer_paragraphs | https://africanmarketingconfederation.org/amc-conference-2023/amc-awards/::ai_crawlers_not_explicitly_allowed</t>
  </si>
  <si>
    <t>2023-07-03T10:10:31+00:00</t>
  </si>
  <si>
    <t>https://africanmarketingconfederation.org/amc-conference-2023/book-now-thank-you/::missing_h1 | https://africanmarketingconfederation.org/amc-conference-2023/book-now-thank-you/::low_aeo_readiness_score | https://africanmarketingconfederation.org/amc-conference-2023/book-now-thank-you/::no_compression_header | https://africanmarketingconfederation.org/amc-conference-2023/book-now-thank-you/::no_cache-control_header | https://africanmarketingconfederation.org/amc-conference-2023/book-now-thank-you/::no_etag_header | https://africanmarketingconfederation.org/amc-conference-2023/book-now-thank-you/::thin_content | https://africanmarketingconfederation.org/amc-conference-2023/book-now-thank-you/::no_question_headings | https://africanmarketingconfederation.org/amc-conference-2023/book-now-thank-you/::no_answer-friendly_structure | https://africanmarketingconfederation.org/amc-conference-2023/book-now-thank-you/::no_40-60_word_answer_paragraphs | https://africanmarketingconfederation.org/amc-conference-2023/book-now-thank-you/::ai_crawlers_not_explicitly_allowed</t>
  </si>
  <si>
    <t>2023-08-21T11:57:28+00:00</t>
  </si>
  <si>
    <t>https://africanmarketingconfederation.org/amc-conference-2023/book-now/::low_aeo_readiness_score | https://africanmarketingconfederation.org/amc-conference-2023/book-now/::no_compression_header | https://africanmarketingconfederation.org/amc-conference-2023/book-now/::no_cache-control_header | https://africanmarketingconfederation.org/amc-conference-2023/book-now/::no_etag_header | https://africanmarketingconfederation.org/amc-conference-2023/book-now/::thin_content | https://africanmarketingconfederation.org/amc-conference-2023/book-now/::no_question_headings | https://africanmarketingconfederation.org/amc-conference-2023/book-now/::no_answer-friendly_structure | https://africanmarketingconfederation.org/amc-conference-2023/book-now/::no_40-60_word_answer_paragraphs | https://africanmarketingconfederation.org/amc-conference-2023/book-now/::ai_crawlers_not_explicitly_allowed</t>
  </si>
  <si>
    <t>2023-08-21T10:54:35+00:00</t>
  </si>
  <si>
    <t>https://africanmarketingconfederation.org/amc-conference-2023/download-prospectus/::low_aeo_readiness_score | https://africanmarketingconfederation.org/amc-conference-2023/download-prospectus/::no_compression_header | https://africanmarketingconfederation.org/amc-conference-2023/download-prospectus/::no_cache-control_header | https://africanmarketingconfederation.org/amc-conference-2023/download-prospectus/::no_etag_header | https://africanmarketingconfederation.org/amc-conference-2023/download-prospectus/::thin_content | https://africanmarketingconfederation.org/amc-conference-2023/download-prospectus/::no_question_headings | https://africanmarketingconfederation.org/amc-conference-2023/download-prospectus/::no_answer-friendly_structure | https://africanmarketingconfederation.org/amc-conference-2023/download-prospectus/::no_40-60_word_answer_paragraphs | https://africanmarketingconfederation.org/amc-conference-2023/download-prospectus/::ai_crawlers_not_explicitly_allowed</t>
  </si>
  <si>
    <t>2026-01-09T00:06:37+00:00</t>
  </si>
  <si>
    <t>https://africanmarketingconfederation.org/amc-conference-2023/gallery/::low_aeo_readiness_score | https://africanmarketingconfederation.org/amc-conference-2023/gallery/::no_compression_header | https://africanmarketingconfederation.org/amc-conference-2023/gallery/::no_cache-control_header | https://africanmarketingconfederation.org/amc-conference-2023/gallery/::no_etag_header | https://africanmarketingconfederation.org/amc-conference-2023/gallery/::thin_content | https://africanmarketingconfederation.org/amc-conference-2023/gallery/::no_question_headings | https://africanmarketingconfederation.org/amc-conference-2023/gallery/::no_answer-friendly_structure | https://africanmarketingconfederation.org/amc-conference-2023/gallery/::no_40-60_word_answer_paragraphs | https://africanmarketingconfederation.org/amc-conference-2023/gallery/::ai_crawlers_not_explicitly_allowed</t>
  </si>
  <si>
    <t>2023-08-24T11:13:02+00:00</t>
  </si>
  <si>
    <t>https://africanmarketingconfederation.org/amc-conference-2023/partners/::low_aeo_readiness_score | https://africanmarketingconfederation.org/amc-conference-2023/partners/::no_compression_header | https://africanmarketingconfederation.org/amc-conference-2023/partners/::no_cache-control_header | https://africanmarketingconfederation.org/amc-conference-2023/partners/::no_etag_header | https://africanmarketingconfederation.org/amc-conference-2023/partners/::thin_content | https://africanmarketingconfederation.org/amc-conference-2023/partners/::no_question_headings | https://africanmarketingconfederation.org/amc-conference-2023/partners/::no_answer-friendly_structure | https://africanmarketingconfederation.org/amc-conference-2023/partners/::no_40-60_word_answer_paragraphs | https://africanmarketingconfederation.org/amc-conference-2023/partners/::ai_crawlers_not_explicitly_allowed</t>
  </si>
  <si>
    <t>2023-11-23T11:27:20+00:00</t>
  </si>
  <si>
    <t>https://africanmarketingconfederation.org/amc-conference-2023/programme/::low_aeo_readiness_score | https://africanmarketingconfederation.org/amc-conference-2023/programme/::no_compression_header | https://africanmarketingconfederation.org/amc-conference-2023/programme/::no_cache-control_header | https://africanmarketingconfederation.org/amc-conference-2023/programme/::no_etag_header | https://africanmarketingconfederation.org/amc-conference-2023/programme/::no_question_headings | https://africanmarketingconfederation.org/amc-conference-2023/programme/::no_answer-friendly_structure | https://africanmarketingconfederation.org/amc-conference-2023/programme/::no_40-60_word_answer_paragraphs | https://africanmarketingconfederation.org/amc-conference-2023/programme/::ai_crawlers_not_explicitly_allowed</t>
  </si>
  <si>
    <t>2023-08-24T10:11:48+00:00</t>
  </si>
  <si>
    <t>Near-duplicate title cluster</t>
  </si>
  <si>
    <t>https://africanmarketingconfederation.org/amc-conference-2023/speakers/::low_aeo_readiness_score | https://africanmarketingconfederation.org/amc-conference-2023/speakers/::no_compression_header | https://africanmarketingconfederation.org/amc-conference-2023/speakers/::no_cache-control_header | https://africanmarketingconfederation.org/amc-conference-2023/speakers/::no_etag_header | https://africanmarketingconfederation.org/amc-conference-2023/speakers/::no_question_headings | https://africanmarketingconfederation.org/amc-conference-2023/speakers/::no_answer-friendly_structure | https://africanmarketingconfederation.org/amc-conference-2023/speakers/::no_40-60_word_answer_paragraphs | https://africanmarketingconfederation.org/amc-conference-2023/speakers/::ai_crawlers_not_explicitly_allowed</t>
  </si>
  <si>
    <t>2025-09-04T11:53:34+00:00</t>
  </si>
  <si>
    <t>https://africanmarketingconfederation.org/amc-conference-2024-recap/::multiple_h1 | https://africanmarketingconfederation.org/amc-conference-2024-recap/::low_aeo_readiness_score | https://africanmarketingconfederation.org/amc-conference-2024-recap/::no_compression_header | https://africanmarketingconfederation.org/amc-conference-2024-recap/::no_cache-control_header | https://africanmarketingconfederation.org/amc-conference-2024-recap/::no_etag_header | https://africanmarketingconfederation.org/amc-conference-2024-recap/::no_question_headings | https://africanmarketingconfederation.org/amc-conference-2024-recap/::no_answer-friendly_structure | https://africanmarketingconfederation.org/amc-conference-2024-recap/::no_40-60_word_answer_paragraphs | https://africanmarketingconfederation.org/amc-conference-2024-recap/::ai_crawlers_not_explicitly_allowed</t>
  </si>
  <si>
    <t>2024-06-10T14:12:23+00:00</t>
  </si>
  <si>
    <t>https://africanmarketingconfederation.org/amc-conference-2024-sponsors-packages/::low_aeo_readiness_score | https://africanmarketingconfederation.org/amc-conference-2024-sponsors-packages/::no_compression_header | https://africanmarketingconfederation.org/amc-conference-2024-sponsors-packages/::no_cache-control_header | https://africanmarketingconfederation.org/amc-conference-2024-sponsors-packages/::no_etag_header | https://africanmarketingconfederation.org/amc-conference-2024-sponsors-packages/::thin_content | https://africanmarketingconfederation.org/amc-conference-2024-sponsors-packages/::no_question_headings | https://africanmarketingconfederation.org/amc-conference-2024-sponsors-packages/::no_answer-friendly_structure | https://africanmarketingconfederation.org/amc-conference-2024-sponsors-packages/::no_40-60_word_answer_paragraphs | https://africanmarketingconfederation.org/amc-conference-2024-sponsors-packages/::ai_crawlers_not_explicitly_allowed</t>
  </si>
  <si>
    <t>2026-01-28T11:37:11+00:00</t>
  </si>
  <si>
    <t>https://africanmarketingconfederation.org/amc-conference-2025-highlights/::multiple_h1 | https://africanmarketingconfederation.org/amc-conference-2025-highlights/::low_aeo_readiness_score | https://africanmarketingconfederation.org/amc-conference-2025-highlights/::image_filename_quality_issues | https://africanmarketingconfederation.org/amc-conference-2025-highlights/::no_compression_header | https://africanmarketingconfederation.org/amc-conference-2025-highlights/::no_cache-control_header | https://africanmarketingconfederation.org/amc-conference-2025-highlights/::no_etag_header | https://africanmarketingconfederation.org/amc-conference-2025-highlights/::no_question_headings | https://africanmarketingconfederation.org/amc-conference-2025-highlights/::no_answer-friendly_structure | https://africanmarketingconfederation.org/amc-conference-2025-highlights/::no_40-60_word_answer_paragraphs | https://africanmarketingconfederation.org/amc-conference-2025-highlights/::ai_crawlers_not_explicitly_allowed</t>
  </si>
  <si>
    <t>2025-08-19T11:23:21+00:00</t>
  </si>
  <si>
    <t>https://africanmarketingconfederation.org/amc-conference-2025/::multiple_h1 | https://africanmarketingconfederation.org/amc-conference-2025/::low_aeo_readiness_score | https://africanmarketingconfederation.org/amc-conference-2025/::no_compression_header | https://africanmarketingconfederation.org/amc-conference-2025/::no_cache-control_header | https://africanmarketingconfederation.org/amc-conference-2025/::no_etag_header | https://africanmarketingconfederation.org/amc-conference-2025/::no_question_headings | https://africanmarketingconfederation.org/amc-conference-2025/::no_answer-friendly_structure | https://africanmarketingconfederation.org/amc-conference-2025/::no_40-60_word_answer_paragraphs | https://africanmarketingconfederation.org/amc-conference-2025/::ai_crawlers_not_explicitly_allowed</t>
  </si>
  <si>
    <t>2026-03-04T07:14:00+00:00</t>
  </si>
  <si>
    <t>https://africanmarketingconfederation.org/amc-conference-2026-awards-nominations-thank-you/::multiple_h1 | https://africanmarketingconfederation.org/amc-conference-2026-awards-nominations-thank-you/::low_aeo_readiness_score | https://africanmarketingconfederation.org/amc-conference-2026-awards-nominations-thank-you/::no_compression_header | https://africanmarketingconfederation.org/amc-conference-2026-awards-nominations-thank-you/::no_cache-control_header | https://africanmarketingconfederation.org/amc-conference-2026-awards-nominations-thank-you/::no_etag_header | https://africanmarketingconfederation.org/amc-conference-2026-awards-nominations-thank-you/::thin_content | https://africanmarketingconfederation.org/amc-conference-2026-awards-nominations-thank-you/::no_question_headings | https://africanmarketingconfederation.org/amc-conference-2026-awards-nominations-thank-you/::no_answer-friendly_structure | https://africanmarketingconfederation.org/amc-conference-2026-awards-nominations-thank-you/::no_40-60_word_answer_paragraphs | https://africanmarketingconfederation.org/amc-conference-2026-awards-nominations-thank-you/::ai_crawlers_not_explicitly_allowed</t>
  </si>
  <si>
    <t>2026-03-04T06:43:52+00:00</t>
  </si>
  <si>
    <t>https://africanmarketingconfederation.org/amc-conference-2026-zambia-thank-you/::multiple_h1 | https://africanmarketingconfederation.org/amc-conference-2026-zambia-thank-you/::low_aeo_readiness_score | https://africanmarketingconfederation.org/amc-conference-2026-zambia-thank-you/::no_compression_header | https://africanmarketingconfederation.org/amc-conference-2026-zambia-thank-you/::no_cache-control_header | https://africanmarketingconfederation.org/amc-conference-2026-zambia-thank-you/::no_etag_header | https://africanmarketingconfederation.org/amc-conference-2026-zambia-thank-you/::thin_content | https://africanmarketingconfederation.org/amc-conference-2026-zambia-thank-you/::no_question_headings | https://africanmarketingconfederation.org/amc-conference-2026-zambia-thank-you/::no_answer-friendly_structure | https://africanmarketingconfederation.org/amc-conference-2026-zambia-thank-you/::no_40-60_word_answer_paragraphs | https://africanmarketingconfederation.org/amc-conference-2026-zambia-thank-you/::ai_crawlers_not_explicitly_allowed</t>
  </si>
  <si>
    <t>2026-04-24T06:54:40+00:00</t>
  </si>
  <si>
    <t>https://africanmarketingconfederation.org/amc-conference-2026/::low_aeo_readiness_score | https://africanmarketingconfederation.org/amc-conference-2026/::image_filename_quality_issues | https://africanmarketingconfederation.org/amc-conference-2026/::no_compression_header | https://africanmarketingconfederation.org/amc-conference-2026/::no_cache-control_header | https://africanmarketingconfederation.org/amc-conference-2026/::no_etag_header | https://africanmarketingconfederation.org/amc-conference-2026/::no_question_headings | https://africanmarketingconfederation.org/amc-conference-2026/::no_answer-friendly_structure | https://africanmarketingconfederation.org/amc-conference-2026/::no_40-60_word_answer_paragraphs | https://africanmarketingconfederation.org/amc-conference-2026/::ai_crawlers_not_explicitly_allowed</t>
  </si>
  <si>
    <t>2022-01-17T12:56:25+00:00</t>
  </si>
  <si>
    <t>https://africanmarketingconfederation.org/amc-conference-programme/::missing_h1 | https://africanmarketingconfederation.org/amc-conference-programme/::low_aeo_readiness_score | https://africanmarketingconfederation.org/amc-conference-programme/::no_compression_header | https://africanmarketingconfederation.org/amc-conference-programme/::no_cache-control_header | https://africanmarketingconfederation.org/amc-conference-programme/::no_etag_header | https://africanmarketingconfederation.org/amc-conference-programme/::no_question_headings | https://africanmarketingconfederation.org/amc-conference-programme/::no_answer-friendly_structure | https://africanmarketingconfederation.org/amc-conference-programme/::no_40-60_word_answer_paragraphs | https://africanmarketingconfederation.org/amc-conference-programme/::ai_crawlers_not_explicitly_allowed</t>
  </si>
  <si>
    <t>2023-07-03T08:39:05+00:00</t>
  </si>
  <si>
    <t>https://africanmarketingconfederation.org/amc-conference-thank-you/::low_aeo_readiness_score | https://africanmarketingconfederation.org/amc-conference-thank-you/::no_compression_header | https://africanmarketingconfederation.org/amc-conference-thank-you/::no_cache-control_header | https://africanmarketingconfederation.org/amc-conference-thank-you/::no_etag_header | https://africanmarketingconfederation.org/amc-conference-thank-you/::no_question_headings | https://africanmarketingconfederation.org/amc-conference-thank-you/::no_answer-friendly_structure | https://africanmarketingconfederation.org/amc-conference-thank-you/::no_40-60_word_answer_paragraphs | https://africanmarketingconfederation.org/amc-conference-thank-you/::ai_crawlers_not_explicitly_allowed</t>
  </si>
  <si>
    <t>2025-02-18T07:06:42+00:00</t>
  </si>
  <si>
    <t>Near-duplicate title cluster | Near-duplicate meta description cluster</t>
  </si>
  <si>
    <t>https://africanmarketingconfederation.org/amc-forum-mombasa/::low_aeo_readiness_score | https://africanmarketingconfederation.org/amc-forum-mombasa/::no_compression_header | https://africanmarketingconfederation.org/amc-forum-mombasa/::no_cache-control_header | https://africanmarketingconfederation.org/amc-forum-mombasa/::no_etag_header | https://africanmarketingconfederation.org/amc-forum-mombasa/::no_question_headings | https://africanmarketingconfederation.org/amc-forum-mombasa/::no_answer-friendly_structure | https://africanmarketingconfederation.org/amc-forum-mombasa/::no_40-60_word_answer_paragraphs | https://africanmarketingconfederation.org/amc-forum-mombasa/::ai_crawlers_not_explicitly_allowed</t>
  </si>
  <si>
    <t>2025-05-14T06:45:46+00:00</t>
  </si>
  <si>
    <t>https://africanmarketingconfederation.org/amc-forum-payments/::missing_h1 | https://africanmarketingconfederation.org/amc-forum-payments/::low_aeo_readiness_score | https://africanmarketingconfederation.org/amc-forum-payments/::no_compression_header | https://africanmarketingconfederation.org/amc-forum-payments/::no_cache-control_header | https://africanmarketingconfederation.org/amc-forum-payments/::no_etag_header | https://africanmarketingconfederation.org/amc-forum-payments/::thin_content | https://africanmarketingconfederation.org/amc-forum-payments/::no_question_headings | https://africanmarketingconfederation.org/amc-forum-payments/::no_answer-friendly_structure | https://africanmarketingconfederation.org/amc-forum-payments/::no_40-60_word_answer_paragraphs | https://africanmarketingconfederation.org/amc-forum-payments/::ai_crawlers_not_explicitly_allowed</t>
  </si>
  <si>
    <t>2026-03-04T06:43:51+00:00</t>
  </si>
  <si>
    <t>https://africanmarketingconfederation.org/amc-launch-event-zambia-thank-you-2026/::multiple_h1 | https://africanmarketingconfederation.org/amc-launch-event-zambia-thank-you-2026/::low_aeo_readiness_score | https://africanmarketingconfederation.org/amc-launch-event-zambia-thank-you-2026/::no_compression_header | https://africanmarketingconfederation.org/amc-launch-event-zambia-thank-you-2026/::no_cache-control_header | https://africanmarketingconfederation.org/amc-launch-event-zambia-thank-you-2026/::no_etag_header | https://africanmarketingconfederation.org/amc-launch-event-zambia-thank-you-2026/::thin_content | https://africanmarketingconfederation.org/amc-launch-event-zambia-thank-you-2026/::no_question_headings | https://africanmarketingconfederation.org/amc-launch-event-zambia-thank-you-2026/::no_answer-friendly_structure | https://africanmarketingconfederation.org/amc-launch-event-zambia-thank-you-2026/::no_40-60_word_answer_paragraphs | https://africanmarketingconfederation.org/amc-launch-event-zambia-thank-you-2026/::ai_crawlers_not_explicitly_allowed</t>
  </si>
  <si>
    <t>2025-02-10T13:53:27+00:00</t>
  </si>
  <si>
    <t>https://africanmarketingconfederation.org/amc-marketing-conference-2024/::low_aeo_readiness_score | https://africanmarketingconfederation.org/amc-marketing-conference-2024/::no_compression_header | https://africanmarketingconfederation.org/amc-marketing-conference-2024/::no_cache-control_header | https://africanmarketingconfederation.org/amc-marketing-conference-2024/::no_etag_header | https://africanmarketingconfederation.org/amc-marketing-conference-2024/::no_question_headings | https://africanmarketingconfederation.org/amc-marketing-conference-2024/::no_answer-friendly_structure | https://africanmarketingconfederation.org/amc-marketing-conference-2024/::no_40-60_word_answer_paragraphs | https://africanmarketingconfederation.org/amc-marketing-conference-2024/::ai_crawlers_not_explicitly_allowed</t>
  </si>
  <si>
    <t>2025-05-15T13:46:52+00:00</t>
  </si>
  <si>
    <t>https://africanmarketingconfederation.org/amc-marketing-conference-2024/amc-conference-2025-ghana-sponsors/::low_aeo_readiness_score | https://africanmarketingconfederation.org/amc-marketing-conference-2024/amc-conference-2025-ghana-sponsors/::no_compression_header | https://africanmarketingconfederation.org/amc-marketing-conference-2024/amc-conference-2025-ghana-sponsors/::no_cache-control_header | https://africanmarketingconfederation.org/amc-marketing-conference-2024/amc-conference-2025-ghana-sponsors/::no_etag_header | https://africanmarketingconfederation.org/amc-marketing-conference-2024/amc-conference-2025-ghana-sponsors/::thin_content | https://africanmarketingconfederation.org/amc-marketing-conference-2024/amc-conference-2025-ghana-sponsors/::no_question_headings | https://africanmarketingconfederation.org/amc-marketing-conference-2024/amc-conference-2025-ghana-sponsors/::no_answer-friendly_structure | https://africanmarketingconfederation.org/amc-marketing-conference-2024/amc-conference-2025-ghana-sponsors/::no_40-60_word_answer_paragraphs | https://africanmarketingconfederation.org/amc-marketing-conference-2024/amc-conference-2025-ghana-sponsors/::ai_crawlers_not_explicitly_allowed</t>
  </si>
  <si>
    <t>2025-05-06T09:54:46+00:00</t>
  </si>
  <si>
    <t>https://africanmarketingconfederation.org/amc-marketing-conference-2024/amc-launch-event-2025/::low_aeo_readiness_score | https://africanmarketingconfederation.org/amc-marketing-conference-2024/amc-launch-event-2025/::no_compression_header | https://africanmarketingconfederation.org/amc-marketing-conference-2024/amc-launch-event-2025/::no_cache-control_header | https://africanmarketingconfederation.org/amc-marketing-conference-2024/amc-launch-event-2025/::no_etag_header | https://africanmarketingconfederation.org/amc-marketing-conference-2024/amc-launch-event-2025/::no_question_headings | https://africanmarketingconfederation.org/amc-marketing-conference-2024/amc-launch-event-2025/::no_answer-friendly_structure | https://africanmarketingconfederation.org/amc-marketing-conference-2024/amc-launch-event-2025/::no_40-60_word_answer_paragraphs | https://africanmarketingconfederation.org/amc-marketing-conference-2024/amc-launch-event-2025/::ai_crawlers_not_explicitly_allowed</t>
  </si>
  <si>
    <t>2025-05-21T07:15:39+00:00</t>
  </si>
  <si>
    <t>https://africanmarketingconfederation.org/amc-marketing-conference-2024/amc-preregister-2025/::low_aeo_readiness_score | https://africanmarketingconfederation.org/amc-marketing-conference-2024/amc-preregister-2025/::no_compression_header | https://africanmarketingconfederation.org/amc-marketing-conference-2024/amc-preregister-2025/::no_cache-control_header | https://africanmarketingconfederation.org/amc-marketing-conference-2024/amc-preregister-2025/::no_etag_header | https://africanmarketingconfederation.org/amc-marketing-conference-2024/amc-preregister-2025/::no_question_headings | https://africanmarketingconfederation.org/amc-marketing-conference-2024/amc-preregister-2025/::no_answer-friendly_structure | https://africanmarketingconfederation.org/amc-marketing-conference-2024/amc-preregister-2025/::no_40-60_word_answer_paragraphs | https://africanmarketingconfederation.org/amc-marketing-conference-2024/amc-preregister-2025/::ai_crawlers_not_explicitly_allowed</t>
  </si>
  <si>
    <t>2025-08-22T08:14:01+00:00</t>
  </si>
  <si>
    <t>https://africanmarketingconfederation.org/amc-marketing-conference-2024/amc-programme-2025/::multiple_h1 | https://africanmarketingconfederation.org/amc-marketing-conference-2024/amc-programme-2025/::low_aeo_readiness_score | https://africanmarketingconfederation.org/amc-marketing-conference-2024/amc-programme-2025/::no_compression_header | https://africanmarketingconfederation.org/amc-marketing-conference-2024/amc-programme-2025/::no_cache-control_header | https://africanmarketingconfederation.org/amc-marketing-conference-2024/amc-programme-2025/::no_etag_header | https://africanmarketingconfederation.org/amc-marketing-conference-2024/amc-programme-2025/::thin_content | https://africanmarketingconfederation.org/amc-marketing-conference-2024/amc-programme-2025/::no_question_headings | https://africanmarketingconfederation.org/amc-marketing-conference-2024/amc-programme-2025/::no_answer-friendly_structure | https://africanmarketingconfederation.org/amc-marketing-conference-2024/amc-programme-2025/::no_40-60_word_answer_paragraphs | https://africanmarketingconfederation.org/amc-marketing-conference-2024/amc-programme-2025/::ai_crawlers_not_explicitly_allowed</t>
  </si>
  <si>
    <t>2024-11-15T12:51:27+00:00</t>
  </si>
  <si>
    <t>https://africanmarketingconfederation.org/amc-marketing-conference-2024/amc-speakers-presentations-2024/::multiple_h1 | https://africanmarketingconfederation.org/amc-marketing-conference-2024/amc-speakers-presentations-2024/::low_aeo_readiness_score | https://africanmarketingconfederation.org/amc-marketing-conference-2024/amc-speakers-presentations-2024/::no_compression_header | https://africanmarketingconfederation.org/amc-marketing-conference-2024/amc-speakers-presentations-2024/::no_cache-control_header | https://africanmarketingconfederation.org/amc-marketing-conference-2024/amc-speakers-presentations-2024/::no_etag_header | https://africanmarketingconfederation.org/amc-marketing-conference-2024/amc-speakers-presentations-2024/::thin_content | https://africanmarketingconfederation.org/amc-marketing-conference-2024/amc-speakers-presentations-2024/::no_question_headings | https://africanmarketingconfederation.org/amc-marketing-conference-2024/amc-speakers-presentations-2024/::no_answer-friendly_structure | https://africanmarketingconfederation.org/amc-marketing-conference-2024/amc-speakers-presentations-2024/::no_40-60_word_answer_paragraphs | https://africanmarketingconfederation.org/amc-marketing-conference-2024/amc-speakers-presentations-2024/::ai_crawlers_not_explicitly_allowed</t>
  </si>
  <si>
    <t>2026-02-05T07:09:45+00:00</t>
  </si>
  <si>
    <t>https://africanmarketingconfederation.org/amc-marketing-conference-2024/awards-2025/::low_aeo_readiness_score | https://africanmarketingconfederation.org/amc-marketing-conference-2024/awards-2025/::no_compression_header | https://africanmarketingconfederation.org/amc-marketing-conference-2024/awards-2025/::no_cache-control_header | https://africanmarketingconfederation.org/amc-marketing-conference-2024/awards-2025/::no_etag_header | https://africanmarketingconfederation.org/amc-marketing-conference-2024/awards-2025/::no_question_headings | https://africanmarketingconfederation.org/amc-marketing-conference-2024/awards-2025/::no_answer-friendly_structure | https://africanmarketingconfederation.org/amc-marketing-conference-2024/awards-2025/::no_40-60_word_answer_paragraphs | https://africanmarketingconfederation.org/amc-marketing-conference-2024/awards-2025/::ai_crawlers_not_explicitly_allowed</t>
  </si>
  <si>
    <t>2024-02-28T14:18:29+00:00</t>
  </si>
  <si>
    <t>https://africanmarketingconfederation.org/amc-marketing-conference-2024/programme-2024/::low_aeo_readiness_score | https://africanmarketingconfederation.org/amc-marketing-conference-2024/programme-2024/::no_compression_header | https://africanmarketingconfederation.org/amc-marketing-conference-2024/programme-2024/::no_cache-control_header | https://africanmarketingconfederation.org/amc-marketing-conference-2024/programme-2024/::no_etag_header | https://africanmarketingconfederation.org/amc-marketing-conference-2024/programme-2024/::no_question_headings | https://africanmarketingconfederation.org/amc-marketing-conference-2024/programme-2024/::no_answer-friendly_structure | https://africanmarketingconfederation.org/amc-marketing-conference-2024/programme-2024/::no_40-60_word_answer_paragraphs | https://africanmarketingconfederation.org/amc-marketing-conference-2024/programme-2024/::ai_crawlers_not_explicitly_allowed</t>
  </si>
  <si>
    <t>2024-11-07T06:26:44+00:00</t>
  </si>
  <si>
    <t>https://africanmarketingconfederation.org/amc-marketing-conference-2024/testimony-thank-you-page/::multiple_h1 | https://africanmarketingconfederation.org/amc-marketing-conference-2024/testimony-thank-you-page/::low_aeo_readiness_score | https://africanmarketingconfederation.org/amc-marketing-conference-2024/testimony-thank-you-page/::no_compression_header | https://africanmarketingconfederation.org/amc-marketing-conference-2024/testimony-thank-you-page/::no_cache-control_header | https://africanmarketingconfederation.org/amc-marketing-conference-2024/testimony-thank-you-page/::no_etag_header | https://africanmarketingconfederation.org/amc-marketing-conference-2024/testimony-thank-you-page/::thin_content | https://africanmarketingconfederation.org/amc-marketing-conference-2024/testimony-thank-you-page/::no_question_headings | https://africanmarketingconfederation.org/amc-marketing-conference-2024/testimony-thank-you-page/::no_answer-friendly_structure | https://africanmarketingconfederation.org/amc-marketing-conference-2024/testimony-thank-you-page/::no_40-60_word_answer_paragraphs | https://africanmarketingconfederation.org/amc-marketing-conference-2024/testimony-thank-you-page/::ai_crawlers_not_explicitly_allowed</t>
  </si>
  <si>
    <t>2022-04-22T10:58:21+00:00</t>
  </si>
  <si>
    <t>https://africanmarketingconfederation.org/amc-masterclass-bookings/::missing_meta_description | https://africanmarketingconfederation.org/amc-masterclass-bookings/::missing_h1 | https://africanmarketingconfederation.org/amc-masterclass-bookings/::low_aeo_readiness_score | https://africanmarketingconfederation.org/amc-masterclass-bookings/::no_compression_header | https://africanmarketingconfederation.org/amc-masterclass-bookings/::no_cache-control_header | https://africanmarketingconfederation.org/amc-masterclass-bookings/::no_etag_header | https://africanmarketingconfederation.org/amc-masterclass-bookings/::thin_content | https://africanmarketingconfederation.org/amc-masterclass-bookings/::no_question_headings | https://africanmarketingconfederation.org/amc-masterclass-bookings/::no_answer-friendly_structure | https://africanmarketingconfederation.org/amc-masterclass-bookings/::no_40-60_word_answer_paragraphs | https://africanmarketingconfederation.org/amc-masterclass-bookings/::ai_crawlers_not_explicitly_allowed</t>
  </si>
  <si>
    <t>2022-04-22T11:41:56+00:00</t>
  </si>
  <si>
    <t>https://africanmarketingconfederation.org/amc-masterclass-thank-you/::missing_h1 | https://africanmarketingconfederation.org/amc-masterclass-thank-you/::low_aeo_readiness_score | https://africanmarketingconfederation.org/amc-masterclass-thank-you/::no_compression_header | https://africanmarketingconfederation.org/amc-masterclass-thank-you/::no_cache-control_header | https://africanmarketingconfederation.org/amc-masterclass-thank-you/::no_etag_header | https://africanmarketingconfederation.org/amc-masterclass-thank-you/::thin_content | https://africanmarketingconfederation.org/amc-masterclass-thank-you/::no_question_headings | https://africanmarketingconfederation.org/amc-masterclass-thank-you/::no_answer-friendly_structure | https://africanmarketingconfederation.org/amc-masterclass-thank-you/::no_40-60_word_answer_paragraphs | https://africanmarketingconfederation.org/amc-masterclass-thank-you/::ai_crawlers_not_explicitly_allowed</t>
  </si>
  <si>
    <t>2022-06-02T12:03:41+00:00</t>
  </si>
  <si>
    <t>https://africanmarketingconfederation.org/amc-masterclass/::missing_h1 | https://africanmarketingconfederation.org/amc-masterclass/::low_aeo_readiness_score | https://africanmarketingconfederation.org/amc-masterclass/::no_compression_header | https://africanmarketingconfederation.org/amc-masterclass/::no_cache-control_header | https://africanmarketingconfederation.org/amc-masterclass/::no_etag_header | https://africanmarketingconfederation.org/amc-masterclass/::thin_content | https://africanmarketingconfederation.org/amc-masterclass/::no_question_headings | https://africanmarketingconfederation.org/amc-masterclass/::no_answer-friendly_structure | https://africanmarketingconfederation.org/amc-masterclass/::no_40-60_word_answer_paragraphs | https://africanmarketingconfederation.org/amc-masterclass/::ai_crawlers_not_explicitly_allowed</t>
  </si>
  <si>
    <t>2022-06-03T08:52:21+00:00</t>
  </si>
  <si>
    <t>https://africanmarketingconfederation.org/amc-relaunch-programme/::missing_h1 | https://africanmarketingconfederation.org/amc-relaunch-programme/::low_aeo_readiness_score | https://africanmarketingconfederation.org/amc-relaunch-programme/::no_compression_header | https://africanmarketingconfederation.org/amc-relaunch-programme/::no_cache-control_header | https://africanmarketingconfederation.org/amc-relaunch-programme/::no_etag_header | https://africanmarketingconfederation.org/amc-relaunch-programme/::no_question_headings | https://africanmarketingconfederation.org/amc-relaunch-programme/::no_answer-friendly_structure | https://africanmarketingconfederation.org/amc-relaunch-programme/::no_40-60_word_answer_paragraphs | https://africanmarketingconfederation.org/amc-relaunch-programme/::ai_crawlers_not_explicitly_allowed</t>
  </si>
  <si>
    <t>2024-11-05T13:50:35+00:00</t>
  </si>
  <si>
    <t>https://africanmarketingconfederation.org/amc-sign-up-now-form-2025/::low_aeo_readiness_score | https://africanmarketingconfederation.org/amc-sign-up-now-form-2025/::no_compression_header | https://africanmarketingconfederation.org/amc-sign-up-now-form-2025/::no_cache-control_header | https://africanmarketingconfederation.org/amc-sign-up-now-form-2025/::no_etag_header | https://africanmarketingconfederation.org/amc-sign-up-now-form-2025/::no_question_headings | https://africanmarketingconfederation.org/amc-sign-up-now-form-2025/::no_answer-friendly_structure | https://africanmarketingconfederation.org/amc-sign-up-now-form-2025/::no_40-60_word_answer_paragraphs | https://africanmarketingconfederation.org/amc-sign-up-now-form-2025/::ai_crawlers_not_explicitly_allowed</t>
  </si>
  <si>
    <t>2025-08-18T11:53:25+00:00</t>
  </si>
  <si>
    <t>https://africanmarketingconfederation.org/amc-sponsors-2025/::low_aeo_readiness_score | https://africanmarketingconfederation.org/amc-sponsors-2025/::no_compression_header | https://africanmarketingconfederation.org/amc-sponsors-2025/::no_cache-control_header | https://africanmarketingconfederation.org/amc-sponsors-2025/::no_etag_header | https://africanmarketingconfederation.org/amc-sponsors-2025/::no_question_headings | https://africanmarketingconfederation.org/amc-sponsors-2025/::no_answer-friendly_structure | https://africanmarketingconfederation.org/amc-sponsors-2025/::no_40-60_word_answer_paragraphs | https://africanmarketingconfederation.org/amc-sponsors-2025/::ai_crawlers_not_explicitly_allowed</t>
  </si>
  <si>
    <t>2024-11-04T11:11:25+00:00</t>
  </si>
  <si>
    <t>https://africanmarketingconfederation.org/amc-testimony-page-2024/::low_aeo_readiness_score | https://africanmarketingconfederation.org/amc-testimony-page-2024/::no_compression_header | https://africanmarketingconfederation.org/amc-testimony-page-2024/::no_cache-control_header | https://africanmarketingconfederation.org/amc-testimony-page-2024/::no_etag_header | https://africanmarketingconfederation.org/amc-testimony-page-2024/::no_question_headings | https://africanmarketingconfederation.org/amc-testimony-page-2024/::no_answer-friendly_structure | https://africanmarketingconfederation.org/amc-testimony-page-2024/::no_40-60_word_answer_paragraphs | https://africanmarketingconfederation.org/amc-testimony-page-2024/::ai_crawlers_not_explicitly_allowed</t>
  </si>
  <si>
    <t>2026-04-08T11:43:29+00:00</t>
  </si>
  <si>
    <t>Near-duplicate meta description cluster</t>
  </si>
  <si>
    <t>https://africanmarketingconfederation.org/awards-2026-1/::multiple_h1 | https://africanmarketingconfederation.org/awards-2026-1/::low_aeo_readiness_score | https://africanmarketingconfederation.org/awards-2026-1/::no_compression_header | https://africanmarketingconfederation.org/awards-2026-1/::no_cache-control_header | https://africanmarketingconfederation.org/awards-2026-1/::no_etag_header | https://africanmarketingconfederation.org/awards-2026-1/::no_question_headings | https://africanmarketingconfederation.org/awards-2026-1/::no_answer-friendly_structure | https://africanmarketingconfederation.org/awards-2026-1/::no_40-60_word_answer_paragraphs | https://africanmarketingconfederation.org/awards-2026-1/::ai_crawlers_not_explicitly_allowed</t>
  </si>
  <si>
    <t>2026-04-08T09:47:58+00:00</t>
  </si>
  <si>
    <t>https://africanmarketingconfederation.org/awards-2026-test/::multiple_h1 | https://africanmarketingconfederation.org/awards-2026-test/::low_aeo_readiness_score | https://africanmarketingconfederation.org/awards-2026-test/::no_compression_header | https://africanmarketingconfederation.org/awards-2026-test/::no_cache-control_header | https://africanmarketingconfederation.org/awards-2026-test/::no_etag_header | https://africanmarketingconfederation.org/awards-2026-test/::no_question_headings | https://africanmarketingconfederation.org/awards-2026-test/::no_answer-friendly_structure | https://africanmarketingconfederation.org/awards-2026-test/::no_40-60_word_answer_paragraphs | https://africanmarketingconfederation.org/awards-2026-test/::ai_crawlers_not_explicitly_allowed</t>
  </si>
  <si>
    <t>2026-04-17T09:26:48+00:00</t>
  </si>
  <si>
    <t>https://africanmarketingconfederation.org/awards-2026/::multiple_h1 | https://africanmarketingconfederation.org/awards-2026/::low_aeo_readiness_score | https://africanmarketingconfederation.org/awards-2026/::no_compression_header | https://africanmarketingconfederation.org/awards-2026/::no_cache-control_header | https://africanmarketingconfederation.org/awards-2026/::no_etag_header | https://africanmarketingconfederation.org/awards-2026/::no_question_headings | https://africanmarketingconfederation.org/awards-2026/::no_answer-friendly_structure | https://africanmarketingconfederation.org/awards-2026/::no_40-60_word_answer_paragraphs | https://africanmarketingconfederation.org/awards-2026/::ai_crawlers_not_explicitly_allowed</t>
  </si>
  <si>
    <t>2026-04-20T08:17:50+00:00</t>
  </si>
  <si>
    <t>https://africanmarketingconfederation.org/certified-professional-marketer-africa/::missing_h1 | https://africanmarketingconfederation.org/certified-professional-marketer-africa/::low_aeo_readiness_score | https://africanmarketingconfederation.org/certified-professional-marketer-africa/::no_compression_header | https://africanmarketingconfederation.org/certified-professional-marketer-africa/::no_cache-control_header | https://africanmarketingconfederation.org/certified-professional-marketer-africa/::no_etag_header | https://africanmarketingconfederation.org/certified-professional-marketer-africa/::no_question_headings | https://africanmarketingconfederation.org/certified-professional-marketer-africa/::no_answer-friendly_structure | https://africanmarketingconfederation.org/certified-professional-marketer-africa/::no_40-60_word_answer_paragraphs | https://africanmarketingconfederation.org/certified-professional-marketer-africa/::ai_crawlers_not_explicitly_allowed</t>
  </si>
  <si>
    <t>2024-07-19T08:34:52+00:00</t>
  </si>
  <si>
    <t>https://africanmarketingconfederation.org/chartered-marketer-africa-final-submission-fee/::low_aeo_readiness_score | https://africanmarketingconfederation.org/chartered-marketer-africa-final-submission-fee/::no_compression_header | https://africanmarketingconfederation.org/chartered-marketer-africa-final-submission-fee/::no_cache-control_header | https://africanmarketingconfederation.org/chartered-marketer-africa-final-submission-fee/::no_etag_header | https://africanmarketingconfederation.org/chartered-marketer-africa-final-submission-fee/::thin_content | https://africanmarketingconfederation.org/chartered-marketer-africa-final-submission-fee/::no_question_headings | https://africanmarketingconfederation.org/chartered-marketer-africa-final-submission-fee/::no_answer-friendly_structure | https://africanmarketingconfederation.org/chartered-marketer-africa-final-submission-fee/::no_40-60_word_answer_paragraphs | https://africanmarketingconfederation.org/chartered-marketer-africa-final-submission-fee/::ai_crawlers_not_explicitly_allowed</t>
  </si>
  <si>
    <t>2024-07-19T08:44:04+00:00</t>
  </si>
  <si>
    <t>https://africanmarketingconfederation.org/chartered-marketer-africa-programme-fee/::low_aeo_readiness_score | https://africanmarketingconfederation.org/chartered-marketer-africa-programme-fee/::no_compression_header | https://africanmarketingconfederation.org/chartered-marketer-africa-programme-fee/::no_cache-control_header | https://africanmarketingconfederation.org/chartered-marketer-africa-programme-fee/::no_etag_header | https://africanmarketingconfederation.org/chartered-marketer-africa-programme-fee/::thin_content | https://africanmarketingconfederation.org/chartered-marketer-africa-programme-fee/::no_question_headings | https://africanmarketingconfederation.org/chartered-marketer-africa-programme-fee/::no_answer-friendly_structure | https://africanmarketingconfederation.org/chartered-marketer-africa-programme-fee/::no_40-60_word_answer_paragraphs | https://africanmarketingconfederation.org/chartered-marketer-africa-programme-fee/::ai_crawlers_not_explicitly_allowed</t>
  </si>
  <si>
    <t>2023-08-24T09:37:32+00:00</t>
  </si>
  <si>
    <t>https://africanmarketingconfederation.org/chartered-marketer-africa-thank-you/::missing_h1 | https://africanmarketingconfederation.org/chartered-marketer-africa-thank-you/::low_aeo_readiness_score | https://africanmarketingconfederation.org/chartered-marketer-africa-thank-you/::no_compression_header | https://africanmarketingconfederation.org/chartered-marketer-africa-thank-you/::no_cache-control_header | https://africanmarketingconfederation.org/chartered-marketer-africa-thank-you/::no_etag_header | https://africanmarketingconfederation.org/chartered-marketer-africa-thank-you/::thin_content | https://africanmarketingconfederation.org/chartered-marketer-africa-thank-you/::no_question_headings | https://africanmarketingconfederation.org/chartered-marketer-africa-thank-you/::no_answer-friendly_structure | https://africanmarketingconfederation.org/chartered-marketer-africa-thank-you/::no_40-60_word_answer_paragraphs | https://africanmarketingconfederation.org/chartered-marketer-africa-thank-you/::ai_crawlers_not_explicitly_allowed</t>
  </si>
  <si>
    <t>2026-04-20T07:58:07+00:00</t>
  </si>
  <si>
    <t>https://africanmarketingconfederation.org/chartered-marketer-africa/::low_aeo_readiness_score | https://africanmarketingconfederation.org/chartered-marketer-africa/::no_compression_header | https://africanmarketingconfederation.org/chartered-marketer-africa/::no_cache-control_header | https://africanmarketingconfederation.org/chartered-marketer-africa/::no_etag_header | https://africanmarketingconfederation.org/chartered-marketer-africa/::no_question_headings | https://africanmarketingconfederation.org/chartered-marketer-africa/::no_answer-friendly_structure | https://africanmarketingconfederation.org/chartered-marketer-africa/::no_40-60_word_answer_paragraphs | https://africanmarketingconfederation.org/chartered-marketer-africa/::ai_crawlers_not_explicitly_allowed</t>
  </si>
  <si>
    <t>https://africanmarketingconfederation.org/cart/</t>
  </si>
  <si>
    <t>2025-06-25T06:43:08+00:00</t>
  </si>
  <si>
    <t>https://africanmarketingconfederation.org/checkout/::missing_h1 | https://africanmarketingconfederation.org/checkout/::low_aeo_readiness_score | https://africanmarketingconfederation.org/checkout/::no_compression_header | https://africanmarketingconfederation.org/checkout/::no_cache-control_header | https://africanmarketingconfederation.org/checkout/::no_etag_header | https://africanmarketingconfederation.org/checkout/::thin_content | https://africanmarketingconfederation.org/checkout/::no_question_headings | https://africanmarketingconfederation.org/checkout/::no_answer-friendly_structure | https://africanmarketingconfederation.org/checkout/::no_40-60_word_answer_paragraphs | https://africanmarketingconfederation.org/checkout/::ai_crawlers_not_explicitly_allowed</t>
  </si>
  <si>
    <t>2025-05-16T09:55:10+00:00</t>
  </si>
  <si>
    <t>https://africanmarketingconfederation.org/conference-faq-2025/::low_aeo_readiness_score | https://africanmarketingconfederation.org/conference-faq-2025/::no_compression_header | https://africanmarketingconfederation.org/conference-faq-2025/::no_cache-control_header | https://africanmarketingconfederation.org/conference-faq-2025/::no_etag_header | https://africanmarketingconfederation.org/conference-faq-2025/::no_question_headings | https://africanmarketingconfederation.org/conference-faq-2025/::no_answer-friendly_structure | https://africanmarketingconfederation.org/conference-faq-2025/::no_40-60_word_answer_paragraphs | https://africanmarketingconfederation.org/conference-faq-2025/::ai_crawlers_not_explicitly_allowed</t>
  </si>
  <si>
    <t>2026-01-06T00:02:42+00:00</t>
  </si>
  <si>
    <t>https://africanmarketingconfederation.org/conference-registrations-2024/::low_aeo_readiness_score | https://africanmarketingconfederation.org/conference-registrations-2024/::no_compression_header | https://africanmarketingconfederation.org/conference-registrations-2024/::no_cache-control_header | https://africanmarketingconfederation.org/conference-registrations-2024/::no_etag_header | https://africanmarketingconfederation.org/conference-registrations-2024/::no_question_headings | https://africanmarketingconfederation.org/conference-registrations-2024/::no_answer-friendly_structure | https://africanmarketingconfederation.org/conference-registrations-2024/::no_40-60_word_answer_paragraphs | https://africanmarketingconfederation.org/conference-registrations-2024/::ai_crawlers_not_explicitly_allowed</t>
  </si>
  <si>
    <t>2026-04-17T08:58:32+00:00</t>
  </si>
  <si>
    <t>https://africanmarketingconfederation.org/contact-us/::multiple_h1 | https://africanmarketingconfederation.org/contact-us/::low_aeo_readiness_score | https://africanmarketingconfederation.org/contact-us/::no_compression_header | https://africanmarketingconfederation.org/contact-us/::no_cache-control_header | https://africanmarketingconfederation.org/contact-us/::no_etag_header | https://africanmarketingconfederation.org/contact-us/::no_question_headings | https://africanmarketingconfederation.org/contact-us/::no_answer-friendly_structure | https://africanmarketingconfederation.org/contact-us/::no_40-60_word_answer_paragraphs | https://africanmarketingconfederation.org/contact-us/::ai_crawlers_not_explicitly_allowed</t>
  </si>
  <si>
    <t>2024-07-09T14:28:38+00:00</t>
  </si>
  <si>
    <t>https://africanmarketingconfederation.org/download-brochure/::missing_h1 | https://africanmarketingconfederation.org/download-brochure/::low_aeo_readiness_score | https://africanmarketingconfederation.org/download-brochure/::no_compression_header | https://africanmarketingconfederation.org/download-brochure/::no_cache-control_header | https://africanmarketingconfederation.org/download-brochure/::no_etag_header | https://africanmarketingconfederation.org/download-brochure/::thin_content | https://africanmarketingconfederation.org/download-brochure/::no_question_headings | https://africanmarketingconfederation.org/download-brochure/::no_answer-friendly_structure | https://africanmarketingconfederation.org/download-brochure/::no_40-60_word_answer_paragraphs | https://africanmarketingconfederation.org/download-brochure/::ai_crawlers_not_explicitly_allowed</t>
  </si>
  <si>
    <t>2024-09-18T09:39:20+00:00</t>
  </si>
  <si>
    <t>https://africanmarketingconfederation.org/download-prospectus-2024/::missing_h1 | https://africanmarketingconfederation.org/download-prospectus-2024/::low_aeo_readiness_score | https://africanmarketingconfederation.org/download-prospectus-2024/::no_compression_header | https://africanmarketingconfederation.org/download-prospectus-2024/::no_cache-control_header | https://africanmarketingconfederation.org/download-prospectus-2024/::no_etag_header | https://africanmarketingconfederation.org/download-prospectus-2024/::thin_content | https://africanmarketingconfederation.org/download-prospectus-2024/::no_question_headings | https://africanmarketingconfederation.org/download-prospectus-2024/::no_answer-friendly_structure | https://africanmarketingconfederation.org/download-prospectus-2024/::no_40-60_word_answer_paragraphs | https://africanmarketingconfederation.org/download-prospectus-2024/::ai_crawlers_not_explicitly_allowed</t>
  </si>
  <si>
    <t>2026-04-20T06:32:38+00:00</t>
  </si>
  <si>
    <t>https://africanmarketingconfederation.org/education/::missing_h1 | https://africanmarketingconfederation.org/education/::low_aeo_readiness_score | https://africanmarketingconfederation.org/education/::no_compression_header | https://africanmarketingconfederation.org/education/::no_cache-control_header | https://africanmarketingconfederation.org/education/::no_etag_header | https://africanmarketingconfederation.org/education/::no_question_headings | https://africanmarketingconfederation.org/education/::no_answer-friendly_structure | https://africanmarketingconfederation.org/education/::no_40-60_word_answer_paragraphs | https://africanmarketingconfederation.org/education/::ai_crawlers_not_explicitly_allowed</t>
  </si>
  <si>
    <t>2024-03-13T12:47:07+00:00</t>
  </si>
  <si>
    <t>https://africanmarketingconfederation.org/elementor-16548/::missing_h1 | https://africanmarketingconfederation.org/elementor-16548/::low_aeo_readiness_score | https://africanmarketingconfederation.org/elementor-16548/::no_compression_header | https://africanmarketingconfederation.org/elementor-16548/::no_cache-control_header | https://africanmarketingconfederation.org/elementor-16548/::no_etag_header | https://africanmarketingconfederation.org/elementor-16548/::thin_content | https://africanmarketingconfederation.org/elementor-16548/::no_question_headings | https://africanmarketingconfederation.org/elementor-16548/::no_answer-friendly_structure | https://africanmarketingconfederation.org/elementor-16548/::no_40-60_word_answer_paragraphs | https://africanmarketingconfederation.org/elementor-16548/::ai_crawlers_not_explicitly_allowed</t>
  </si>
  <si>
    <t>2024-08-02T13:04:38+00:00</t>
  </si>
  <si>
    <t>https://africanmarketingconfederation.org/elementor-20341/::missing_meta_description | https://africanmarketingconfederation.org/elementor-20341/::missing_h1 | https://africanmarketingconfederation.org/elementor-20341/::low_aeo_readiness_score | https://africanmarketingconfederation.org/elementor-20341/::no_compression_header | https://africanmarketingconfederation.org/elementor-20341/::no_cache-control_header | https://africanmarketingconfederation.org/elementor-20341/::no_etag_header | https://africanmarketingconfederation.org/elementor-20341/::thin_content | https://africanmarketingconfederation.org/elementor-20341/::no_question_headings | https://africanmarketingconfederation.org/elementor-20341/::no_answer-friendly_structure | https://africanmarketingconfederation.org/elementor-20341/::no_40-60_word_answer_paragraphs | https://africanmarketingconfederation.org/elementor-20341/::ai_crawlers_not_explicitly_allowed</t>
  </si>
  <si>
    <t>2025-12-10T08:14:03+00:00</t>
  </si>
  <si>
    <t>https://africanmarketingconfederation.org/elementor-31820/::low_aeo_readiness_score | https://africanmarketingconfederation.org/elementor-31820/::no_compression_header | https://africanmarketingconfederation.org/elementor-31820/::no_cache-control_header | https://africanmarketingconfederation.org/elementor-31820/::no_etag_header | https://africanmarketingconfederation.org/elementor-31820/::no_question_headings | https://africanmarketingconfederation.org/elementor-31820/::no_answer-friendly_structure | https://africanmarketingconfederation.org/elementor-31820/::no_40-60_word_answer_paragraphs | https://africanmarketingconfederation.org/elementor-31820/::ai_crawlers_not_explicitly_allowed</t>
  </si>
  <si>
    <t>2022-01-14T08:35:45+00:00</t>
  </si>
  <si>
    <t>https://africanmarketingconfederation.org/general-enquiry-form-thank-you/::missing_h1 | https://africanmarketingconfederation.org/general-enquiry-form-thank-you/::low_aeo_readiness_score | https://africanmarketingconfederation.org/general-enquiry-form-thank-you/::no_compression_header | https://africanmarketingconfederation.org/general-enquiry-form-thank-you/::no_cache-control_header | https://africanmarketingconfederation.org/general-enquiry-form-thank-you/::no_etag_header | https://africanmarketingconfederation.org/general-enquiry-form-thank-you/::thin_content | https://africanmarketingconfederation.org/general-enquiry-form-thank-you/::no_question_headings | https://africanmarketingconfederation.org/general-enquiry-form-thank-you/::no_answer-friendly_structure | https://africanmarketingconfederation.org/general-enquiry-form-thank-you/::no_40-60_word_answer_paragraphs | https://africanmarketingconfederation.org/general-enquiry-form-thank-you/::ai_crawlers_not_explicitly_allowed</t>
  </si>
  <si>
    <t>2026-04-24T07:07:22+00:00</t>
  </si>
  <si>
    <t>https://africanmarketingconfederation.org/launch-event-2026-amc-conference/::low_aeo_readiness_score | https://africanmarketingconfederation.org/launch-event-2026-amc-conference/::no_compression_header | https://africanmarketingconfederation.org/launch-event-2026-amc-conference/::no_cache-control_header | https://africanmarketingconfederation.org/launch-event-2026-amc-conference/::no_etag_header | https://africanmarketingconfederation.org/launch-event-2026-amc-conference/::thin_content | https://africanmarketingconfederation.org/launch-event-2026-amc-conference/::no_question_headings | https://africanmarketingconfederation.org/launch-event-2026-amc-conference/::no_answer-friendly_structure | https://africanmarketingconfederation.org/launch-event-2026-amc-conference/::no_40-60_word_answer_paragraphs | https://africanmarketingconfederation.org/launch-event-2026-amc-conference/::ai_crawlers_not_explicitly_allowed</t>
  </si>
  <si>
    <t>2026-04-17T08:55:31+00:00</t>
  </si>
  <si>
    <t>https://africanmarketingconfederation.org/members/::low_aeo_readiness_score | https://africanmarketingconfederation.org/members/::no_compression_header | https://africanmarketingconfederation.org/members/::no_cache-control_header | https://africanmarketingconfederation.org/members/::no_etag_header | https://africanmarketingconfederation.org/members/::no_question_headings | https://africanmarketingconfederation.org/members/::no_answer-friendly_structure | https://africanmarketingconfederation.org/members/::no_40-60_word_answer_paragraphs | https://africanmarketingconfederation.org/members/::ai_crawlers_not_explicitly_allowed</t>
  </si>
  <si>
    <t>2026-04-17T08:58:00+00:00</t>
  </si>
  <si>
    <t>https://africanmarketingconfederation.org/news-articles/::low_aeo_readiness_score | https://africanmarketingconfederation.org/news-articles/::no_compression_header | https://africanmarketingconfederation.org/news-articles/::no_cache-control_header | https://africanmarketingconfederation.org/news-articles/::no_etag_header | https://africanmarketingconfederation.org/news-articles/::thin_content | https://africanmarketingconfederation.org/news-articles/::no_question_headings | https://africanmarketingconfederation.org/news-articles/::no_answer-friendly_structure | https://africanmarketingconfederation.org/news-articles/::no_40-60_word_answer_paragraphs | https://africanmarketingconfederation.org/news-articles/::ai_crawlers_not_explicitly_allowed</t>
  </si>
  <si>
    <t>2021-08-31T10:56:05+00:00</t>
  </si>
  <si>
    <t>https://africanmarketingconfederation.org/privacy-policy/::multiple_h1 | https://africanmarketingconfederation.org/privacy-policy/::low_aeo_readiness_score | https://africanmarketingconfederation.org/privacy-policy/::no_compression_header | https://africanmarketingconfederation.org/privacy-policy/::no_cache-control_header | https://africanmarketingconfederation.org/privacy-policy/::no_etag_header | https://africanmarketingconfederation.org/privacy-policy/::no_question_headings | https://africanmarketingconfederation.org/privacy-policy/::no_answer-friendly_structure | https://africanmarketingconfederation.org/privacy-policy/::no_40-60_word_answer_paragraphs | https://africanmarketingconfederation.org/privacy-policy/::ai_crawlers_not_explicitly_allowed</t>
  </si>
  <si>
    <t>2026-04-28T12:04:20+00:00</t>
  </si>
  <si>
    <t>https://africanmarketingconfederation.org/publication-download-list/::missing_h1 | https://africanmarketingconfederation.org/publication-download-list/::low_aeo_readiness_score | https://africanmarketingconfederation.org/publication-download-list/::no_compression_header | https://africanmarketingconfederation.org/publication-download-list/::no_cache-control_header | https://africanmarketingconfederation.org/publication-download-list/::no_etag_header | https://africanmarketingconfederation.org/publication-download-list/::thin_content | https://africanmarketingconfederation.org/publication-download-list/::no_question_headings | https://africanmarketingconfederation.org/publication-download-list/::no_answer-friendly_structure | https://africanmarketingconfederation.org/publication-download-list/::no_40-60_word_answer_paragraphs | https://africanmarketingconfederation.org/publication-download-list/::ai_crawlers_not_explicitly_allowed</t>
  </si>
  <si>
    <t>2026-04-29T07:05:09+00:00</t>
  </si>
  <si>
    <t>https://africanmarketingconfederation.org/publications-2/::low_aeo_readiness_score | https://africanmarketingconfederation.org/publications-2/::no_compression_header | https://africanmarketingconfederation.org/publications-2/::no_cache-control_header | https://africanmarketingconfederation.org/publications-2/::no_etag_header | https://africanmarketingconfederation.org/publications-2/::thin_content | https://africanmarketingconfederation.org/publications-2/::no_question_headings | https://africanmarketingconfederation.org/publications-2/::no_answer-friendly_structure | https://africanmarketingconfederation.org/publications-2/::no_40-60_word_answer_paragraphs | https://africanmarketingconfederation.org/publications-2/::ai_crawlers_not_explicitly_allowed</t>
  </si>
  <si>
    <t>2026-03-26T12:27:48+00:00</t>
  </si>
  <si>
    <t>https://africanmarketingconfederation.org/speakers-2025/::multiple_h1 | https://africanmarketingconfederation.org/speakers-2025/::low_aeo_readiness_score | https://africanmarketingconfederation.org/speakers-2025/::no_compression_header | https://africanmarketingconfederation.org/speakers-2025/::no_cache-control_header | https://africanmarketingconfederation.org/speakers-2025/::no_etag_header | https://africanmarketingconfederation.org/speakers-2025/::no_question_headings | https://africanmarketingconfederation.org/speakers-2025/::no_answer-friendly_structure | https://africanmarketingconfederation.org/speakers-2025/::no_40-60_word_answer_paragraphs | https://africanmarketingconfederation.org/speakers-2025/::ai_crawlers_not_explicitly_allowed</t>
  </si>
  <si>
    <t>2021-10-12T12:43:05+00:00</t>
  </si>
  <si>
    <t>https://africanmarketingconfederation.org/speakers/::missing_h1 | https://africanmarketingconfederation.org/speakers/::low_aeo_readiness_score | https://africanmarketingconfederation.org/speakers/::no_compression_header | https://africanmarketingconfederation.org/speakers/::no_cache-control_header | https://africanmarketingconfederation.org/speakers/::no_etag_header | https://africanmarketingconfederation.org/speakers/::thin_content | https://africanmarketingconfederation.org/speakers/::no_question_headings | https://africanmarketingconfederation.org/speakers/::no_answer-friendly_structure | https://africanmarketingconfederation.org/speakers/::no_40-60_word_answer_paragraphs | https://africanmarketingconfederation.org/speakers/::ai_crawlers_not_explicitly_allowed</t>
  </si>
  <si>
    <t>2026-04-17T08:53:47+00:00</t>
  </si>
  <si>
    <t>https://africanmarketingconfederation.org/sub-committees/::low_aeo_readiness_score | https://africanmarketingconfederation.org/sub-committees/::no_compression_header | https://africanmarketingconfederation.org/sub-committees/::no_cache-control_header | https://africanmarketingconfederation.org/sub-committees/::no_etag_header | https://africanmarketingconfederation.org/sub-committees/::no_question_headings | https://africanmarketingconfederation.org/sub-committees/::no_answer-friendly_structure | https://africanmarketingconfederation.org/sub-committees/::no_40-60_word_answer_paragraphs | https://africanmarketingconfederation.org/sub-committees/::ai_crawlers_not_explicitly_allowed</t>
  </si>
  <si>
    <t>2024-08-28T07:27:46+00:00</t>
  </si>
  <si>
    <t>https://africanmarketingconfederation.org/subscribe/::missing_h1 | https://africanmarketingconfederation.org/subscribe/::low_aeo_readiness_score | https://africanmarketingconfederation.org/subscribe/::no_compression_header | https://africanmarketingconfederation.org/subscribe/::no_cache-control_header | https://africanmarketingconfederation.org/subscribe/::no_etag_header | https://africanmarketingconfederation.org/subscribe/::no_question_headings | https://africanmarketingconfederation.org/subscribe/::no_answer-friendly_structure | https://africanmarketingconfederation.org/subscribe/::no_40-60_word_answer_paragraphs | https://africanmarketingconfederation.org/subscribe/::ai_crawlers_not_explicitly_allowed</t>
  </si>
  <si>
    <t>2022-01-14T11:59:51+00:00</t>
  </si>
  <si>
    <t>https://africanmarketingconfederation.org/test-homeslider/::missing_h1 | https://africanmarketingconfederation.org/test-homeslider/::low_aeo_readiness_score | https://africanmarketingconfederation.org/test-homeslider/::no_compression_header | https://africanmarketingconfederation.org/test-homeslider/::no_cache-control_header | https://africanmarketingconfederation.org/test-homeslider/::no_etag_header | https://africanmarketingconfederation.org/test-homeslider/::thin_content | https://africanmarketingconfederation.org/test-homeslider/::no_question_headings | https://africanmarketingconfederation.org/test-homeslider/::no_answer-friendly_structure | https://africanmarketingconfederation.org/test-homeslider/::no_40-60_word_answer_paragraphs | https://africanmarketingconfederation.org/test-homeslider/::ai_crawlers_not_explicitly_allowed</t>
  </si>
  <si>
    <t>2025-06-24T13:09:52+00:00</t>
  </si>
  <si>
    <t>https://africanmarketingconfederation.org/test-payment-gate/::missing_h1 | https://africanmarketingconfederation.org/test-payment-gate/::low_aeo_readiness_score | https://africanmarketingconfederation.org/test-payment-gate/::no_compression_header | https://africanmarketingconfederation.org/test-payment-gate/::no_cache-control_header | https://africanmarketingconfederation.org/test-payment-gate/::no_etag_header | https://africanmarketingconfederation.org/test-payment-gate/::thin_content | https://africanmarketingconfederation.org/test-payment-gate/::no_question_headings | https://africanmarketingconfederation.org/test-payment-gate/::no_answer-friendly_structure | https://africanmarketingconfederation.org/test-payment-gate/::no_40-60_word_answer_paragraphs | https://africanmarketingconfederation.org/test-payment-gate/::ai_crawlers_not_explicitly_allowed</t>
  </si>
  <si>
    <t>2024-09-12T07:26:50+00:00</t>
  </si>
  <si>
    <t>https://africanmarketingconfederation.org/thank-you-for-registering-2024-registrations-kenya/::missing_h1 | https://africanmarketingconfederation.org/thank-you-for-registering-2024-registrations-kenya/::low_aeo_readiness_score | https://africanmarketingconfederation.org/thank-you-for-registering-2024-registrations-kenya/::no_compression_header | https://africanmarketingconfederation.org/thank-you-for-registering-2024-registrations-kenya/::no_cache-control_header | https://africanmarketingconfederation.org/thank-you-for-registering-2024-registrations-kenya/::no_etag_header | https://africanmarketingconfederation.org/thank-you-for-registering-2024-registrations-kenya/::thin_content | https://africanmarketingconfederation.org/thank-you-for-registering-2024-registrations-kenya/::no_question_headings | https://africanmarketingconfederation.org/thank-you-for-registering-2024-registrations-kenya/::no_answer-friendly_structure | https://africanmarketingconfederation.org/thank-you-for-registering-2024-registrations-kenya/::no_40-60_word_answer_paragraphs | https://africanmarketingconfederation.org/thank-you-for-registering-2024-registrations-kenya/::ai_crawlers_not_explicitly_allowed</t>
  </si>
  <si>
    <t>2024-09-18T09:45:04+00:00</t>
  </si>
  <si>
    <t>https://africanmarketingconfederation.org/thank-you-for-registering-2024-registrations/::missing_h1 | https://africanmarketingconfederation.org/thank-you-for-registering-2024-registrations/::low_aeo_readiness_score | https://africanmarketingconfederation.org/thank-you-for-registering-2024-registrations/::no_compression_header | https://africanmarketingconfederation.org/thank-you-for-registering-2024-registrations/::no_cache-control_header | https://africanmarketingconfederation.org/thank-you-for-registering-2024-registrations/::no_etag_header | https://africanmarketingconfederation.org/thank-you-for-registering-2024-registrations/::thin_content | https://africanmarketingconfederation.org/thank-you-for-registering-2024-registrations/::no_question_headings | https://africanmarketingconfederation.org/thank-you-for-registering-2024-registrations/::no_answer-friendly_structure | https://africanmarketingconfederation.org/thank-you-for-registering-2024-registrations/::no_40-60_word_answer_paragraphs | https://africanmarketingconfederation.org/thank-you-for-registering-2024-registrations/::ai_crawlers_not_explicitly_allowed</t>
  </si>
  <si>
    <t>2022-07-20T13:41:07+00:00</t>
  </si>
  <si>
    <t>https://africanmarketingconfederation.org/thank-you-for-subscribing/::missing_h1 | https://africanmarketingconfederation.org/thank-you-for-subscribing/::low_aeo_readiness_score | https://africanmarketingconfederation.org/thank-you-for-subscribing/::no_compression_header | https://africanmarketingconfederation.org/thank-you-for-subscribing/::no_cache-control_header | https://africanmarketingconfederation.org/thank-you-for-subscribing/::no_etag_header | https://africanmarketingconfederation.org/thank-you-for-subscribing/::thin_content | https://africanmarketingconfederation.org/thank-you-for-subscribing/::no_question_headings | https://africanmarketingconfederation.org/thank-you-for-subscribing/::no_answer-friendly_structure | https://africanmarketingconfederation.org/thank-you-for-subscribing/::no_40-60_word_answer_paragraphs | https://africanmarketingconfederation.org/thank-you-for-subscribing/::ai_crawlers_not_explicitly_allowed</t>
  </si>
  <si>
    <t>2024-06-27T12:24:46+00:00</t>
  </si>
  <si>
    <t>https://africanmarketingconfederation.org/thank-you-for-the-nomination-2024/::missing_h1 | https://africanmarketingconfederation.org/thank-you-for-the-nomination-2024/::low_aeo_readiness_score | https://africanmarketingconfederation.org/thank-you-for-the-nomination-2024/::no_compression_header | https://africanmarketingconfederation.org/thank-you-for-the-nomination-2024/::no_cache-control_header | https://africanmarketingconfederation.org/thank-you-for-the-nomination-2024/::no_etag_header | https://africanmarketingconfederation.org/thank-you-for-the-nomination-2024/::thin_content | https://africanmarketingconfederation.org/thank-you-for-the-nomination-2024/::no_question_headings | https://africanmarketingconfederation.org/thank-you-for-the-nomination-2024/::no_answer-friendly_structure | https://africanmarketingconfederation.org/thank-you-for-the-nomination-2024/::no_40-60_word_answer_paragraphs | https://africanmarketingconfederation.org/thank-you-for-the-nomination-2024/::ai_crawlers_not_explicitly_allowed</t>
  </si>
  <si>
    <t>2024-04-11T06:14:27+00:00</t>
  </si>
  <si>
    <t>https://africanmarketingconfederation.org/thank-you-for-the-submission-2024/::missing_h1 | https://africanmarketingconfederation.org/thank-you-for-the-submission-2024/::low_aeo_readiness_score | https://africanmarketingconfederation.org/thank-you-for-the-submission-2024/::no_compression_header | https://africanmarketingconfederation.org/thank-you-for-the-submission-2024/::no_cache-control_header | https://africanmarketingconfederation.org/thank-you-for-the-submission-2024/::no_etag_header | https://africanmarketingconfederation.org/thank-you-for-the-submission-2024/::thin_content | https://africanmarketingconfederation.org/thank-you-for-the-submission-2024/::no_question_headings | https://africanmarketingconfederation.org/thank-you-for-the-submission-2024/::no_answer-friendly_structure | https://africanmarketingconfederation.org/thank-you-for-the-submission-2024/::no_40-60_word_answer_paragraphs | https://africanmarketingconfederation.org/thank-you-for-the-submission-2024/::ai_crawlers_not_explicitly_allowed</t>
  </si>
  <si>
    <t>2023-01-18T11:02:32+00:00</t>
  </si>
  <si>
    <t>https://africanmarketingconfederation.org/upcoming-events/::missing_h1 | https://africanmarketingconfederation.org/upcoming-events/::low_aeo_readiness_score | https://africanmarketingconfederation.org/upcoming-events/::no_compression_header | https://africanmarketingconfederation.org/upcoming-events/::no_cache-control_header | https://africanmarketingconfederation.org/upcoming-events/::no_etag_header | https://africanmarketingconfederation.org/upcoming-events/::thin_content | https://africanmarketingconfederation.org/upcoming-events/::no_question_headings | https://africanmarketingconfederation.org/upcoming-events/::no_answer-friendly_structure | https://africanmarketingconfederation.org/upcoming-events/::no_40-60_word_answer_paragraphs | https://africanmarketingconfederation.org/upcoming-events/::ai_crawlers_not_explicitly_allowed</t>
  </si>
  <si>
    <t>2022-01-17T12:56:22+00:00</t>
  </si>
  <si>
    <t>https://africanmarketingconfederation.org/virtual-programme/::missing_h1 | https://africanmarketingconfederation.org/virtual-programme/::low_aeo_readiness_score | https://africanmarketingconfederation.org/virtual-programme/::no_compression_header | https://africanmarketingconfederation.org/virtual-programme/::no_cache-control_header | https://africanmarketingconfederation.org/virtual-programme/::no_etag_header | https://africanmarketingconfederation.org/virtual-programme/::no_question_headings | https://africanmarketingconfederation.org/virtual-programme/::no_answer-friendly_structure | https://africanmarketingconfederation.org/virtual-programme/::no_40-60_word_answer_paragraphs | https://africanmarketingconfederation.org/virtual-programme/::ai_crawlers_not_explicitly_allowed</t>
  </si>
  <si>
    <t>Word Count</t>
  </si>
  <si>
    <t>Word Count Band</t>
  </si>
  <si>
    <t>Readability (Rough Flesch)</t>
  </si>
  <si>
    <t>H1 Count</t>
  </si>
  <si>
    <t>Missing H1 Flag</t>
  </si>
  <si>
    <t>Multiple H1 Flag</t>
  </si>
  <si>
    <t>Title Missing</t>
  </si>
  <si>
    <t>Meta Description Missing</t>
  </si>
  <si>
    <t>Thin Content Flag</t>
  </si>
  <si>
    <t>Sentence Count</t>
  </si>
  <si>
    <t>Body Text-to-HTML Ratio</t>
  </si>
  <si>
    <t>Thin</t>
  </si>
  <si>
    <t>Strong</t>
  </si>
  <si>
    <t>OK</t>
  </si>
  <si>
    <t>AEO Readiness Score</t>
  </si>
  <si>
    <t>AEO Badge</t>
  </si>
  <si>
    <t>Why It Matters</t>
  </si>
  <si>
    <t>FAQ Section Count</t>
  </si>
  <si>
    <t>Question Heading Count</t>
  </si>
  <si>
    <t>Paragraphs 40-60 Words Count</t>
  </si>
  <si>
    <t>QAPage/FAQ Schema Present</t>
  </si>
  <si>
    <t>Speakable Schema Present</t>
  </si>
  <si>
    <t>HowTo Signal</t>
  </si>
  <si>
    <t>Definition Signal</t>
  </si>
  <si>
    <t>List/Table Answer Signal</t>
  </si>
  <si>
    <t>Snippet Preview Mockup</t>
  </si>
  <si>
    <t>Needs Work</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</si>
  <si>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</si>
  <si>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</si>
  <si>
    <t>Schema Types Found</t>
  </si>
  <si>
    <t>Schema Types Count</t>
  </si>
  <si>
    <t>Schema Parse Errors</t>
  </si>
  <si>
    <t>OG Title</t>
  </si>
  <si>
    <t>OG Description</t>
  </si>
  <si>
    <t>OG Image</t>
  </si>
  <si>
    <t>Open Graph Complete</t>
  </si>
  <si>
    <t>Twitter Card Type</t>
  </si>
  <si>
    <t>Internal Links Count</t>
  </si>
  <si>
    <t>Unique Internal Links Count</t>
  </si>
  <si>
    <t>Broken Internal Links Count</t>
  </si>
  <si>
    <t>Unresolved Internal Links Count</t>
  </si>
  <si>
    <t>Generic Anchor Text Count</t>
  </si>
  <si>
    <t>External Links Count</t>
  </si>
  <si>
    <t>Nofollow Internal Links Count</t>
  </si>
  <si>
    <t>Nofollow External Links Count</t>
  </si>
  <si>
    <t>Internal Link Statuses</t>
  </si>
  <si>
    <t>Redirect Loop Flag</t>
  </si>
  <si>
    <t>Business Risk Score</t>
  </si>
  <si>
    <t>Open in Technical</t>
  </si>
  <si>
    <t>WordPress Post ID</t>
  </si>
  <si>
    <t>Direct Edit Link</t>
  </si>
  <si>
    <t>AIOSEO Panel</t>
  </si>
  <si>
    <t>Issue</t>
  </si>
  <si>
    <t>Current Value</t>
  </si>
  <si>
    <t>Recommended Target</t>
  </si>
  <si>
    <t>How to Fix in AIOSEO</t>
  </si>
  <si>
    <t>Reference Tab</t>
  </si>
  <si>
    <t>Reference Field</t>
  </si>
  <si>
    <t>Stable Issue ID</t>
  </si>
  <si>
    <t>Basic SEO</t>
  </si>
  <si>
    <t>Page returns non-200 response</t>
  </si>
  <si>
    <t>200</t>
  </si>
  <si>
    <t>Update URL target, restore page, or set correct redirect. In AIOSEO, review canonical/robots only after the page returns 200.</t>
  </si>
  <si>
    <t>https://africanmarketingconfederation.org/amc-conference-sponsors/::aioseo_page_returns_non-200_response</t>
  </si>
  <si>
    <t>Pages that error cannot perform in search and fail core page-level SEO checks.</t>
  </si>
  <si>
    <t>https://africanmarketingconfederation.org/amc-marketing-conference-2024/speakers-2024/::aioseo_page_returns_non-200_response</t>
  </si>
  <si>
    <t>https://africanmarketingconfederation.org/wp-admin/post.php?post=13164&amp;action=edit</t>
  </si>
  <si>
    <t>Missing meta description</t>
  </si>
  <si>
    <t>Missing</t>
  </si>
  <si>
    <t>120-160 characters</t>
  </si>
  <si>
    <t>In AIOSEO snippet settings, add a concise, unique meta description aligned to page intent.</t>
  </si>
  <si>
    <t>https://africanmarketingconfederation.org/amc-conference-2023/amc-awards-book-now/::aioseo_missing_meta_description</t>
  </si>
  <si>
    <t>Missing descriptions reduce control over search snippet messaging.</t>
  </si>
  <si>
    <t>https://africanmarketingconfederation.org/amc-conference-sponsors/::aioseo_missing_meta_description</t>
  </si>
  <si>
    <t>https://africanmarketingconfederation.org/amc-marketing-conference-2024/speakers-2024/::aioseo_missing_meta_description</t>
  </si>
  <si>
    <t>https://africanmarketingconfederation.org/wp-admin/post.php?post=6816&amp;action=edit</t>
  </si>
  <si>
    <t>https://africanmarketingconfederation.org/amc-masterclass-bookings/::aioseo_missing_meta_description</t>
  </si>
  <si>
    <t>https://africanmarketingconfederation.org/wp-admin/post.php?post=20341&amp;action=edit</t>
  </si>
  <si>
    <t>https://africanmarketingconfederation.org/elementor-20341/::aioseo_missing_meta_description</t>
  </si>
  <si>
    <t>https://africanmarketingconfederation.org/wp-admin/post.php?post=8&amp;action=edit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</si>
  <si>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</si>
  <si>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</si>
  <si>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</si>
  <si>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</si>
  <si>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</si>
  <si>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</si>
  <si>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</si>
  <si>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</si>
  <si>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</si>
  <si>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</si>
  <si>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</si>
  <si>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</si>
  <si>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</si>
  <si>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</si>
  <si>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</si>
  <si>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https://africanmarketingconfederation.org/wp-admin/post.php?post=4494&amp;action=edit</t>
  </si>
  <si>
    <t>https://africanmarketingconfederation.org/amc-conference-2022/::aioseo_low_aeo_readiness_score</t>
  </si>
  <si>
    <t>https://africanmarketingconfederation.org/wp-admin/post.php?post=12371&amp;action=edit</t>
  </si>
  <si>
    <t>https://africanmarketingconfederation.org/amc-conference-2023/::aioseo_low_aeo_readiness_score</t>
  </si>
  <si>
    <t>https://africanmarketingconfederation.org/amc-conference-2023/amc-awards-book-now/::aioseo_low_aeo_readiness_score</t>
  </si>
  <si>
    <t>https://africanmarketingconfederation.org/wp-admin/post.php?post=12954&amp;action=edit</t>
  </si>
  <si>
    <t>https://africanmarketingconfederation.org/amc-conference-2023/amc-awards/::aioseo_low_aeo_readiness_score</t>
  </si>
  <si>
    <t>https://africanmarketingconfederation.org/wp-admin/post.php?post=12497&amp;action=edit</t>
  </si>
  <si>
    <t>https://africanmarketingconfederation.org/amc-conference-2023/book-now-thank-you/::aioseo_low_aeo_readiness_score</t>
  </si>
  <si>
    <t>https://africanmarketingconfederation.org/wp-admin/post.php?post=12407&amp;action=edit</t>
  </si>
  <si>
    <t>https://africanmarketingconfederation.org/amc-conference-2023/book-now/::aioseo_low_aeo_readiness_score</t>
  </si>
  <si>
    <t>https://africanmarketingconfederation.org/wp-admin/post.php?post=13098&amp;action=edit</t>
  </si>
  <si>
    <t>https://africanmarketingconfederation.org/amc-conference-2023/download-prospectus/::aioseo_low_aeo_readiness_score</t>
  </si>
  <si>
    <t>https://africanmarketingconfederation.org/wp-admin/post.php?post=13549&amp;action=edit</t>
  </si>
  <si>
    <t>https://africanmarketingconfederation.org/amc-conference-2023/gallery/::aioseo_low_aeo_readiness_score</t>
  </si>
  <si>
    <t>https://africanmarketingconfederation.org/wp-admin/post.php?post=13282&amp;action=edit</t>
  </si>
  <si>
    <t>https://africanmarketingconfederation.org/amc-conference-2023/partners/::aioseo_low_aeo_readiness_score</t>
  </si>
  <si>
    <t>https://africanmarketingconfederation.org/wp-admin/post.php?post=12945&amp;action=edit</t>
  </si>
  <si>
    <t>https://africanmarketingconfederation.org/amc-conference-2023/programme/::aioseo_low_aeo_readiness_score</t>
  </si>
  <si>
    <t>https://africanmarketingconfederation.org/wp-admin/post.php?post=13179&amp;action=edit</t>
  </si>
  <si>
    <t>https://africanmarketingconfederation.org/amc-conference-2023/speakers/::aioseo_low_aeo_readiness_score</t>
  </si>
  <si>
    <t>https://africanmarketingconfederation.org/wp-admin/post.php?post=22401&amp;action=edit</t>
  </si>
  <si>
    <t>https://africanmarketingconfederation.org/amc-conference-2024-recap/::aioseo_low_aeo_readiness_score</t>
  </si>
  <si>
    <t>https://africanmarketingconfederation.org/wp-admin/post.php?post=18318&amp;action=edit</t>
  </si>
  <si>
    <t>https://africanmarketingconfederation.org/amc-conference-2024-sponsors-packages/::aioseo_low_aeo_readiness_score</t>
  </si>
  <si>
    <t>https://africanmarketingconfederation.org/wp-admin/post.php?post=30257&amp;action=edit</t>
  </si>
  <si>
    <t>https://africanmarketingconfederation.org/amc-conference-2025-highlights/::aioseo_low_aeo_readiness_score</t>
  </si>
  <si>
    <t>https://africanmarketingconfederation.org/wp-admin/post.php?post=23710&amp;action=edit</t>
  </si>
  <si>
    <t>https://africanmarketingconfederation.org/amc-conference-2025/::aioseo_low_aeo_readiness_score</t>
  </si>
  <si>
    <t>https://africanmarketingconfederation.org/wp-admin/post.php?post=33280&amp;action=edit</t>
  </si>
  <si>
    <t>https://africanmarketingconfederation.org/amc-conference-2026-awards-nominations-thank-you/::aioseo_low_aeo_readiness_score</t>
  </si>
  <si>
    <t>https://africanmarketingconfederation.org/wp-admin/post.php?post=22778&amp;action=edit</t>
  </si>
  <si>
    <t>https://africanmarketingconfederation.org/amc-conference-2026-zambia-thank-you/::aioseo_low_aeo_readiness_score</t>
  </si>
  <si>
    <t>https://africanmarketingconfederation.org/wp-admin/post.php?post=31478&amp;action=edit</t>
  </si>
  <si>
    <t>https://africanmarketingconfederation.org/amc-conference-2026/::aioseo_low_aeo_readiness_score</t>
  </si>
  <si>
    <t>https://africanmarketingconfederation.org/wp-admin/post.php?post=5057&amp;action=edit</t>
  </si>
  <si>
    <t>https://africanmarketingconfederation.org/amc-conference-programme/::aioseo_low_aeo_readiness_score</t>
  </si>
  <si>
    <t>https://africanmarketingconfederation.org/amc-conference-sponsors/::aioseo_low_aeo_readiness_score</t>
  </si>
  <si>
    <t>https://africanmarketingconfederation.org/wp-admin/post.php?post=12477&amp;action=edit</t>
  </si>
  <si>
    <t>https://africanmarketingconfederation.org/amc-conference-thank-you/::aioseo_low_aeo_readiness_score</t>
  </si>
  <si>
    <t>https://africanmarketingconfederation.org/wp-admin/post.php?post=21958&amp;action=edit</t>
  </si>
  <si>
    <t>https://africanmarketingconfederation.org/amc-forum-mombasa/::aioseo_low_aeo_readiness_score</t>
  </si>
  <si>
    <t>https://africanmarketingconfederation.org/wp-admin/post.php?post=21984&amp;action=edit</t>
  </si>
  <si>
    <t>https://africanmarketingconfederation.org/amc-forum-payments/::aioseo_low_aeo_readiness_score</t>
  </si>
  <si>
    <t>https://africanmarketingconfederation.org/wp-admin/post.php?post=33131&amp;action=edit</t>
  </si>
  <si>
    <t>https://africanmarketingconfederation.org/amc-launch-event-zambia-thank-you-2026/::aioseo_low_aeo_readiness_score</t>
  </si>
  <si>
    <t>https://africanmarketingconfederation.org/amc-marketing-conference-2024/::aioseo_low_aeo_readiness_score</t>
  </si>
  <si>
    <t>https://africanmarketingconfederation.org/wp-admin/post.php?post=25857&amp;action=edit</t>
  </si>
  <si>
    <t>https://africanmarketingconfederation.org/amc-marketing-conference-2024/amc-conference-2025-ghana-sponsors/::aioseo_low_aeo_readiness_score</t>
  </si>
  <si>
    <t>https://africanmarketingconfederation.org/wp-admin/post.php?post=25788&amp;action=edit</t>
  </si>
  <si>
    <t>https://africanmarketingconfederation.org/amc-marketing-conference-2024/amc-launch-event-2025/::aioseo_low_aeo_readiness_score</t>
  </si>
  <si>
    <t>https://africanmarketingconfederation.org/wp-admin/post.php?post=26290&amp;action=edit</t>
  </si>
  <si>
    <t>https://africanmarketingconfederation.org/amc-marketing-conference-2024/amc-preregister-2025/::aioseo_low_aeo_readiness_score</t>
  </si>
  <si>
    <t>https://africanmarketingconfederation.org/wp-admin/post.php?post=24882&amp;action=edit</t>
  </si>
  <si>
    <t>https://africanmarketingconfederation.org/amc-marketing-conference-2024/amc-programme-2025/::aioseo_low_aeo_readiness_score</t>
  </si>
  <si>
    <t>https://africanmarketingconfederation.org/wp-admin/post.php?post=22595&amp;action=edit</t>
  </si>
  <si>
    <t>https://africanmarketingconfederation.org/amc-marketing-conference-2024/amc-speakers-presentations-2024/::aioseo_low_aeo_readiness_score</t>
  </si>
  <si>
    <t>https://africanmarketingconfederation.org/wp-admin/post.php?post=29496&amp;action=edit</t>
  </si>
  <si>
    <t>https://africanmarketingconfederation.org/amc-marketing-conference-2024/awards-2025/::aioseo_low_aeo_readiness_score</t>
  </si>
  <si>
    <t>https://africanmarketingconfederation.org/wp-admin/post.php?post=16104&amp;action=edit</t>
  </si>
  <si>
    <t>https://africanmarketingconfederation.org/amc-marketing-conference-2024/programme-2024/::aioseo_low_aeo_readiness_score</t>
  </si>
  <si>
    <t>https://africanmarketingconfederation.org/amc-marketing-conference-2024/speakers-2024/::aioseo_low_aeo_readiness_score</t>
  </si>
  <si>
    <t>https://africanmarketingconfederation.org/wp-admin/post.php?post=23021&amp;action=edit</t>
  </si>
  <si>
    <t>https://africanmarketingconfederation.org/amc-marketing-conference-2024/testimony-thank-you-page/::aioseo_low_aeo_readiness_score</t>
  </si>
  <si>
    <t>https://africanmarketingconfederation.org/amc-masterclass-bookings/::aioseo_low_aeo_readiness_score</t>
  </si>
  <si>
    <t>https://africanmarketingconfederation.org/wp-admin/post.php?post=6822&amp;action=edit</t>
  </si>
  <si>
    <t>https://africanmarketingconfederation.org/amc-masterclass-thank-you/::aioseo_low_aeo_readiness_score</t>
  </si>
  <si>
    <t>https://africanmarketingconfederation.org/wp-admin/post.php?post=6553&amp;action=edit</t>
  </si>
  <si>
    <t>https://africanmarketingconfederation.org/amc-masterclass/::aioseo_low_aeo_readiness_score</t>
  </si>
  <si>
    <t>https://africanmarketingconfederation.org/wp-admin/post.php?post=4492&amp;action=edit</t>
  </si>
  <si>
    <t>https://africanmarketingconfederation.org/amc-relaunch-programme/::aioseo_low_aeo_readiness_score</t>
  </si>
  <si>
    <t>https://africanmarketingconfederation.org/wp-admin/post.php?post=23001&amp;action=edit</t>
  </si>
  <si>
    <t>https://africanmarketingconfederation.org/amc-sign-up-now-form-2025/::aioseo_low_aeo_readiness_score</t>
  </si>
  <si>
    <t>https://africanmarketingconfederation.org/wp-admin/post.php?post=21952&amp;action=edit</t>
  </si>
  <si>
    <t>https://africanmarketingconfederation.org/amc-sponsors-2025/::aioseo_low_aeo_readiness_score</t>
  </si>
  <si>
    <t>https://africanmarketingconfederation.org/wp-admin/post.php?post=22679&amp;action=edit</t>
  </si>
  <si>
    <t>https://africanmarketingconfederation.org/amc-testimony-page-2024/::aioseo_low_aeo_readiness_score</t>
  </si>
  <si>
    <t>https://africanmarketingconfederation.org/wp-admin/post.php?post=32554&amp;action=edit</t>
  </si>
  <si>
    <t>https://africanmarketingconfederation.org/awards-2026-1/::aioseo_low_aeo_readiness_score</t>
  </si>
  <si>
    <t>https://africanmarketingconfederation.org/wp-admin/post.php?post=34552&amp;action=edit</t>
  </si>
  <si>
    <t>https://africanmarketingconfederation.org/awards-2026-test/::aioseo_low_aeo_readiness_score</t>
  </si>
  <si>
    <t>https://africanmarketingconfederation.org/wp-admin/post.php?post=34622&amp;action=edit</t>
  </si>
  <si>
    <t>https://africanmarketingconfederation.org/awards-2026/::aioseo_low_aeo_readiness_score</t>
  </si>
  <si>
    <t>https://africanmarketingconfederation.org/wp-admin/post.php?post=28742&amp;action=edit</t>
  </si>
  <si>
    <t>https://africanmarketingconfederation.org/certified-professional-marketer-africa/::aioseo_low_aeo_readiness_score</t>
  </si>
  <si>
    <t>https://africanmarketingconfederation.org/wp-admin/post.php?post=20001&amp;action=edit</t>
  </si>
  <si>
    <t>https://africanmarketingconfederation.org/chartered-marketer-africa-final-submission-fee/::aioseo_low_aeo_readiness_score</t>
  </si>
  <si>
    <t>https://africanmarketingconfederation.org/wp-admin/post.php?post=19980&amp;action=edit</t>
  </si>
  <si>
    <t>https://africanmarketingconfederation.org/chartered-marketer-africa-programme-fee/::aioseo_low_aeo_readiness_score</t>
  </si>
  <si>
    <t>https://africanmarketingconfederation.org/wp-admin/post.php?post=10823&amp;action=edit</t>
  </si>
  <si>
    <t>https://africanmarketingconfederation.org/chartered-marketer-africa-thank-you/::aioseo_low_aeo_readiness_score</t>
  </si>
  <si>
    <t>https://africanmarketingconfederation.org/wp-admin/post.php?post=9075&amp;action=edit</t>
  </si>
  <si>
    <t>https://africanmarketingconfederation.org/chartered-marketer-africa/::aioseo_low_aeo_readiness_score</t>
  </si>
  <si>
    <t>https://africanmarketingconfederation.org/wp-admin/post.php?post=17908&amp;action=edit</t>
  </si>
  <si>
    <t>https://africanmarketingconfederation.org/checkout/::aioseo_low_aeo_readiness_score</t>
  </si>
  <si>
    <t>https://africanmarketingconfederation.org/wp-admin/post.php?post=24640&amp;action=edit</t>
  </si>
  <si>
    <t>https://africanmarketingconfederation.org/conference-faq-2025/::aioseo_low_aeo_readiness_score</t>
  </si>
  <si>
    <t>https://africanmarketingconfederation.org/wp-admin/post.php?post=16472&amp;action=edit</t>
  </si>
  <si>
    <t>https://africanmarketingconfederation.org/conference-registrations-2024/::aioseo_low_aeo_readiness_score</t>
  </si>
  <si>
    <t>https://africanmarketingconfederation.org/wp-admin/post.php?post=92&amp;action=edit</t>
  </si>
  <si>
    <t>https://africanmarketingconfederation.org/contact-us/::aioseo_low_aeo_readiness_score</t>
  </si>
  <si>
    <t>https://africanmarketingconfederation.org/wp-admin/post.php?post=18478&amp;action=edit</t>
  </si>
  <si>
    <t>https://africanmarketingconfederation.org/download-brochure/::aioseo_low_aeo_readiness_score</t>
  </si>
  <si>
    <t>https://africanmarketingconfederation.org/wp-admin/post.php?post=19172&amp;action=edit</t>
  </si>
  <si>
    <t>https://africanmarketingconfederation.org/download-prospectus-2024/::aioseo_low_aeo_readiness_score</t>
  </si>
  <si>
    <t>https://africanmarketingconfederation.org/wp-admin/post.php?post=88&amp;action=edit</t>
  </si>
  <si>
    <t>https://africanmarketingconfederation.org/education/::aioseo_low_aeo_readiness_score</t>
  </si>
  <si>
    <t>https://africanmarketingconfederation.org/wp-admin/post.php?post=16548&amp;action=edit</t>
  </si>
  <si>
    <t>https://africanmarketingconfederation.org/elementor-16548/::aioseo_low_aeo_readiness_score</t>
  </si>
  <si>
    <t>https://africanmarketingconfederation.org/elementor-20341/::aioseo_low_aeo_readiness_score</t>
  </si>
  <si>
    <t>https://africanmarketingconfederation.org/wp-admin/post.php?post=31820&amp;action=edit</t>
  </si>
  <si>
    <t>https://africanmarketingconfederation.org/elementor-31820/::aioseo_low_aeo_readiness_score</t>
  </si>
  <si>
    <t>https://africanmarketingconfederation.org/wp-admin/post.php?post=5597&amp;action=edit</t>
  </si>
  <si>
    <t>https://africanmarketingconfederation.org/general-enquiry-form-thank-you/::aioseo_low_aeo_readiness_score</t>
  </si>
  <si>
    <t>https://africanmarketingconfederation.org/wp-admin/post.php?post=33050&amp;action=edit</t>
  </si>
  <si>
    <t>https://africanmarketingconfederation.org/launch-event-2026-amc-conference/::aioseo_low_aeo_readiness_score</t>
  </si>
  <si>
    <t>https://africanmarketingconfederation.org/wp-admin/post.php?post=86&amp;action=edit</t>
  </si>
  <si>
    <t>https://africanmarketingconfederation.org/members/::aioseo_low_aeo_readiness_score</t>
  </si>
  <si>
    <t>https://africanmarketingconfederation.org/wp-admin/post.php?post=2196&amp;action=edit</t>
  </si>
  <si>
    <t>https://africanmarketingconfederation.org/news-articles/::aioseo_low_aeo_readiness_score</t>
  </si>
  <si>
    <t>https://africanmarketingconfederation.org/wp-admin/post.php?post=3&amp;action=edit</t>
  </si>
  <si>
    <t>https://africanmarketingconfederation.org/privacy-policy/::aioseo_low_aeo_readiness_score</t>
  </si>
  <si>
    <t>https://africanmarketingconfederation.org/wp-admin/post.php?post=9047&amp;action=edit</t>
  </si>
  <si>
    <t>https://africanmarketingconfederation.org/publication-download-list/::aioseo_low_aeo_readiness_score</t>
  </si>
  <si>
    <t>https://africanmarketingconfederation.org/wp-admin/post.php?post=3686&amp;action=edit</t>
  </si>
  <si>
    <t>https://africanmarketingconfederation.org/publications-2/::aioseo_low_aeo_readiness_score</t>
  </si>
  <si>
    <t>https://africanmarketingconfederation.org/wp-admin/post.php?post=21962&amp;action=edit</t>
  </si>
  <si>
    <t>https://africanmarketingconfederation.org/speakers-2025/::aioseo_low_aeo_readiness_score</t>
  </si>
  <si>
    <t>https://africanmarketingconfederation.org/wp-admin/post.php?post=3252&amp;action=edit</t>
  </si>
  <si>
    <t>https://africanmarketingconfederation.org/speakers/::aioseo_low_aeo_readiness_score</t>
  </si>
  <si>
    <t>https://africanmarketingconfederation.org/wp-admin/post.php?post=3634&amp;action=edit</t>
  </si>
  <si>
    <t>https://africanmarketingconfederation.org/sub-committees/::aioseo_low_aeo_readiness_score</t>
  </si>
  <si>
    <t>https://africanmarketingconfederation.org/wp-admin/post.php?post=7781&amp;action=edit</t>
  </si>
  <si>
    <t>https://africanmarketingconfederation.org/subscribe/::aioseo_low_aeo_readiness_score</t>
  </si>
  <si>
    <t>https://africanmarketingconfederation.org/wp-admin/post.php?post=5490&amp;action=edit</t>
  </si>
  <si>
    <t>https://africanmarketingconfederation.org/test-homeslider/::aioseo_low_aeo_readiness_score</t>
  </si>
  <si>
    <t>https://africanmarketingconfederation.org/wp-admin/post.php?post=27352&amp;action=edit</t>
  </si>
  <si>
    <t>https://africanmarketingconfederation.org/test-payment-gate/::aioseo_low_aeo_readiness_score</t>
  </si>
  <si>
    <t>https://africanmarketingconfederation.org/wp-admin/post.php?post=21591&amp;action=edit</t>
  </si>
  <si>
    <t>https://africanmarketingconfederation.org/thank-you-for-registering-2024-registrations-kenya/::aioseo_low_aeo_readiness_score</t>
  </si>
  <si>
    <t>https://africanmarketingconfederation.org/wp-admin/post.php?post=17195&amp;action=edit</t>
  </si>
  <si>
    <t>https://africanmarketingconfederation.org/thank-you-for-registering-2024-registrations/::aioseo_low_aeo_readiness_score</t>
  </si>
  <si>
    <t>https://africanmarketingconfederation.org/wp-admin/post.php?post=7916&amp;action=edit</t>
  </si>
  <si>
    <t>https://africanmarketingconfederation.org/thank-you-for-subscribing/::aioseo_low_aeo_readiness_score</t>
  </si>
  <si>
    <t>https://africanmarketingconfederation.org/wp-admin/post.php?post=17000&amp;action=edit</t>
  </si>
  <si>
    <t>https://africanmarketingconfederation.org/thank-you-for-the-nomination-2024/::aioseo_low_aeo_readiness_score</t>
  </si>
  <si>
    <t>https://africanmarketingconfederation.org/wp-admin/post.php?post=17196&amp;action=edit</t>
  </si>
  <si>
    <t>https://africanmarketingconfederation.org/thank-you-for-the-submission-2024/::aioseo_low_aeo_readiness_score</t>
  </si>
  <si>
    <t>https://africanmarketingconfederation.org/wp-admin/post.php?post=4909&amp;action=edit</t>
  </si>
  <si>
    <t>https://africanmarketingconfederation.org/upcoming-events/::aioseo_low_aeo_readiness_score</t>
  </si>
  <si>
    <t>https://africanmarketingconfederation.org/wp-admin/post.php?post=5290&amp;action=edit</t>
  </si>
  <si>
    <t>https://africanmarketingconfederation.org/virtual-programme/::aioseo_low_aeo_readiness_score</t>
  </si>
  <si>
    <t>Readability</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</si>
  <si>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</si>
  <si>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</si>
  <si>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</si>
  <si>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</si>
  <si>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</si>
  <si>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https://africanmarketingconfederation.org/about-us/::aioseo_thin_content</t>
  </si>
  <si>
    <t>Missing H1 heading</t>
  </si>
  <si>
    <t>Exactly 1 descriptive H1</t>
  </si>
  <si>
    <t>Update page content to include a single descriptive H1 aligned to primary intent.</t>
  </si>
  <si>
    <t>https://africanmarketingconfederation.org/amc-conference-2022-prospectus/::aioseo_missing_h1_heading</t>
  </si>
  <si>
    <t>A missing H1 weakens topical clarity for users and crawlers.</t>
  </si>
  <si>
    <t>https://africanmarketingconfederation.org/amc-conference-2022-prospectus/::aioseo_thin_content</t>
  </si>
  <si>
    <t>https://africanmarketingconfederation.org/amc-conference-2022-thank-you/::aioseo_missing_h1_heading</t>
  </si>
  <si>
    <t>https://africanmarketingconfederation.org/amc-conference-2022/::aioseo_missing_h1_heading</t>
  </si>
  <si>
    <t>https://africanmarketingconfederation.org/amc-conference-2022/::aioseo_thin_content</t>
  </si>
  <si>
    <t>https://africanmarketingconfederation.org/amc-conference-2023/amc-awards-book-now/::aioseo_missing_h1_heading</t>
  </si>
  <si>
    <t>https://africanmarketingconfederation.org/amc-conference-2023/amc-awards-book-now/::aioseo_thin_content</t>
  </si>
  <si>
    <t>https://africanmarketingconfederation.org/amc-conference-2023/book-now-thank-you/::aioseo_missing_h1_heading</t>
  </si>
  <si>
    <t>https://africanmarketingconfederation.org/amc-conference-2023/book-now-thank-you/::aioseo_thin_content</t>
  </si>
  <si>
    <t>https://africanmarketingconfederation.org/amc-conference-2023/book-now/::aioseo_thin_content</t>
  </si>
  <si>
    <t>https://africanmarketingconfederation.org/amc-conference-2023/download-prospectus/::aioseo_thin_content</t>
  </si>
  <si>
    <t>https://africanmarketingconfederation.org/amc-conference-2023/gallery/::aioseo_thin_content</t>
  </si>
  <si>
    <t>https://africanmarketingconfederation.org/amc-conference-2023/partners/::aioseo_thin_content</t>
  </si>
  <si>
    <t>https://africanmarketingconfederation.org/amc-conference-2024-sponsors-packages/::aioseo_thin_content</t>
  </si>
  <si>
    <t>https://africanmarketingconfederation.org/amc-conference-2026-awards-nominations-thank-you/::aioseo_thin_content</t>
  </si>
  <si>
    <t>https://africanmarketingconfederation.org/amc-conference-2026-zambia-thank-you/::aioseo_thin_content</t>
  </si>
  <si>
    <t>https://africanmarketingconfederation.org/amc-conference-programme/::aioseo_missing_h1_heading</t>
  </si>
  <si>
    <t>https://africanmarketingconfederation.org/amc-conference-sponsors/::aioseo_thin_content</t>
  </si>
  <si>
    <t>https://africanmarketingconfederation.org/amc-forum-payments/::aioseo_missing_h1_heading</t>
  </si>
  <si>
    <t>https://africanmarketingconfederation.org/amc-forum-payments/::aioseo_thin_content</t>
  </si>
  <si>
    <t>https://africanmarketingconfederation.org/amc-launch-event-zambia-thank-you-2026/::aioseo_thin_content</t>
  </si>
  <si>
    <t>https://africanmarketingconfederation.org/amc-marketing-conference-2024/amc-conference-2025-ghana-sponsors/::aioseo_thin_content</t>
  </si>
  <si>
    <t>https://africanmarketingconfederation.org/amc-marketing-conference-2024/amc-programme-2025/::aioseo_thin_content</t>
  </si>
  <si>
    <t>https://africanmarketingconfederation.org/amc-marketing-conference-2024/amc-speakers-presentations-2024/::aioseo_thin_content</t>
  </si>
  <si>
    <t>https://africanmarketingconfederation.org/amc-marketing-conference-2024/speakers-2024/::aioseo_thin_content</t>
  </si>
  <si>
    <t>https://africanmarketingconfederation.org/amc-marketing-conference-2024/testimony-thank-you-page/::aioseo_thin_content</t>
  </si>
  <si>
    <t>https://africanmarketingconfederation.org/amc-masterclass-bookings/::aioseo_missing_h1_heading</t>
  </si>
  <si>
    <t>https://africanmarketingconfederation.org/amc-masterclass-bookings/::aioseo_thin_content</t>
  </si>
  <si>
    <t>https://africanmarketingconfederation.org/amc-masterclass-thank-you/::aioseo_missing_h1_heading</t>
  </si>
  <si>
    <t>https://africanmarketingconfederation.org/amc-masterclass-thank-you/::aioseo_thin_content</t>
  </si>
  <si>
    <t>https://africanmarketingconfederation.org/amc-masterclass/::aioseo_missing_h1_heading</t>
  </si>
  <si>
    <t>https://africanmarketingconfederation.org/amc-masterclass/::aioseo_thin_content</t>
  </si>
  <si>
    <t>https://africanmarketingconfederation.org/amc-relaunch-programme/::aioseo_missing_h1_heading</t>
  </si>
  <si>
    <t>https://africanmarketingconfederation.org/certified-professional-marketer-africa/::aioseo_missing_h1_heading</t>
  </si>
  <si>
    <t>https://africanmarketingconfederation.org/chartered-marketer-africa-final-submission-fee/::aioseo_thin_content</t>
  </si>
  <si>
    <t>https://africanmarketingconfederation.org/chartered-marketer-africa-programme-fee/::aioseo_thin_content</t>
  </si>
  <si>
    <t>https://africanmarketingconfederation.org/chartered-marketer-africa-thank-you/::aioseo_missing_h1_heading</t>
  </si>
  <si>
    <t>https://africanmarketingconfederation.org/chartered-marketer-africa-thank-you/::aioseo_thin_content</t>
  </si>
  <si>
    <t>https://africanmarketingconfederation.org/checkout/::aioseo_missing_h1_heading</t>
  </si>
  <si>
    <t>https://africanmarketingconfederation.org/checkout/::aioseo_thin_content</t>
  </si>
  <si>
    <t>https://africanmarketingconfederation.org/download-brochure/::aioseo_missing_h1_heading</t>
  </si>
  <si>
    <t>https://africanmarketingconfederation.org/download-brochure/::aioseo_thin_content</t>
  </si>
  <si>
    <t>https://africanmarketingconfederation.org/download-prospectus-2024/::aioseo_missing_h1_heading</t>
  </si>
  <si>
    <t>https://africanmarketingconfederation.org/download-prospectus-2024/::aioseo_thin_content</t>
  </si>
  <si>
    <t>https://africanmarketingconfederation.org/education/::aioseo_missing_h1_heading</t>
  </si>
  <si>
    <t>https://africanmarketingconfederation.org/elementor-16548/::aioseo_missing_h1_heading</t>
  </si>
  <si>
    <t>https://africanmarketingconfederation.org/elementor-16548/::aioseo_thin_content</t>
  </si>
  <si>
    <t>https://africanmarketingconfederation.org/elementor-20341/::aioseo_missing_h1_heading</t>
  </si>
  <si>
    <t>https://africanmarketingconfederation.org/elementor-20341/::aioseo_thin_content</t>
  </si>
  <si>
    <t>https://africanmarketingconfederation.org/general-enquiry-form-thank-you/::aioseo_missing_h1_heading</t>
  </si>
  <si>
    <t>https://africanmarketingconfederation.org/general-enquiry-form-thank-you/::aioseo_thin_content</t>
  </si>
  <si>
    <t>https://africanmarketingconfederation.org/launch-event-2026-amc-conference/::aioseo_thin_content</t>
  </si>
  <si>
    <t>https://africanmarketingconfederation.org/news-articles/::aioseo_thin_content</t>
  </si>
  <si>
    <t>https://africanmarketingconfederation.org/publication-download-list/::aioseo_missing_h1_heading</t>
  </si>
  <si>
    <t>https://africanmarketingconfederation.org/publication-download-list/::aioseo_thin_content</t>
  </si>
  <si>
    <t>https://africanmarketingconfederation.org/publications-2/::aioseo_thin_content</t>
  </si>
  <si>
    <t>https://africanmarketingconfederation.org/speakers/::aioseo_missing_h1_heading</t>
  </si>
  <si>
    <t>https://africanmarketingconfederation.org/speakers/::aioseo_thin_content</t>
  </si>
  <si>
    <t>https://africanmarketingconfederation.org/subscribe/::aioseo_missing_h1_heading</t>
  </si>
  <si>
    <t>https://africanmarketingconfederation.org/test-homeslider/::aioseo_missing_h1_heading</t>
  </si>
  <si>
    <t>https://africanmarketingconfederation.org/test-homeslider/::aioseo_thin_content</t>
  </si>
  <si>
    <t>https://africanmarketingconfederation.org/test-payment-gate/::aioseo_missing_h1_heading</t>
  </si>
  <si>
    <t>https://africanmarketingconfederation.org/test-payment-gate/::aioseo_thin_content</t>
  </si>
  <si>
    <t>https://africanmarketingconfederation.org/thank-you-for-registering-2024-registrations-kenya/::aioseo_missing_h1_heading</t>
  </si>
  <si>
    <t>https://africanmarketingconfederation.org/thank-you-for-registering-2024-registrations-kenya/::aioseo_thin_content</t>
  </si>
  <si>
    <t>https://africanmarketingconfederation.org/thank-you-for-registering-2024-registrations/::aioseo_missing_h1_heading</t>
  </si>
  <si>
    <t>https://africanmarketingconfederation.org/thank-you-for-registering-2024-registrations/::aioseo_thin_content</t>
  </si>
  <si>
    <t>https://africanmarketingconfederation.org/thank-you-for-subscribing/::aioseo_missing_h1_heading</t>
  </si>
  <si>
    <t>https://africanmarketingconfederation.org/thank-you-for-subscribing/::aioseo_thin_content</t>
  </si>
  <si>
    <t>https://africanmarketingconfederation.org/thank-you-for-the-nomination-2024/::aioseo_missing_h1_heading</t>
  </si>
  <si>
    <t>https://africanmarketingconfederation.org/thank-you-for-the-nomination-2024/::aioseo_thin_content</t>
  </si>
  <si>
    <t>https://africanmarketingconfederation.org/thank-you-for-the-submission-2024/::aioseo_missing_h1_heading</t>
  </si>
  <si>
    <t>https://africanmarketingconfederation.org/thank-you-for-the-submission-2024/::aioseo_thin_content</t>
  </si>
  <si>
    <t>https://africanmarketingconfederation.org/upcoming-events/::aioseo_missing_h1_heading</t>
  </si>
  <si>
    <t>https://africanmarketingconfederation.org/upcoming-events/::aioseo_thin_content</t>
  </si>
  <si>
    <t>https://africanmarketingconfederation.org/virtual-programme/::aioseo_missing_h1_heading</t>
  </si>
  <si>
    <t>Schema</t>
  </si>
  <si>
    <t>No schema markup detected</t>
  </si>
  <si>
    <t>At least one relevant schema type</t>
  </si>
  <si>
    <t>In AIOSEO schema settings for the page, add the most relevant type (Article/FAQ/HowTo/Product, etc.).</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</si>
  <si>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</si>
  <si>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</si>
  <si>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</si>
  <si>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</si>
  <si>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</si>
  <si>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</si>
  <si>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</si>
  <si>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https://africanmarketingconfederation.org/amc-conference-2022/::aioseo_no_schema_markup_detected</t>
  </si>
  <si>
    <t>https://africanmarketingconfederation.org/amc-conference-2023/::aioseo_no_schema_markup_detected</t>
  </si>
  <si>
    <t>https://africanmarketingconfederation.org/amc-conference-2023/amc-awards-book-now/::aioseo_no_schema_markup_detected</t>
  </si>
  <si>
    <t>https://africanmarketingconfederation.org/amc-conference-2023/amc-awards/::aioseo_no_schema_markup_detected</t>
  </si>
  <si>
    <t>https://africanmarketingconfederation.org/amc-conference-2023/book-now-thank-you/::aioseo_no_schema_markup_detected</t>
  </si>
  <si>
    <t>https://africanmarketingconfederation.org/amc-conference-2023/book-now/::aioseo_no_schema_markup_detected</t>
  </si>
  <si>
    <t>https://africanmarketingconfederation.org/amc-conference-2023/download-prospectus/::aioseo_no_schema_markup_detected</t>
  </si>
  <si>
    <t>https://africanmarketingconfederation.org/amc-conference-2023/gallery/::aioseo_no_schema_markup_detected</t>
  </si>
  <si>
    <t>https://africanmarketingconfederation.org/amc-conference-2023/partners/::aioseo_no_schema_markup_detected</t>
  </si>
  <si>
    <t>https://africanmarketingconfederation.org/amc-conference-2023/programme/::aioseo_no_schema_markup_detected</t>
  </si>
  <si>
    <t>https://africanmarketingconfederation.org/amc-conference-2023/speakers/::aioseo_no_schema_markup_detected</t>
  </si>
  <si>
    <t>https://africanmarketingconfederation.org/amc-conference-2024-recap/::aioseo_no_schema_markup_detected</t>
  </si>
  <si>
    <t>https://africanmarketingconfederation.org/amc-conference-2024-sponsors-packages/::aioseo_no_schema_markup_detected</t>
  </si>
  <si>
    <t>https://africanmarketingconfederation.org/amc-conference-2025-highlights/::aioseo_no_schema_markup_detected</t>
  </si>
  <si>
    <t>https://africanmarketingconfederation.org/amc-conference-2025/::aioseo_no_schema_markup_detected</t>
  </si>
  <si>
    <t>https://africanmarketingconfederation.org/amc-conference-2026-awards-nominations-thank-you/::aioseo_no_schema_markup_detected</t>
  </si>
  <si>
    <t>https://africanmarketingconfederation.org/amc-conference-2026-zambia-thank-you/::aioseo_no_schema_markup_detected</t>
  </si>
  <si>
    <t>https://africanmarketingconfederation.org/amc-conference-2026/::aioseo_no_schema_markup_detected</t>
  </si>
  <si>
    <t>https://africanmarketingconfederation.org/amc-conference-programme/::aioseo_no_schema_markup_detected</t>
  </si>
  <si>
    <t>https://africanmarketingconfederation.org/amc-conference-sponsors/::aioseo_no_schema_markup_detected</t>
  </si>
  <si>
    <t>https://africanmarketingconfederation.org/amc-conference-thank-you/::aioseo_no_schema_markup_detected</t>
  </si>
  <si>
    <t>https://africanmarketingconfederation.org/amc-forum-mombasa/::aioseo_no_schema_markup_detected</t>
  </si>
  <si>
    <t>https://africanmarketingconfederation.org/amc-forum-payments/::aioseo_no_schema_markup_detected</t>
  </si>
  <si>
    <t>https://africanmarketingconfederation.org/amc-launch-event-zambia-thank-you-2026/::aioseo_no_schema_markup_detected</t>
  </si>
  <si>
    <t>https://africanmarketingconfederation.org/amc-marketing-conference-2024/::aioseo_no_schema_markup_detected</t>
  </si>
  <si>
    <t>https://africanmarketingconfederation.org/amc-marketing-conference-2024/amc-conference-2025-ghana-sponsors/::aioseo_no_schema_markup_detected</t>
  </si>
  <si>
    <t>https://africanmarketingconfederation.org/amc-marketing-conference-2024/amc-launch-event-2025/::aioseo_no_schema_markup_detected</t>
  </si>
  <si>
    <t>https://africanmarketingconfederation.org/amc-marketing-conference-2024/amc-preregister-2025/::aioseo_no_schema_markup_detected</t>
  </si>
  <si>
    <t>https://africanmarketingconfederation.org/amc-marketing-conference-2024/amc-programme-2025/::aioseo_no_schema_markup_detected</t>
  </si>
  <si>
    <t>https://africanmarketingconfederation.org/amc-marketing-conference-2024/amc-speakers-presentations-2024/::aioseo_no_schema_markup_detected</t>
  </si>
  <si>
    <t>https://africanmarketingconfederation.org/amc-marketing-conference-2024/awards-2025/::aioseo_no_schema_markup_detected</t>
  </si>
  <si>
    <t>https://africanmarketingconfederation.org/amc-marketing-conference-2024/programme-2024/::aioseo_no_schema_markup_detected</t>
  </si>
  <si>
    <t>https://africanmarketingconfederation.org/amc-marketing-conference-2024/speakers-2024/::aioseo_no_schema_markup_detected</t>
  </si>
  <si>
    <t>https://africanmarketingconfederation.org/amc-marketing-conference-2024/testimony-thank-you-page/::aioseo_no_schema_markup_detected</t>
  </si>
  <si>
    <t>https://africanmarketingconfederation.org/amc-masterclass-bookings/::aioseo_no_schema_markup_detected</t>
  </si>
  <si>
    <t>https://africanmarketingconfederation.org/amc-masterclass-thank-you/::aioseo_no_schema_markup_detected</t>
  </si>
  <si>
    <t>https://africanmarketingconfederation.org/amc-masterclass/::aioseo_no_schema_markup_detected</t>
  </si>
  <si>
    <t>https://africanmarketingconfederation.org/amc-relaunch-programme/::aioseo_no_schema_markup_detected</t>
  </si>
  <si>
    <t>https://africanmarketingconfederation.org/amc-sign-up-now-form-2025/::aioseo_no_schema_markup_detected</t>
  </si>
  <si>
    <t>https://africanmarketingconfederation.org/amc-sponsors-2025/::aioseo_no_schema_markup_detected</t>
  </si>
  <si>
    <t>https://africanmarketingconfederation.org/amc-testimony-page-2024/::aioseo_no_schema_markup_detected</t>
  </si>
  <si>
    <t>https://africanmarketingconfederation.org/awards-2026-1/::aioseo_no_schema_markup_detected</t>
  </si>
  <si>
    <t>https://africanmarketingconfederation.org/awards-2026-test/::aioseo_no_schema_markup_detected</t>
  </si>
  <si>
    <t>https://africanmarketingconfederation.org/awards-2026/::aioseo_no_schema_markup_detected</t>
  </si>
  <si>
    <t>https://africanmarketingconfederation.org/certified-professional-marketer-africa/::aioseo_no_schema_markup_detected</t>
  </si>
  <si>
    <t>https://africanmarketingconfederation.org/chartered-marketer-africa-final-submission-fee/::aioseo_no_schema_markup_detected</t>
  </si>
  <si>
    <t>https://africanmarketingconfederation.org/chartered-marketer-africa-programme-fee/::aioseo_no_schema_markup_detected</t>
  </si>
  <si>
    <t>https://africanmarketingconfederation.org/chartered-marketer-africa-thank-you/::aioseo_no_schema_markup_detected</t>
  </si>
  <si>
    <t>https://africanmarketingconfederation.org/chartered-marketer-africa/::aioseo_no_schema_markup_detected</t>
  </si>
  <si>
    <t>https://africanmarketingconfederation.org/checkout/::aioseo_no_schema_markup_detected</t>
  </si>
  <si>
    <t>https://africanmarketingconfederation.org/conference-faq-2025/::aioseo_no_schema_markup_detected</t>
  </si>
  <si>
    <t>https://africanmarketingconfederation.org/conference-registrations-2024/::aioseo_no_schema_markup_detected</t>
  </si>
  <si>
    <t>https://africanmarketingconfederation.org/contact-us/::aioseo_no_schema_markup_detected</t>
  </si>
  <si>
    <t>https://africanmarketingconfederation.org/download-brochure/::aioseo_no_schema_markup_detected</t>
  </si>
  <si>
    <t>https://africanmarketingconfederation.org/download-prospectus-2024/::aioseo_no_schema_markup_detected</t>
  </si>
  <si>
    <t>https://africanmarketingconfederation.org/education/::aioseo_no_schema_markup_detected</t>
  </si>
  <si>
    <t>https://africanmarketingconfederation.org/elementor-16548/::aioseo_no_schema_markup_detected</t>
  </si>
  <si>
    <t>https://africanmarketingconfederation.org/elementor-20341/::aioseo_no_schema_markup_detected</t>
  </si>
  <si>
    <t>https://africanmarketingconfederation.org/elementor-31820/::aioseo_no_schema_markup_detected</t>
  </si>
  <si>
    <t>https://africanmarketingconfederation.org/general-enquiry-form-thank-you/::aioseo_no_schema_markup_detected</t>
  </si>
  <si>
    <t>https://africanmarketingconfederation.org/launch-event-2026-amc-conference/::aioseo_no_schema_markup_detected</t>
  </si>
  <si>
    <t>https://africanmarketingconfederation.org/members/::aioseo_no_schema_markup_detected</t>
  </si>
  <si>
    <t>https://africanmarketingconfederation.org/news-articles/::aioseo_no_schema_markup_detected</t>
  </si>
  <si>
    <t>https://africanmarketingconfederation.org/privacy-policy/::aioseo_no_schema_markup_detected</t>
  </si>
  <si>
    <t>https://africanmarketingconfederation.org/publication-download-list/::aioseo_no_schema_markup_detected</t>
  </si>
  <si>
    <t>https://africanmarketingconfederation.org/publications-2/::aioseo_no_schema_markup_detected</t>
  </si>
  <si>
    <t>https://africanmarketingconfederation.org/speakers-2025/::aioseo_no_schema_markup_detected</t>
  </si>
  <si>
    <t>https://africanmarketingconfederation.org/speakers/::aioseo_no_schema_markup_detected</t>
  </si>
  <si>
    <t>https://africanmarketingconfederation.org/sub-committees/::aioseo_no_schema_markup_detected</t>
  </si>
  <si>
    <t>https://africanmarketingconfederation.org/subscribe/::aioseo_no_schema_markup_detected</t>
  </si>
  <si>
    <t>https://africanmarketingconfederation.org/test-homeslider/::aioseo_no_schema_markup_detected</t>
  </si>
  <si>
    <t>https://africanmarketingconfederation.org/test-payment-gate/::aioseo_no_schema_markup_detected</t>
  </si>
  <si>
    <t>https://africanmarketingconfederation.org/thank-you-for-registering-2024-registrations-kenya/::aioseo_no_schema_markup_detected</t>
  </si>
  <si>
    <t>https://africanmarketingconfederation.org/thank-you-for-registering-2024-registrations/::aioseo_no_schema_markup_detected</t>
  </si>
  <si>
    <t>https://africanmarketingconfederation.org/thank-you-for-subscribing/::aioseo_no_schema_markup_detected</t>
  </si>
  <si>
    <t>https://africanmarketingconfederation.org/thank-you-for-the-nomination-2024/::aioseo_no_schema_markup_detected</t>
  </si>
  <si>
    <t>https://africanmarketingconfederation.org/thank-you-for-the-submission-2024/::aioseo_no_schema_markup_detected</t>
  </si>
  <si>
    <t>https://africanmarketingconfederation.org/upcoming-events/::aioseo_no_schema_markup_detected</t>
  </si>
  <si>
    <t>https://africanmarketingconfederation.org/virtual-programme/::aioseo_no_schema_markup_detected</t>
  </si>
  <si>
    <t>Missing SEO title</t>
  </si>
  <si>
    <t>40-60 characters</t>
  </si>
  <si>
    <t>In AIOSEO snippet settings, add a unique SEO title with the primary topic near the beginning.</t>
  </si>
  <si>
    <t>https://africanmarketingconfederation.org/amc-conference-sponsors/::aioseo_missing_seo_title</t>
  </si>
  <si>
    <t>Titles are a core relevance and CTR signal.</t>
  </si>
  <si>
    <t>https://africanmarketingconfederation.org/amc-marketing-conference-2024/speakers-2024/::aioseo_missing_seo_title</t>
  </si>
  <si>
    <t>No internal links found</t>
  </si>
  <si>
    <t>&gt;=2 relevant internal links</t>
  </si>
  <si>
    <t>Add contextual internal links from and to related pages using descriptive anchor text.</t>
  </si>
  <si>
    <t>https://africanmarketingconfederation.org/::aioseo_no_internal_links_found</t>
  </si>
  <si>
    <t>Internal links help discovery, topical signals, and authority flow.</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</si>
  <si>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</si>
  <si>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</si>
  <si>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</si>
  <si>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</si>
  <si>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https://africanmarketingconfederation.org/about-us/::aioseo_no_internal_links_found</t>
  </si>
  <si>
    <t>https://africanmarketingconfederation.org/african-marketing-confederation-tourism-chapter/::aioseo_meta_description_too_long</t>
  </si>
  <si>
    <t>https://africanmarketingconfederation.org/african-marketing-confederation-tourism-chapter/::aioseo_no_internal_links_found</t>
  </si>
  <si>
    <t>https://africanmarketingconfederation.org/amc-awards-2024/::aioseo_meta_description_too_long</t>
  </si>
  <si>
    <t>https://africanmarketingconfederation.org/amc-awards-2024/::aioseo_no_internal_links_found</t>
  </si>
  <si>
    <t>https://africanmarketingconfederation.org/amc-conference-2022-prospectus/::aioseo_meta_description_too_long</t>
  </si>
  <si>
    <t>https://africanmarketingconfederation.org/amc-conference-2022-prospectus/::aioseo_no_internal_links_found</t>
  </si>
  <si>
    <t>https://africanmarketingconfederation.org/amc-conference-2022-thank-you/::aioseo_meta_description_too_long</t>
  </si>
  <si>
    <t>https://africanmarketingconfederation.org/amc-conference-2022-thank-you/::aioseo_no_internal_links_found</t>
  </si>
  <si>
    <t>https://africanmarketingconfederation.org/amc-conference-2022/::aioseo_meta_description_too_long</t>
  </si>
  <si>
    <t>https://africanmarketingconfederation.org/amc-conference-2022/::aioseo_no_internal_links_found</t>
  </si>
  <si>
    <t>https://africanmarketingconfederation.org/amc-conference-2023/::aioseo_meta_description_too_long</t>
  </si>
  <si>
    <t>https://africanmarketingconfederation.org/amc-conference-2023/::aioseo_no_internal_links_found</t>
  </si>
  <si>
    <t>https://africanmarketingconfederation.org/amc-conference-2023/amc-awards-book-now/::aioseo_no_internal_links_found</t>
  </si>
  <si>
    <t>https://africanmarketingconfederation.org/amc-conference-2023/amc-awards/::aioseo_meta_description_too_long</t>
  </si>
  <si>
    <t>https://africanmarketingconfederation.org/amc-conference-2023/amc-awards/::aioseo_no_internal_links_found</t>
  </si>
  <si>
    <t>https://africanmarketingconfederation.org/amc-conference-2023/book-now-thank-you/::aioseo_meta_description_too_long</t>
  </si>
  <si>
    <t>https://africanmarketingconfederation.org/amc-conference-2023/book-now-thank-you/::aioseo_no_internal_links_found</t>
  </si>
  <si>
    <t>https://africanmarketingconfederation.org/amc-conference-2023/book-now/::aioseo_meta_description_too_long</t>
  </si>
  <si>
    <t>https://africanmarketingconfederation.org/amc-conference-2023/book-now/::aioseo_no_internal_links_found</t>
  </si>
  <si>
    <t>https://africanmarketingconfederation.org/amc-conference-2023/download-prospectus/::aioseo_meta_description_too_long</t>
  </si>
  <si>
    <t>https://africanmarketingconfederation.org/amc-conference-2023/download-prospectus/::aioseo_no_internal_links_found</t>
  </si>
  <si>
    <t>Meta description too short</t>
  </si>
  <si>
    <t>Expand meta description in AIOSEO to include key value points and intent terms naturally.</t>
  </si>
  <si>
    <t>https://africanmarketingconfederation.org/amc-conference-2023/gallery/::aioseo_meta_description_too_short</t>
  </si>
  <si>
    <t>Short descriptions can under-communicate relevance and value.</t>
  </si>
  <si>
    <t>https://africanmarketingconfederation.org/amc-conference-2023/gallery/::aioseo_no_internal_links_found</t>
  </si>
  <si>
    <t>https://africanmarketingconfederation.org/amc-conference-2023/partners/::aioseo_meta_description_too_short</t>
  </si>
  <si>
    <t>https://africanmarketingconfederation.org/amc-conference-2023/partners/::aioseo_no_internal_links_found</t>
  </si>
  <si>
    <t>https://africanmarketingconfederation.org/amc-conference-2023/programme/::aioseo_meta_description_too_long</t>
  </si>
  <si>
    <t>https://africanmarketingconfederation.org/amc-conference-2023/programme/::aioseo_no_internal_links_found</t>
  </si>
  <si>
    <t>https://africanmarketingconfederation.org/amc-conference-2023/speakers/::aioseo_meta_description_too_long</t>
  </si>
  <si>
    <t>https://africanmarketingconfederation.org/amc-conference-2023/speakers/::aioseo_no_internal_links_found</t>
  </si>
  <si>
    <t>https://africanmarketingconfederation.org/amc-conference-2024-recap/::aioseo_meta_description_too_long</t>
  </si>
  <si>
    <t>https://africanmarketingconfederation.org/amc-conference-2024-recap/::aioseo_no_internal_links_found</t>
  </si>
  <si>
    <t>https://africanmarketingconfederation.org/amc-conference-2024-sponsors-packages/::aioseo_meta_description_too_long</t>
  </si>
  <si>
    <t>https://africanmarketingconfederation.org/amc-conference-2024-sponsors-packages/::aioseo_no_internal_links_found</t>
  </si>
  <si>
    <t>https://africanmarketingconfederation.org/amc-conference-2025-highlights/::aioseo_meta_description_too_long</t>
  </si>
  <si>
    <t>https://africanmarketingconfederation.org/amc-conference-2025-highlights/::aioseo_no_internal_links_found</t>
  </si>
  <si>
    <t>https://africanmarketingconfederation.org/amc-conference-2025/::aioseo_no_internal_links_found</t>
  </si>
  <si>
    <t>https://africanmarketingconfederation.org/amc-conference-2026-awards-nominations-thank-you/::aioseo_meta_description_too_long</t>
  </si>
  <si>
    <t>https://africanmarketingconfederation.org/amc-conference-2026-awards-nominations-thank-you/::aioseo_no_internal_links_found</t>
  </si>
  <si>
    <t>https://africanmarketingconfederation.org/amc-conference-2026-zambia-thank-you/::aioseo_meta_description_too_long</t>
  </si>
  <si>
    <t>https://africanmarketingconfederation.org/amc-conference-2026-zambia-thank-you/::aioseo_no_internal_links_found</t>
  </si>
  <si>
    <t>https://africanmarketingconfederation.org/amc-conference-2026/::aioseo_meta_description_too_long</t>
  </si>
  <si>
    <t>https://africanmarketingconfederation.org/amc-conference-2026/::aioseo_no_internal_links_found</t>
  </si>
  <si>
    <t>https://africanmarketingconfederation.org/amc-conference-programme/::aioseo_meta_description_too_long</t>
  </si>
  <si>
    <t>https://africanmarketingconfederation.org/amc-conference-programme/::aioseo_no_internal_links_found</t>
  </si>
  <si>
    <t>https://africanmarketingconfederation.org/amc-conference-sponsors/::aioseo_no_internal_links_found</t>
  </si>
  <si>
    <t>https://africanmarketingconfederation.org/amc-conference-thank-you/::aioseo_meta_description_too_long</t>
  </si>
  <si>
    <t>https://africanmarketingconfederation.org/amc-conference-thank-you/::aioseo_no_internal_links_found</t>
  </si>
  <si>
    <t>https://africanmarketingconfederation.org/amc-forum-mombasa/::aioseo_meta_description_too_long</t>
  </si>
  <si>
    <t>https://africanmarketingconfederation.org/amc-forum-mombasa/::aioseo_no_internal_links_found</t>
  </si>
  <si>
    <t>https://africanmarketingconfederation.org/amc-forum-payments/::aioseo_meta_description_too_long</t>
  </si>
  <si>
    <t>https://africanmarketingconfederation.org/amc-forum-payments/::aioseo_no_internal_links_found</t>
  </si>
  <si>
    <t>https://africanmarketingconfederation.org/amc-launch-event-zambia-thank-you-2026/::aioseo_meta_description_too_long</t>
  </si>
  <si>
    <t>https://africanmarketingconfederation.org/amc-launch-event-zambia-thank-you-2026/::aioseo_no_internal_links_found</t>
  </si>
  <si>
    <t>https://africanmarketingconfederation.org/amc-marketing-conference-2024/::aioseo_meta_description_too_long</t>
  </si>
  <si>
    <t>https://africanmarketingconfederation.org/amc-marketing-conference-2024/::aioseo_no_internal_links_found</t>
  </si>
  <si>
    <t>https://africanmarketingconfederation.org/amc-marketing-conference-2024/amc-conference-2025-ghana-sponsors/::aioseo_meta_description_too_long</t>
  </si>
  <si>
    <t>https://africanmarketingconfederation.org/amc-marketing-conference-2024/amc-conference-2025-ghana-sponsors/::aioseo_no_internal_links_found</t>
  </si>
  <si>
    <t>https://africanmarketingconfederation.org/amc-marketing-conference-2024/amc-launch-event-2025/::aioseo_meta_description_too_long</t>
  </si>
  <si>
    <t>https://africanmarketingconfederation.org/amc-marketing-conference-2024/amc-launch-event-2025/::aioseo_no_internal_links_found</t>
  </si>
  <si>
    <t>https://africanmarketingconfederation.org/amc-marketing-conference-2024/amc-preregister-2025/::aioseo_meta_description_too_long</t>
  </si>
  <si>
    <t>https://africanmarketingconfederation.org/amc-marketing-conference-2024/amc-preregister-2025/::aioseo_no_internal_links_found</t>
  </si>
  <si>
    <t>https://africanmarketingconfederation.org/amc-marketing-conference-2024/amc-programme-2025/::aioseo_no_internal_links_found</t>
  </si>
  <si>
    <t>https://africanmarketingconfederation.org/amc-marketing-conference-2024/amc-speakers-presentations-2024/::aioseo_meta_description_too_long</t>
  </si>
  <si>
    <t>https://africanmarketingconfederation.org/amc-marketing-conference-2024/amc-speakers-presentations-2024/::aioseo_no_internal_links_found</t>
  </si>
  <si>
    <t>https://africanmarketingconfederation.org/amc-marketing-conference-2024/awards-2025/::aioseo_meta_description_too_long</t>
  </si>
  <si>
    <t>https://africanmarketingconfederation.org/amc-marketing-conference-2024/awards-2025/::aioseo_no_internal_links_found</t>
  </si>
  <si>
    <t>https://africanmarketingconfederation.org/amc-marketing-conference-2024/programme-2024/::aioseo_meta_description_too_long</t>
  </si>
  <si>
    <t>https://africanmarketingconfederation.org/amc-marketing-conference-2024/programme-2024/::aioseo_no_internal_links_found</t>
  </si>
  <si>
    <t>https://africanmarketingconfederation.org/amc-marketing-conference-2024/speakers-2024/::aioseo_no_internal_links_found</t>
  </si>
  <si>
    <t>https://africanmarketingconfederation.org/amc-marketing-conference-2024/testimony-thank-you-page/::aioseo_meta_description_too_long</t>
  </si>
  <si>
    <t>https://africanmarketingconfederation.org/amc-marketing-conference-2024/testimony-thank-you-page/::aioseo_no_internal_links_found</t>
  </si>
  <si>
    <t>https://africanmarketingconfederation.org/amc-masterclass-bookings/::aioseo_no_internal_links_found</t>
  </si>
  <si>
    <t>https://africanmarketingconfederation.org/amc-masterclass-thank-you/::aioseo_meta_description_too_short</t>
  </si>
  <si>
    <t>https://africanmarketingconfederation.org/amc-masterclass-thank-you/::aioseo_no_internal_links_found</t>
  </si>
  <si>
    <t>https://africanmarketingconfederation.org/amc-masterclass/::aioseo_meta_description_too_long</t>
  </si>
  <si>
    <t>https://africanmarketingconfederation.org/amc-masterclass/::aioseo_no_internal_links_found</t>
  </si>
  <si>
    <t>https://africanmarketingconfederation.org/amc-relaunch-programme/::aioseo_meta_description_too_long</t>
  </si>
  <si>
    <t>https://africanmarketingconfederation.org/amc-relaunch-programme/::aioseo_no_internal_links_found</t>
  </si>
  <si>
    <t>https://africanmarketingconfederation.org/amc-sign-up-now-form-2025/::aioseo_meta_description_too_long</t>
  </si>
  <si>
    <t>https://africanmarketingconfederation.org/amc-sign-up-now-form-2025/::aioseo_no_internal_links_found</t>
  </si>
  <si>
    <t>https://africanmarketingconfederation.org/amc-sponsors-2025/::aioseo_meta_description_too_long</t>
  </si>
  <si>
    <t>https://africanmarketingconfederation.org/amc-sponsors-2025/::aioseo_no_internal_links_found</t>
  </si>
  <si>
    <t>https://africanmarketingconfederation.org/amc-testimony-page-2024/::aioseo_meta_description_too_long</t>
  </si>
  <si>
    <t>https://africanmarketingconfederation.org/amc-testimony-page-2024/::aioseo_no_internal_links_found</t>
  </si>
  <si>
    <t>https://africanmarketingconfederation.org/awards-2026-1/::aioseo_no_internal_links_found</t>
  </si>
  <si>
    <t>https://africanmarketingconfederation.org/awards-2026-test/::aioseo_meta_description_too_long</t>
  </si>
  <si>
    <t>https://africanmarketingconfederation.org/awards-2026-test/::aioseo_no_internal_links_found</t>
  </si>
  <si>
    <t>https://africanmarketingconfederation.org/awards-2026/::aioseo_no_internal_links_found</t>
  </si>
  <si>
    <t>https://africanmarketingconfederation.org/certified-professional-marketer-africa/::aioseo_meta_description_too_long</t>
  </si>
  <si>
    <t>https://africanmarketingconfederation.org/certified-professional-marketer-africa/::aioseo_no_internal_links_found</t>
  </si>
  <si>
    <t>https://africanmarketingconfederation.org/chartered-marketer-africa-final-submission-fee/::aioseo_meta_description_too_long</t>
  </si>
  <si>
    <t>https://africanmarketingconfederation.org/chartered-marketer-africa-final-submission-fee/::aioseo_no_internal_links_found</t>
  </si>
  <si>
    <t>https://africanmarketingconfederation.org/chartered-marketer-africa-programme-fee/::aioseo_meta_description_too_long</t>
  </si>
  <si>
    <t>https://africanmarketingconfederation.org/chartered-marketer-africa-programme-fee/::aioseo_no_internal_links_found</t>
  </si>
  <si>
    <t>https://africanmarketingconfederation.org/chartered-marketer-africa-thank-you/::aioseo_meta_description_too_short</t>
  </si>
  <si>
    <t>https://africanmarketingconfederation.org/chartered-marketer-africa-thank-you/::aioseo_no_internal_links_found</t>
  </si>
  <si>
    <t>https://africanmarketingconfederation.org/chartered-marketer-africa/::aioseo_no_internal_links_found</t>
  </si>
  <si>
    <t>https://africanmarketingconfederation.org/checkout/::aioseo_meta_description_too_short</t>
  </si>
  <si>
    <t>https://africanmarketingconfederation.org/checkout/::aioseo_no_internal_links_found</t>
  </si>
  <si>
    <t>https://africanmarketingconfederation.org/conference-faq-2025/::aioseo_no_internal_links_found</t>
  </si>
  <si>
    <t>https://africanmarketingconfederation.org/conference-registrations-2024/::aioseo_meta_description_too_long</t>
  </si>
  <si>
    <t>https://africanmarketingconfederation.org/conference-registrations-2024/::aioseo_no_internal_links_found</t>
  </si>
  <si>
    <t>https://africanmarketingconfederation.org/contact-us/::aioseo_meta_description_too_short</t>
  </si>
  <si>
    <t>https://africanmarketingconfederation.org/contact-us/::aioseo_no_internal_links_found</t>
  </si>
  <si>
    <t>https://africanmarketingconfederation.org/download-brochure/::aioseo_meta_description_too_short</t>
  </si>
  <si>
    <t>https://africanmarketingconfederation.org/download-brochure/::aioseo_no_internal_links_found</t>
  </si>
  <si>
    <t>https://africanmarketingconfederation.org/download-prospectus-2024/::aioseo_meta_description_too_short</t>
  </si>
  <si>
    <t>https://africanmarketingconfederation.org/download-prospectus-2024/::aioseo_no_internal_links_found</t>
  </si>
  <si>
    <t>https://africanmarketingconfederation.org/education/::aioseo_meta_description_too_long</t>
  </si>
  <si>
    <t>https://africanmarketingconfederation.org/education/::aioseo_no_internal_links_found</t>
  </si>
  <si>
    <t>https://africanmarketingconfederation.org/elementor-16548/::aioseo_meta_description_too_long</t>
  </si>
  <si>
    <t>https://africanmarketingconfederation.org/elementor-16548/::aioseo_no_internal_links_found</t>
  </si>
  <si>
    <t>https://africanmarketingconfederation.org/elementor-20341/::aioseo_no_internal_links_found</t>
  </si>
  <si>
    <t>https://africanmarketingconfederation.org/elementor-31820/::aioseo_meta_description_too_long</t>
  </si>
  <si>
    <t>https://africanmarketingconfederation.org/elementor-31820/::aioseo_no_internal_links_found</t>
  </si>
  <si>
    <t>https://africanmarketingconfederation.org/general-enquiry-form-thank-you/::aioseo_no_internal_links_found</t>
  </si>
  <si>
    <t>https://africanmarketingconfederation.org/launch-event-2026-amc-conference/::aioseo_meta_description_too_long</t>
  </si>
  <si>
    <t>https://africanmarketingconfederation.org/launch-event-2026-amc-conference/::aioseo_no_internal_links_found</t>
  </si>
  <si>
    <t>https://africanmarketingconfederation.org/members/::aioseo_meta_description_too_long</t>
  </si>
  <si>
    <t>https://africanmarketingconfederation.org/members/::aioseo_no_internal_links_found</t>
  </si>
  <si>
    <t>https://africanmarketingconfederation.org/news-articles/::aioseo_no_internal_links_found</t>
  </si>
  <si>
    <t>https://africanmarketingconfederation.org/privacy-policy/::aioseo_meta_description_too_long</t>
  </si>
  <si>
    <t>https://africanmarketingconfederation.org/privacy-policy/::aioseo_no_internal_links_found</t>
  </si>
  <si>
    <t>https://africanmarketingconfederation.org/publication-download-list/::aioseo_meta_description_too_long</t>
  </si>
  <si>
    <t>https://africanmarketingconfederation.org/publication-download-list/::aioseo_no_internal_links_found</t>
  </si>
  <si>
    <t>https://africanmarketingconfederation.org/publications-2/::aioseo_no_internal_links_found</t>
  </si>
  <si>
    <t>https://africanmarketingconfederation.org/speakers-2025/::aioseo_no_internal_links_found</t>
  </si>
  <si>
    <t>https://africanmarketingconfederation.org/speakers/::aioseo_meta_description_too_long</t>
  </si>
  <si>
    <t>https://africanmarketingconfederation.org/speakers/::aioseo_no_internal_links_found</t>
  </si>
  <si>
    <t>https://africanmarketingconfederation.org/sub-committees/::aioseo_meta_description_too_long</t>
  </si>
  <si>
    <t>https://africanmarketingconfederation.org/sub-committees/::aioseo_no_internal_links_found</t>
  </si>
  <si>
    <t>https://africanmarketingconfederation.org/subscribe/::aioseo_meta_description_too_long</t>
  </si>
  <si>
    <t>https://africanmarketingconfederation.org/subscribe/::aioseo_no_internal_links_found</t>
  </si>
  <si>
    <t>https://africanmarketingconfederation.org/test-homeslider/::aioseo_meta_description_too_long</t>
  </si>
  <si>
    <t>https://africanmarketingconfederation.org/test-homeslider/::aioseo_no_internal_links_found</t>
  </si>
  <si>
    <t>https://africanmarketingconfederation.org/test-payment-gate/::aioseo_meta_description_too_long</t>
  </si>
  <si>
    <t>https://africanmarketingconfederation.org/test-payment-gate/::aioseo_no_internal_links_found</t>
  </si>
  <si>
    <t>https://africanmarketingconfederation.org/thank-you-for-registering-2024-registrations-kenya/::aioseo_meta_description_too_short</t>
  </si>
  <si>
    <t>https://africanmarketingconfederation.org/thank-you-for-registering-2024-registrations-kenya/::aioseo_no_internal_links_found</t>
  </si>
  <si>
    <t>https://africanmarketingconfederation.org/thank-you-for-registering-2024-registrations/::aioseo_meta_description_too_long</t>
  </si>
  <si>
    <t>https://africanmarketingconfederation.org/thank-you-for-registering-2024-registrations/::aioseo_no_internal_links_found</t>
  </si>
  <si>
    <t>https://africanmarketingconfederation.org/thank-you-for-subscribing/::aioseo_meta_description_too_long</t>
  </si>
  <si>
    <t>https://africanmarketingconfederation.org/thank-you-for-subscribing/::aioseo_no_internal_links_found</t>
  </si>
  <si>
    <t>https://africanmarketingconfederation.org/thank-you-for-the-nomination-2024/::aioseo_meta_description_too_short</t>
  </si>
  <si>
    <t>https://africanmarketingconfederation.org/thank-you-for-the-nomination-2024/::aioseo_no_internal_links_found</t>
  </si>
  <si>
    <t>https://africanmarketingconfederation.org/thank-you-for-the-submission-2024/::aioseo_meta_description_too_short</t>
  </si>
  <si>
    <t>https://africanmarketingconfederation.org/thank-you-for-the-submission-2024/::aioseo_no_internal_links_found</t>
  </si>
  <si>
    <t>https://africanmarketingconfederation.org/upcoming-events/::aioseo_meta_description_too_long</t>
  </si>
  <si>
    <t>https://africanmarketingconfederation.org/upcoming-events/::aioseo_no_internal_links_found</t>
  </si>
  <si>
    <t>https://africanmarketingconfederation.org/virtual-programme/::aioseo_meta_description_too_long</t>
  </si>
  <si>
    <t>https://africanmarketingconfederation.org/virtual-programme/::aioseo_no_internal_links_found</t>
  </si>
  <si>
    <t>No concise answer paragraph (40-60 words)</t>
  </si>
  <si>
    <t>&gt;=1 concise answer block</t>
  </si>
  <si>
    <t>Add a direct 40-60 word answer immediately below key question headings.</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</si>
  <si>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</si>
  <si>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</si>
  <si>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</si>
  <si>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</si>
  <si>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</si>
  <si>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</si>
  <si>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</si>
  <si>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https://africanmarketingconfederation.org/amc-conference-2022/::aioseo_no_concise_answer_paragraph_40-60_words_</t>
  </si>
  <si>
    <t>https://africanmarketingconfederation.org/amc-conference-2023/::aioseo_no_concise_answer_paragraph_40-60_words_</t>
  </si>
  <si>
    <t>https://africanmarketingconfederation.org/amc-conference-2023/amc-awards-book-now/::aioseo_no_concise_answer_paragraph_40-60_words_</t>
  </si>
  <si>
    <t>https://africanmarketingconfederation.org/amc-conference-2023/amc-awards/::aioseo_no_concise_answer_paragraph_40-60_words_</t>
  </si>
  <si>
    <t>https://africanmarketingconfederation.org/amc-conference-2023/book-now-thank-you/::aioseo_no_concise_answer_paragraph_40-60_words_</t>
  </si>
  <si>
    <t>https://africanmarketingconfederation.org/amc-conference-2023/book-now/::aioseo_no_concise_answer_paragraph_40-60_words_</t>
  </si>
  <si>
    <t>https://africanmarketingconfederation.org/amc-conference-2023/download-prospectus/::aioseo_no_concise_answer_paragraph_40-60_words_</t>
  </si>
  <si>
    <t>https://africanmarketingconfederation.org/amc-conference-2023/gallery/::aioseo_no_concise_answer_paragraph_40-60_words_</t>
  </si>
  <si>
    <t>https://africanmarketingconfederation.org/amc-conference-2023/partners/::aioseo_no_concise_answer_paragraph_40-60_words_</t>
  </si>
  <si>
    <t>https://africanmarketingconfederation.org/amc-conference-2023/programme/::aioseo_no_concise_answer_paragraph_40-60_words_</t>
  </si>
  <si>
    <t>https://africanmarketingconfederation.org/amc-conference-2023/speakers/::aioseo_no_concise_answer_paragraph_40-60_words_</t>
  </si>
  <si>
    <t>https://africanmarketingconfederation.org/amc-conference-2024-recap/::aioseo_no_concise_answer_paragraph_40-60_words_</t>
  </si>
  <si>
    <t>https://africanmarketingconfederation.org/amc-conference-2024-sponsors-packages/::aioseo_no_concise_answer_paragraph_40-60_words_</t>
  </si>
  <si>
    <t>https://africanmarketingconfederation.org/amc-conference-2025-highlights/::aioseo_no_concise_answer_paragraph_40-60_words_</t>
  </si>
  <si>
    <t>https://africanmarketingconfederation.org/amc-conference-2025/::aioseo_no_concise_answer_paragraph_40-60_words_</t>
  </si>
  <si>
    <t>https://africanmarketingconfederation.org/amc-conference-2026-awards-nominations-thank-you/::aioseo_no_concise_answer_paragraph_40-60_words_</t>
  </si>
  <si>
    <t>https://africanmarketingconfederation.org/amc-conference-2026-zambia-thank-you/::aioseo_no_concise_answer_paragraph_40-60_words_</t>
  </si>
  <si>
    <t>https://africanmarketingconfederation.org/amc-conference-2026/::aioseo_no_concise_answer_paragraph_40-60_words_</t>
  </si>
  <si>
    <t>https://africanmarketingconfederation.org/amc-conference-programme/::aioseo_no_concise_answer_paragraph_40-60_words_</t>
  </si>
  <si>
    <t>https://africanmarketingconfederation.org/amc-conference-sponsors/::aioseo_no_concise_answer_paragraph_40-60_words_</t>
  </si>
  <si>
    <t>https://africanmarketingconfederation.org/amc-conference-thank-you/::aioseo_no_concise_answer_paragraph_40-60_words_</t>
  </si>
  <si>
    <t>https://africanmarketingconfederation.org/amc-forum-mombasa/::aioseo_no_concise_answer_paragraph_40-60_words_</t>
  </si>
  <si>
    <t>https://africanmarketingconfederation.org/amc-forum-payments/::aioseo_no_concise_answer_paragraph_40-60_words_</t>
  </si>
  <si>
    <t>https://africanmarketingconfederation.org/amc-launch-event-zambia-thank-you-2026/::aioseo_no_concise_answer_paragraph_40-60_words_</t>
  </si>
  <si>
    <t>https://africanmarketingconfederation.org/amc-marketing-conference-2024/::aioseo_no_concise_answer_paragraph_40-60_words_</t>
  </si>
  <si>
    <t>https://africanmarketingconfederation.org/amc-marketing-conference-2024/amc-conference-2025-ghana-sponsors/::aioseo_no_concise_answer_paragraph_40-60_words_</t>
  </si>
  <si>
    <t>https://africanmarketingconfederation.org/amc-marketing-conference-2024/amc-launch-event-2025/::aioseo_no_concise_answer_paragraph_40-60_words_</t>
  </si>
  <si>
    <t>https://africanmarketingconfederation.org/amc-marketing-conference-2024/amc-preregister-2025/::aioseo_no_concise_answer_paragraph_40-60_words_</t>
  </si>
  <si>
    <t>https://africanmarketingconfederation.org/amc-marketing-conference-2024/amc-programme-2025/::aioseo_no_concise_answer_paragraph_40-60_words_</t>
  </si>
  <si>
    <t>https://africanmarketingconfederation.org/amc-marketing-conference-2024/amc-speakers-presentations-2024/::aioseo_no_concise_answer_paragraph_40-60_words_</t>
  </si>
  <si>
    <t>https://africanmarketingconfederation.org/amc-marketing-conference-2024/awards-2025/::aioseo_no_concise_answer_paragraph_40-60_words_</t>
  </si>
  <si>
    <t>https://africanmarketingconfederation.org/amc-marketing-conference-2024/programme-2024/::aioseo_no_concise_answer_paragraph_40-60_words_</t>
  </si>
  <si>
    <t>https://africanmarketingconfederation.org/amc-marketing-conference-2024/speakers-2024/::aioseo_no_concise_answer_paragraph_40-60_words_</t>
  </si>
  <si>
    <t>https://africanmarketingconfederation.org/amc-marketing-conference-2024/testimony-thank-you-page/::aioseo_no_concise_answer_paragraph_40-60_words_</t>
  </si>
  <si>
    <t>https://africanmarketingconfederation.org/amc-masterclass-bookings/::aioseo_no_concise_answer_paragraph_40-60_words_</t>
  </si>
  <si>
    <t>https://africanmarketingconfederation.org/amc-masterclass-thank-you/::aioseo_no_concise_answer_paragraph_40-60_words_</t>
  </si>
  <si>
    <t>https://africanmarketingconfederation.org/amc-masterclass/::aioseo_no_concise_answer_paragraph_40-60_words_</t>
  </si>
  <si>
    <t>https://africanmarketingconfederation.org/amc-relaunch-programme/::aioseo_no_concise_answer_paragraph_40-60_words_</t>
  </si>
  <si>
    <t>https://africanmarketingconfederation.org/amc-sign-up-now-form-2025/::aioseo_no_concise_answer_paragraph_40-60_words_</t>
  </si>
  <si>
    <t>https://africanmarketingconfederation.org/amc-sponsors-2025/::aioseo_no_concise_answer_paragraph_40-60_words_</t>
  </si>
  <si>
    <t>https://africanmarketingconfederation.org/amc-testimony-page-2024/::aioseo_no_concise_answer_paragraph_40-60_words_</t>
  </si>
  <si>
    <t>https://africanmarketingconfederation.org/awards-2026-1/::aioseo_no_concise_answer_paragraph_40-60_words_</t>
  </si>
  <si>
    <t>https://africanmarketingconfederation.org/awards-2026-test/::aioseo_no_concise_answer_paragraph_40-60_words_</t>
  </si>
  <si>
    <t>https://africanmarketingconfederation.org/awards-2026/::aioseo_no_concise_answer_paragraph_40-60_words_</t>
  </si>
  <si>
    <t>https://africanmarketingconfederation.org/certified-professional-marketer-africa/::aioseo_no_concise_answer_paragraph_40-60_words_</t>
  </si>
  <si>
    <t>https://africanmarketingconfederation.org/chartered-marketer-africa-final-submission-fee/::aioseo_no_concise_answer_paragraph_40-60_words_</t>
  </si>
  <si>
    <t>https://africanmarketingconfederation.org/chartered-marketer-africa-programme-fee/::aioseo_no_concise_answer_paragraph_40-60_words_</t>
  </si>
  <si>
    <t>https://africanmarketingconfederation.org/chartered-marketer-africa-thank-you/::aioseo_no_concise_answer_paragraph_40-60_words_</t>
  </si>
  <si>
    <t>https://africanmarketingconfederation.org/chartered-marketer-africa/::aioseo_no_concise_answer_paragraph_40-60_words_</t>
  </si>
  <si>
    <t>https://africanmarketingconfederation.org/checkout/::aioseo_no_concise_answer_paragraph_40-60_words_</t>
  </si>
  <si>
    <t>https://africanmarketingconfederation.org/conference-faq-2025/::aioseo_no_concise_answer_paragraph_40-60_words_</t>
  </si>
  <si>
    <t>https://africanmarketingconfederation.org/conference-registrations-2024/::aioseo_no_concise_answer_paragraph_40-60_words_</t>
  </si>
  <si>
    <t>https://africanmarketingconfederation.org/contact-us/::aioseo_no_concise_answer_paragraph_40-60_words_</t>
  </si>
  <si>
    <t>https://africanmarketingconfederation.org/download-brochure/::aioseo_no_concise_answer_paragraph_40-60_words_</t>
  </si>
  <si>
    <t>https://africanmarketingconfederation.org/download-prospectus-2024/::aioseo_no_concise_answer_paragraph_40-60_words_</t>
  </si>
  <si>
    <t>https://africanmarketingconfederation.org/education/::aioseo_no_concise_answer_paragraph_40-60_words_</t>
  </si>
  <si>
    <t>https://africanmarketingconfederation.org/elementor-16548/::aioseo_no_concise_answer_paragraph_40-60_words_</t>
  </si>
  <si>
    <t>https://africanmarketingconfederation.org/elementor-20341/::aioseo_no_concise_answer_paragraph_40-60_words_</t>
  </si>
  <si>
    <t>https://africanmarketingconfederation.org/elementor-31820/::aioseo_no_concise_answer_paragraph_40-60_words_</t>
  </si>
  <si>
    <t>https://africanmarketingconfederation.org/general-enquiry-form-thank-you/::aioseo_no_concise_answer_paragraph_40-60_words_</t>
  </si>
  <si>
    <t>https://africanmarketingconfederation.org/launch-event-2026-amc-conference/::aioseo_no_concise_answer_paragraph_40-60_words_</t>
  </si>
  <si>
    <t>https://africanmarketingconfederation.org/members/::aioseo_no_concise_answer_paragraph_40-60_words_</t>
  </si>
  <si>
    <t>https://africanmarketingconfederation.org/news-articles/::aioseo_no_concise_answer_paragraph_40-60_words_</t>
  </si>
  <si>
    <t>https://africanmarketingconfederation.org/privacy-policy/::aioseo_no_concise_answer_paragraph_40-60_words_</t>
  </si>
  <si>
    <t>https://africanmarketingconfederation.org/publication-download-list/::aioseo_no_concise_answer_paragraph_40-60_words_</t>
  </si>
  <si>
    <t>https://africanmarketingconfederation.org/publications-2/::aioseo_no_concise_answer_paragraph_40-60_words_</t>
  </si>
  <si>
    <t>https://africanmarketingconfederation.org/speakers-2025/::aioseo_no_concise_answer_paragraph_40-60_words_</t>
  </si>
  <si>
    <t>https://africanmarketingconfederation.org/speakers/::aioseo_no_concise_answer_paragraph_40-60_words_</t>
  </si>
  <si>
    <t>https://africanmarketingconfederation.org/sub-committees/::aioseo_no_concise_answer_paragraph_40-60_words_</t>
  </si>
  <si>
    <t>https://africanmarketingconfederation.org/subscribe/::aioseo_no_concise_answer_paragraph_40-60_words_</t>
  </si>
  <si>
    <t>https://africanmarketingconfederation.org/test-homeslider/::aioseo_no_concise_answer_paragraph_40-60_words_</t>
  </si>
  <si>
    <t>https://africanmarketingconfederation.org/test-payment-gate/::aioseo_no_concise_answer_paragraph_40-60_words_</t>
  </si>
  <si>
    <t>https://africanmarketingconfederation.org/thank-you-for-registering-2024-registrations-kenya/::aioseo_no_concise_answer_paragraph_40-60_words_</t>
  </si>
  <si>
    <t>https://africanmarketingconfederation.org/thank-you-for-registering-2024-registrations/::aioseo_no_concise_answer_paragraph_40-60_words_</t>
  </si>
  <si>
    <t>https://africanmarketingconfederation.org/thank-you-for-subscribing/::aioseo_no_concise_answer_paragraph_40-60_words_</t>
  </si>
  <si>
    <t>https://africanmarketingconfederation.org/thank-you-for-the-nomination-2024/::aioseo_no_concise_answer_paragraph_40-60_words_</t>
  </si>
  <si>
    <t>https://africanmarketingconfederation.org/thank-you-for-the-submission-2024/::aioseo_no_concise_answer_paragraph_40-60_words_</t>
  </si>
  <si>
    <t>https://africanmarketingconfederation.org/upcoming-events/::aioseo_no_concise_answer_paragraph_40-60_words_</t>
  </si>
  <si>
    <t>https://africanmarketingconfederation.org/virtual-programme/::aioseo_no_concise_answer_paragraph_40-60_words_</t>
  </si>
  <si>
    <t>Multiple H1 headings</t>
  </si>
  <si>
    <t>Exactly 1 H1</t>
  </si>
  <si>
    <t>Keep one primary H1, convert remaining top-level headings to H2/H3 where appropriate.</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</si>
  <si>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</si>
  <si>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</si>
  <si>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</si>
  <si>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</si>
  <si>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</si>
  <si>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</si>
  <si>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</si>
  <si>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</si>
  <si>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</si>
  <si>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</si>
  <si>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</si>
  <si>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</si>
  <si>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</si>
  <si>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</si>
  <si>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https://africanmarketingconfederation.org/amc-conference-2022/::aioseo_no_question-style_headings</t>
  </si>
  <si>
    <t>https://africanmarketingconfederation.org/amc-conference-2023/::aioseo_no_question-style_headings</t>
  </si>
  <si>
    <t>https://africanmarketingconfederation.org/amc-conference-2023/amc-awards-book-now/::aioseo_no_question-style_headings</t>
  </si>
  <si>
    <t>https://africanmarketingconfederation.org/amc-conference-2023/amc-awards/::aioseo_no_question-style_headings</t>
  </si>
  <si>
    <t>https://africanmarketingconfederation.org/amc-conference-2023/book-now-thank-you/::aioseo_no_question-style_headings</t>
  </si>
  <si>
    <t>Low readability score</t>
  </si>
  <si>
    <t>&gt;=50</t>
  </si>
  <si>
    <t>Use shorter sentences/paragraphs, clearer transitions, and simpler phrasing in page content.</t>
  </si>
  <si>
    <t>https://africanmarketingconfederation.org/amc-conference-2023/book-now/::aioseo_low_readability_score</t>
  </si>
  <si>
    <t>Hard-to-read content lowers engagement and comprehension.</t>
  </si>
  <si>
    <t>https://africanmarketingconfederation.org/amc-conference-2023/book-now/::aioseo_no_question-style_headings</t>
  </si>
  <si>
    <t>https://africanmarketingconfederation.org/amc-conference-2023/download-prospectus/::aioseo_no_question-style_headings</t>
  </si>
  <si>
    <t>https://africanmarketingconfederation.org/amc-conference-2023/gallery/::aioseo_no_question-style_headings</t>
  </si>
  <si>
    <t>https://africanmarketingconfederation.org/amc-conference-2023/partners/::aioseo_no_question-style_headings</t>
  </si>
  <si>
    <t>https://africanmarketingconfederation.org/amc-conference-2023/programme/::aioseo_no_question-style_headings</t>
  </si>
  <si>
    <t>https://africanmarketingconfederation.org/amc-conference-2023/speakers/::aioseo_no_question-style_headings</t>
  </si>
  <si>
    <t>https://africanmarketingconfederation.org/amc-conference-2024-recap/::aioseo_multiple_h1_headings</t>
  </si>
  <si>
    <t>https://africanmarketingconfederation.org/amc-conference-2024-recap/::aioseo_no_question-style_headings</t>
  </si>
  <si>
    <t>https://africanmarketingconfederation.org/amc-conference-2024-sponsors-packages/::aioseo_no_question-style_headings</t>
  </si>
  <si>
    <t>https://africanmarketingconfederation.org/amc-conference-2025-highlights/::aioseo_multiple_h1_headings</t>
  </si>
  <si>
    <t>https://africanmarketingconfederation.org/amc-conference-2025-highlights/::aioseo_no_question-style_headings</t>
  </si>
  <si>
    <t>https://africanmarketingconfederation.org/amc-conference-2025/::aioseo_multiple_h1_headings</t>
  </si>
  <si>
    <t>https://africanmarketingconfederation.org/amc-conference-2025/::aioseo_no_question-style_headings</t>
  </si>
  <si>
    <t>https://africanmarketingconfederation.org/amc-conference-2026-awards-nominations-thank-you/::aioseo_multiple_h1_headings</t>
  </si>
  <si>
    <t>https://africanmarketingconfederation.org/amc-conference-2026-awards-nominations-thank-you/::aioseo_no_question-style_headings</t>
  </si>
  <si>
    <t>https://africanmarketingconfederation.org/amc-conference-2026-zambia-thank-you/::aioseo_multiple_h1_headings</t>
  </si>
  <si>
    <t>https://africanmarketingconfederation.org/amc-conference-2026-zambia-thank-you/::aioseo_no_question-style_headings</t>
  </si>
  <si>
    <t>https://africanmarketingconfederation.org/amc-conference-2026/::aioseo_no_question-style_headings</t>
  </si>
  <si>
    <t>https://africanmarketingconfederation.org/amc-conference-programme/::aioseo_no_question-style_headings</t>
  </si>
  <si>
    <t>https://africanmarketingconfederation.org/amc-conference-sponsors/::aioseo_no_question-style_headings</t>
  </si>
  <si>
    <t>https://africanmarketingconfederation.org/amc-conference-thank-you/::aioseo_no_question-style_headings</t>
  </si>
  <si>
    <t>https://africanmarketingconfederation.org/amc-forum-mombasa/::aioseo_no_question-style_headings</t>
  </si>
  <si>
    <t>https://africanmarketingconfederation.org/amc-forum-payments/::aioseo_no_question-style_headings</t>
  </si>
  <si>
    <t>https://africanmarketingconfederation.org/amc-launch-event-zambia-thank-you-2026/::aioseo_multiple_h1_headings</t>
  </si>
  <si>
    <t>https://africanmarketingconfederation.org/amc-launch-event-zambia-thank-you-2026/::aioseo_no_question-style_headings</t>
  </si>
  <si>
    <t>https://africanmarketingconfederation.org/amc-marketing-conference-2024/::aioseo_no_question-style_headings</t>
  </si>
  <si>
    <t>https://africanmarketingconfederation.org/amc-marketing-conference-2024/amc-conference-2025-ghana-sponsors/::aioseo_no_question-style_headings</t>
  </si>
  <si>
    <t>https://africanmarketingconfederation.org/amc-marketing-conference-2024/amc-launch-event-2025/::aioseo_no_question-style_headings</t>
  </si>
  <si>
    <t>https://africanmarketingconfederation.org/amc-marketing-conference-2024/amc-preregister-2025/::aioseo_no_question-style_headings</t>
  </si>
  <si>
    <t>https://africanmarketingconfederation.org/amc-marketing-conference-2024/amc-programme-2025/::aioseo_multiple_h1_headings</t>
  </si>
  <si>
    <t>https://africanmarketingconfederation.org/amc-marketing-conference-2024/amc-programme-2025/::aioseo_no_question-style_headings</t>
  </si>
  <si>
    <t>https://africanmarketingconfederation.org/amc-marketing-conference-2024/amc-speakers-presentations-2024/::aioseo_multiple_h1_headings</t>
  </si>
  <si>
    <t>https://africanmarketingconfederation.org/amc-marketing-conference-2024/amc-speakers-presentations-2024/::aioseo_no_question-style_headings</t>
  </si>
  <si>
    <t>https://africanmarketingconfederation.org/amc-marketing-conference-2024/awards-2025/::aioseo_no_question-style_headings</t>
  </si>
  <si>
    <t>https://africanmarketingconfederation.org/amc-marketing-conference-2024/programme-2024/::aioseo_no_question-style_headings</t>
  </si>
  <si>
    <t>https://africanmarketingconfederation.org/amc-marketing-conference-2024/speakers-2024/::aioseo_no_question-style_headings</t>
  </si>
  <si>
    <t>https://africanmarketingconfederation.org/amc-marketing-conference-2024/testimony-thank-you-page/::aioseo_multiple_h1_headings</t>
  </si>
  <si>
    <t>https://africanmarketingconfederation.org/amc-marketing-conference-2024/testimony-thank-you-page/::aioseo_no_question-style_headings</t>
  </si>
  <si>
    <t>https://africanmarketingconfederation.org/amc-masterclass-bookings/::aioseo_no_question-style_headings</t>
  </si>
  <si>
    <t>https://africanmarketingconfederation.org/amc-masterclass-thank-you/::aioseo_no_question-style_headings</t>
  </si>
  <si>
    <t>https://africanmarketingconfederation.org/amc-masterclass/::aioseo_no_question-style_headings</t>
  </si>
  <si>
    <t>https://africanmarketingconfederation.org/amc-relaunch-programme/::aioseo_no_question-style_headings</t>
  </si>
  <si>
    <t>https://africanmarketingconfederation.org/amc-sign-up-now-form-2025/::aioseo_no_question-style_headings</t>
  </si>
  <si>
    <t>https://africanmarketingconfederation.org/amc-sponsors-2025/::aioseo_no_question-style_headings</t>
  </si>
  <si>
    <t>https://africanmarketingconfederation.org/amc-testimony-page-2024/::aioseo_no_question-style_headings</t>
  </si>
  <si>
    <t>https://africanmarketingconfederation.org/awards-2026-1/::aioseo_multiple_h1_headings</t>
  </si>
  <si>
    <t>https://africanmarketingconfederation.org/awards-2026-1/::aioseo_no_question-style_headings</t>
  </si>
  <si>
    <t>https://africanmarketingconfederation.org/awards-2026-test/::aioseo_multiple_h1_headings</t>
  </si>
  <si>
    <t>https://africanmarketingconfederation.org/awards-2026-test/::aioseo_no_question-style_headings</t>
  </si>
  <si>
    <t>https://africanmarketingconfederation.org/awards-2026/::aioseo_multiple_h1_headings</t>
  </si>
  <si>
    <t>https://africanmarketingconfederation.org/awards-2026/::aioseo_no_question-style_headings</t>
  </si>
  <si>
    <t>https://africanmarketingconfederation.org/certified-professional-marketer-africa/::aioseo_no_question-style_headings</t>
  </si>
  <si>
    <t>https://africanmarketingconfederation.org/chartered-marketer-africa-final-submission-fee/::aioseo_no_question-style_headings</t>
  </si>
  <si>
    <t>https://africanmarketingconfederation.org/chartered-marketer-africa-programme-fee/::aioseo_no_question-style_headings</t>
  </si>
  <si>
    <t>https://africanmarketingconfederation.org/chartered-marketer-africa-thank-you/::aioseo_no_question-style_headings</t>
  </si>
  <si>
    <t>https://africanmarketingconfederation.org/chartered-marketer-africa/::aioseo_no_question-style_headings</t>
  </si>
  <si>
    <t>https://africanmarketingconfederation.org/checkout/::aioseo_no_question-style_headings</t>
  </si>
  <si>
    <t>https://africanmarketingconfederation.org/conference-faq-2025/::aioseo_no_question-style_headings</t>
  </si>
  <si>
    <t>https://africanmarketingconfederation.org/conference-registrations-2024/::aioseo_no_question-style_headings</t>
  </si>
  <si>
    <t>https://africanmarketingconfederation.org/contact-us/::aioseo_multiple_h1_headings</t>
  </si>
  <si>
    <t>https://africanmarketingconfederation.org/contact-us/::aioseo_no_question-style_headings</t>
  </si>
  <si>
    <t>https://africanmarketingconfederation.org/download-brochure/::aioseo_no_question-style_headings</t>
  </si>
  <si>
    <t>https://africanmarketingconfederation.org/download-prospectus-2024/::aioseo_no_question-style_headings</t>
  </si>
  <si>
    <t>https://africanmarketingconfederation.org/education/::aioseo_no_question-style_headings</t>
  </si>
  <si>
    <t>https://africanmarketingconfederation.org/elementor-16548/::aioseo_no_question-style_headings</t>
  </si>
  <si>
    <t>https://africanmarketingconfederation.org/elementor-20341/::aioseo_no_question-style_headings</t>
  </si>
  <si>
    <t>https://africanmarketingconfederation.org/elementor-31820/::aioseo_no_question-style_headings</t>
  </si>
  <si>
    <t>https://africanmarketingconfederation.org/general-enquiry-form-thank-you/::aioseo_no_question-style_headings</t>
  </si>
  <si>
    <t>https://africanmarketingconfederation.org/launch-event-2026-amc-conference/::aioseo_no_question-style_headings</t>
  </si>
  <si>
    <t>https://africanmarketingconfederation.org/members/::aioseo_no_question-style_headings</t>
  </si>
  <si>
    <t>https://africanmarketingconfederation.org/news-articles/::aioseo_no_question-style_headings</t>
  </si>
  <si>
    <t>https://africanmarketingconfederation.org/privacy-policy/::aioseo_multiple_h1_headings</t>
  </si>
  <si>
    <t>https://africanmarketingconfederation.org/privacy-policy/::aioseo_no_question-style_headings</t>
  </si>
  <si>
    <t>https://africanmarketingconfederation.org/publication-download-list/::aioseo_no_question-style_headings</t>
  </si>
  <si>
    <t>https://africanmarketingconfederation.org/publications-2/::aioseo_no_question-style_headings</t>
  </si>
  <si>
    <t>https://africanmarketingconfederation.org/speakers-2025/::aioseo_multiple_h1_headings</t>
  </si>
  <si>
    <t>https://africanmarketingconfederation.org/speakers-2025/::aioseo_no_question-style_headings</t>
  </si>
  <si>
    <t>https://africanmarketingconfederation.org/speakers/::aioseo_no_question-style_headings</t>
  </si>
  <si>
    <t>https://africanmarketingconfederation.org/sub-committees/::aioseo_no_question-style_headings</t>
  </si>
  <si>
    <t>https://africanmarketingconfederation.org/subscribe/::aioseo_no_question-style_headings</t>
  </si>
  <si>
    <t>https://africanmarketingconfederation.org/test-homeslider/::aioseo_no_question-style_headings</t>
  </si>
  <si>
    <t>https://africanmarketingconfederation.org/test-payment-gate/::aioseo_no_question-style_headings</t>
  </si>
  <si>
    <t>https://africanmarketingconfederation.org/thank-you-for-registering-2024-registrations-kenya/::aioseo_no_question-style_headings</t>
  </si>
  <si>
    <t>https://africanmarketingconfederation.org/thank-you-for-registering-2024-registrations/::aioseo_no_question-style_headings</t>
  </si>
  <si>
    <t>https://africanmarketingconfederation.org/thank-you-for-subscribing/::aioseo_no_question-style_headings</t>
  </si>
  <si>
    <t>https://africanmarketingconfederation.org/thank-you-for-the-nomination-2024/::aioseo_no_question-style_headings</t>
  </si>
  <si>
    <t>https://africanmarketingconfederation.org/thank-you-for-the-submission-2024/::aioseo_no_question-style_headings</t>
  </si>
  <si>
    <t>https://africanmarketingconfederation.org/upcoming-events/::aioseo_no_question-style_headings</t>
  </si>
  <si>
    <t>https://africanmarketingconfederation.org/virtual-programme/::aioseo_no_question-style_headings</t>
  </si>
  <si>
    <t>No FAQ/QA schema</t>
  </si>
  <si>
    <t>True when page has Q&amp;A intent</t>
  </si>
  <si>
    <t>If content is Q&amp;A style, add FAQPage/QAPage schema in AIOSEO and keep markup aligned with on-page content.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</si>
  <si>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</si>
  <si>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</si>
  <si>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</si>
  <si>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</si>
  <si>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</si>
  <si>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https://africanmarketingconfederation.org/amc-conference-2022-prospectus/::aioseo_no_faq_qa_schema</t>
  </si>
  <si>
    <t>https://africanmarketingconfederation.org/amc-conference-2022-thank-you/::aioseo_no_faq_qa_schema</t>
  </si>
  <si>
    <t>https://africanmarketingconfederation.org/amc-conference-2022/::aioseo_no_faq_qa_schema</t>
  </si>
  <si>
    <t>https://africanmarketingconfederation.org/amc-conference-2023/::aioseo_no_faq_qa_schema</t>
  </si>
  <si>
    <t>https://africanmarketingconfederation.org/amc-conference-2023/amc-awards-book-now/::aioseo_no_faq_qa_schema</t>
  </si>
  <si>
    <t>https://africanmarketingconfederation.org/amc-conference-2023/amc-awards/::aioseo_no_faq_qa_schema</t>
  </si>
  <si>
    <t>https://africanmarketingconfederation.org/amc-conference-2023/book-now-thank-you/::aioseo_no_faq_qa_schema</t>
  </si>
  <si>
    <t>https://africanmarketingconfederation.org/amc-conference-2023/book-now/::aioseo_no_faq_qa_schema</t>
  </si>
  <si>
    <t>https://africanmarketingconfederation.org/amc-conference-2023/download-prospectus/::aioseo_no_faq_qa_schema</t>
  </si>
  <si>
    <t>https://africanmarketingconfederation.org/amc-conference-2023/gallery/::aioseo_no_faq_qa_schema</t>
  </si>
  <si>
    <t>https://africanmarketingconfederation.org/amc-conference-2023/partners/::aioseo_no_faq_qa_schema</t>
  </si>
  <si>
    <t>https://africanmarketingconfederation.org/amc-conference-2023/programme/::aioseo_no_faq_qa_schema</t>
  </si>
  <si>
    <t>https://africanmarketingconfederation.org/amc-conference-2023/speakers/::aioseo_no_faq_qa_schema</t>
  </si>
  <si>
    <t>https://africanmarketingconfederation.org/amc-conference-2024-recap/::aioseo_no_faq_qa_schema</t>
  </si>
  <si>
    <t>https://africanmarketingconfederation.org/amc-conference-2024-sponsors-packages/::aioseo_no_faq_qa_schema</t>
  </si>
  <si>
    <t>https://africanmarketingconfederation.org/amc-conference-2025-highlights/::aioseo_no_faq_qa_schema</t>
  </si>
  <si>
    <t>https://africanmarketingconfederation.org/amc-conference-2025/::aioseo_no_faq_qa_schema</t>
  </si>
  <si>
    <t>https://africanmarketingconfederation.org/amc-conference-2026-awards-nominations-thank-you/::aioseo_no_faq_qa_schema</t>
  </si>
  <si>
    <t>https://africanmarketingconfederation.org/amc-conference-2026-zambia-thank-you/::aioseo_no_faq_qa_schema</t>
  </si>
  <si>
    <t>https://africanmarketingconfederation.org/amc-conference-2026/::aioseo_no_faq_qa_schema</t>
  </si>
  <si>
    <t>https://africanmarketingconfederation.org/amc-conference-programme/::aioseo_no_faq_qa_schema</t>
  </si>
  <si>
    <t>https://africanmarketingconfederation.org/amc-conference-sponsors/::aioseo_no_faq_qa_schema</t>
  </si>
  <si>
    <t>https://africanmarketingconfederation.org/amc-conference-thank-you/::aioseo_no_faq_qa_schema</t>
  </si>
  <si>
    <t>https://africanmarketingconfederation.org/amc-forum-mombasa/::aioseo_no_faq_qa_schema</t>
  </si>
  <si>
    <t>https://africanmarketingconfederation.org/amc-forum-payments/::aioseo_no_faq_qa_schema</t>
  </si>
  <si>
    <t>https://africanmarketingconfederation.org/amc-launch-event-zambia-thank-you-2026/::aioseo_no_faq_qa_schema</t>
  </si>
  <si>
    <t>https://africanmarketingconfederation.org/amc-marketing-conference-2024/::aioseo_no_faq_qa_schema</t>
  </si>
  <si>
    <t>https://africanmarketingconfederation.org/amc-marketing-conference-2024/amc-conference-2025-ghana-sponsors/::aioseo_no_faq_qa_schema</t>
  </si>
  <si>
    <t>https://africanmarketingconfederation.org/amc-marketing-conference-2024/amc-launch-event-2025/::aioseo_no_faq_qa_schema</t>
  </si>
  <si>
    <t>https://africanmarketingconfederation.org/amc-marketing-conference-2024/amc-preregister-2025/::aioseo_no_faq_qa_schema</t>
  </si>
  <si>
    <t>https://africanmarketingconfederation.org/amc-marketing-conference-2024/amc-programme-2025/::aioseo_no_faq_qa_schema</t>
  </si>
  <si>
    <t>https://africanmarketingconfederation.org/amc-marketing-conference-2024/amc-speakers-presentations-2024/::aioseo_no_faq_qa_schema</t>
  </si>
  <si>
    <t>https://africanmarketingconfederation.org/amc-marketing-conference-2024/awards-2025/::aioseo_no_faq_qa_schema</t>
  </si>
  <si>
    <t>https://africanmarketingconfederation.org/amc-marketing-conference-2024/programme-2024/::aioseo_no_faq_qa_schema</t>
  </si>
  <si>
    <t>https://africanmarketingconfederation.org/amc-marketing-conference-2024/speakers-2024/::aioseo_no_faq_qa_schema</t>
  </si>
  <si>
    <t>https://africanmarketingconfederation.org/amc-marketing-conference-2024/testimony-thank-you-page/::aioseo_no_faq_qa_schema</t>
  </si>
  <si>
    <t>https://africanmarketingconfederation.org/amc-masterclass-bookings/::aioseo_no_faq_qa_schema</t>
  </si>
  <si>
    <t>https://africanmarketingconfederation.org/amc-masterclass-thank-you/::aioseo_no_faq_qa_schema</t>
  </si>
  <si>
    <t>https://africanmarketingconfederation.org/amc-masterclass/::aioseo_no_faq_qa_schema</t>
  </si>
  <si>
    <t>https://africanmarketingconfederation.org/amc-relaunch-programme/::aioseo_no_faq_qa_schema</t>
  </si>
  <si>
    <t>https://africanmarketingconfederation.org/amc-sign-up-now-form-2025/::aioseo_no_faq_qa_schema</t>
  </si>
  <si>
    <t>https://africanmarketingconfederation.org/amc-sponsors-2025/::aioseo_no_faq_qa_schema</t>
  </si>
  <si>
    <t>https://africanmarketingconfederation.org/amc-testimony-page-2024/::aioseo_no_faq_qa_schema</t>
  </si>
  <si>
    <t>https://africanmarketingconfederation.org/awards-2026-1/::aioseo_no_faq_qa_schema</t>
  </si>
  <si>
    <t>https://africanmarketingconfederation.org/awards-2026-test/::aioseo_no_faq_qa_schema</t>
  </si>
  <si>
    <t>https://africanmarketingconfederation.org/awards-2026/::aioseo_no_faq_qa_schema</t>
  </si>
  <si>
    <t>https://africanmarketingconfederation.org/certified-professional-marketer-africa/::aioseo_no_faq_qa_schema</t>
  </si>
  <si>
    <t>https://africanmarketingconfederation.org/chartered-marketer-africa-final-submission-fee/::aioseo_no_faq_qa_schema</t>
  </si>
  <si>
    <t>https://africanmarketingconfederation.org/chartered-marketer-africa-programme-fee/::aioseo_no_faq_qa_schema</t>
  </si>
  <si>
    <t>https://africanmarketingconfederation.org/chartered-marketer-africa-thank-you/::aioseo_no_faq_qa_schema</t>
  </si>
  <si>
    <t>https://africanmarketingconfederation.org/chartered-marketer-africa/::aioseo_no_faq_qa_schema</t>
  </si>
  <si>
    <t>https://africanmarketingconfederation.org/checkout/::aioseo_no_faq_qa_schema</t>
  </si>
  <si>
    <t>https://africanmarketingconfederation.org/conference-faq-2025/::aioseo_no_faq_qa_schema</t>
  </si>
  <si>
    <t>https://africanmarketingconfederation.org/conference-registrations-2024/::aioseo_no_faq_qa_schema</t>
  </si>
  <si>
    <t>https://africanmarketingconfederation.org/contact-us/::aioseo_no_faq_qa_schema</t>
  </si>
  <si>
    <t>https://africanmarketingconfederation.org/download-brochure/::aioseo_no_faq_qa_schema</t>
  </si>
  <si>
    <t>https://africanmarketingconfederation.org/download-prospectus-2024/::aioseo_no_faq_qa_schema</t>
  </si>
  <si>
    <t>https://africanmarketingconfederation.org/education/::aioseo_no_faq_qa_schema</t>
  </si>
  <si>
    <t>https://africanmarketingconfederation.org/elementor-16548/::aioseo_no_faq_qa_schema</t>
  </si>
  <si>
    <t>https://africanmarketingconfederation.org/elementor-20341/::aioseo_no_faq_qa_schema</t>
  </si>
  <si>
    <t>https://africanmarketingconfederation.org/elementor-31820/::aioseo_no_faq_qa_schema</t>
  </si>
  <si>
    <t>https://africanmarketingconfederation.org/general-enquiry-form-thank-you/::aioseo_no_faq_qa_schema</t>
  </si>
  <si>
    <t>https://africanmarketingconfederation.org/launch-event-2026-amc-conference/::aioseo_no_faq_qa_schema</t>
  </si>
  <si>
    <t>https://africanmarketingconfederation.org/members/::aioseo_no_faq_qa_schema</t>
  </si>
  <si>
    <t>https://africanmarketingconfederation.org/news-articles/::aioseo_no_faq_qa_schema</t>
  </si>
  <si>
    <t>https://africanmarketingconfederation.org/privacy-policy/::aioseo_no_faq_qa_schema</t>
  </si>
  <si>
    <t>https://africanmarketingconfederation.org/publication-download-list/::aioseo_no_faq_qa_schema</t>
  </si>
  <si>
    <t>https://africanmarketingconfederation.org/publications-2/::aioseo_no_faq_qa_schema</t>
  </si>
  <si>
    <t>https://africanmarketingconfederation.org/speakers-2025/::aioseo_no_faq_qa_schema</t>
  </si>
  <si>
    <t>https://africanmarketingconfederation.org/speakers/::aioseo_no_faq_qa_schema</t>
  </si>
  <si>
    <t>https://africanmarketingconfederation.org/sub-committees/::aioseo_no_faq_qa_schema</t>
  </si>
  <si>
    <t>https://africanmarketingconfederation.org/subscribe/::aioseo_no_faq_qa_schema</t>
  </si>
  <si>
    <t>https://africanmarketingconfederation.org/test-homeslider/::aioseo_no_faq_qa_schema</t>
  </si>
  <si>
    <t>https://africanmarketingconfederation.org/test-payment-gate/::aioseo_no_faq_qa_schema</t>
  </si>
  <si>
    <t>https://africanmarketingconfederation.org/thank-you-for-registering-2024-registrations-kenya/::aioseo_no_faq_qa_schema</t>
  </si>
  <si>
    <t>https://africanmarketingconfederation.org/thank-you-for-registering-2024-registrations/::aioseo_no_faq_qa_schema</t>
  </si>
  <si>
    <t>https://africanmarketingconfederation.org/thank-you-for-subscribing/::aioseo_no_faq_qa_schema</t>
  </si>
  <si>
    <t>https://africanmarketingconfederation.org/thank-you-for-the-nomination-2024/::aioseo_no_faq_qa_schema</t>
  </si>
  <si>
    <t>https://africanmarketingconfederation.org/thank-you-for-the-submission-2024/::aioseo_no_faq_qa_schema</t>
  </si>
  <si>
    <t>https://africanmarketingconfederation.org/upcoming-events/::aioseo_no_faq_qa_schema</t>
  </si>
  <si>
    <t>https://africanmarketingconfederation.org/virtual-programme/::aioseo_no_faq_qa_schema</t>
  </si>
  <si>
    <t>SEO title too long</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</si>
  <si>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</si>
  <si>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</si>
  <si>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</si>
  <si>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</si>
  <si>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</si>
  <si>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</si>
  <si>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</si>
  <si>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https://africanmarketingconfederation.org/amc-conference-2025-highlights/::aioseo_seo_title_too_long</t>
  </si>
  <si>
    <t>SEO title too short</t>
  </si>
  <si>
    <t>Expand title in AIOSEO snippet editor with clearer intent and value proposition.</t>
  </si>
  <si>
    <t>https://africanmarketingconfederation.org/amc-conference-2025/::aioseo_seo_title_too_short</t>
  </si>
  <si>
    <t>Very short titles often under-describe page intent.</t>
  </si>
  <si>
    <t>https://africanmarketingconfederation.org/amc-conference-2026-awards-nominations-thank-you/::aioseo_seo_title_too_long</t>
  </si>
  <si>
    <t>https://africanmarketingconfederation.org/amc-conference-2026-zambia-thank-you/::aioseo_seo_title_too_long</t>
  </si>
  <si>
    <t>https://africanmarketingconfederation.org/amc-launch-event-zambia-thank-you-2026/::aioseo_seo_title_too_long</t>
  </si>
  <si>
    <t>https://africanmarketingconfederation.org/amc-marketing-conference-2024/amc-conference-2025-ghana-sponsors/::aioseo_seo_title_too_long</t>
  </si>
  <si>
    <t>https://africanmarketingconfederation.org/amc-marketing-conference-2024/amc-programme-2025/::aioseo_seo_title_too_short</t>
  </si>
  <si>
    <t>https://africanmarketingconfederation.org/amc-marketing-conference-2024/amc-speakers-presentations-2024/::aioseo_seo_title_too_long</t>
  </si>
  <si>
    <t>https://africanmarketingconfederation.org/amc-masterclass-thank-you/::aioseo_seo_title_too_long</t>
  </si>
  <si>
    <t>https://africanmarketingconfederation.org/certified-professional-marketer-africa/::aioseo_seo_title_too_long</t>
  </si>
  <si>
    <t>https://africanmarketingconfederation.org/chartered-marketer-africa-final-submission-fee/::aioseo_seo_title_too_long</t>
  </si>
  <si>
    <t>https://africanmarketingconfederation.org/chartered-marketer-africa-programme-fee/::aioseo_seo_title_too_long</t>
  </si>
  <si>
    <t>https://africanmarketingconfederation.org/chartered-marketer-africa-thank-you/::aioseo_seo_title_too_long</t>
  </si>
  <si>
    <t>https://africanmarketingconfederation.org/chartered-marketer-africa/::aioseo_seo_title_too_long</t>
  </si>
  <si>
    <t>https://africanmarketingconfederation.org/checkout/::aioseo_seo_title_too_short</t>
  </si>
  <si>
    <t>https://africanmarketingconfederation.org/conference-faq-2025/::aioseo_seo_title_too_short</t>
  </si>
  <si>
    <t>https://africanmarketingconfederation.org/conference-registrations-2024/::aioseo_seo_title_too_long</t>
  </si>
  <si>
    <t>https://africanmarketingconfederation.org/general-enquiry-form-thank-you/::aioseo_seo_title_too_long</t>
  </si>
  <si>
    <t>https://africanmarketingconfederation.org/launch-event-2026-amc-conference/::aioseo_seo_title_too_long</t>
  </si>
  <si>
    <t>https://africanmarketingconfederation.org/speakers-2025/::aioseo_seo_title_too_short</t>
  </si>
  <si>
    <t>https://africanmarketingconfederation.org/thank-you-for-registering-2024-registrations-kenya/::aioseo_seo_title_too_long</t>
  </si>
  <si>
    <t>https://africanmarketingconfederation.org/thank-you-for-registering-2024-registrations/::aioseo_seo_title_too_long</t>
  </si>
  <si>
    <t>https://africanmarketingconfederation.org/thank-you-for-the-nomination-2024/::aioseo_seo_title_too_long</t>
  </si>
  <si>
    <t>https://africanmarketingconfederation.org/thank-you-for-the-submission-2024/::aioseo_seo_title_too_long</t>
  </si>
  <si>
    <t>Strict-Transport-Security</t>
  </si>
  <si>
    <t>Content-Security-Policy</t>
  </si>
  <si>
    <t>X-Content-Type-Options</t>
  </si>
  <si>
    <t>X-Frame-Options</t>
  </si>
  <si>
    <t>Referrer-Policy</t>
  </si>
  <si>
    <t>Permissions-Policy</t>
  </si>
  <si>
    <t>Robots.txt Accessible</t>
  </si>
  <si>
    <t>Sitemap in Robots.txt</t>
  </si>
  <si>
    <t>Robots.txt Crawl-Delay</t>
  </si>
  <si>
    <t>Robots.txt Disallow /</t>
  </si>
  <si>
    <t>Affected URL Count</t>
  </si>
  <si>
    <t>Affected URLs (sample)</t>
  </si>
  <si>
    <t>1970-01-01 00:00:00.000000085</t>
  </si>
  <si>
    <t>https://africanmarketingconfederation.org/publications-2/ | https://africanmarketingconfederation.org/ | https://africanmarketingconfederation.org/publication-download-list/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</si>
  <si>
    <t xml:space="preserve"> || Full list: see AEO tab</t>
  </si>
  <si>
    <t>Detailed rows: see AEO tab</t>
  </si>
  <si>
    <t>Issue Counts</t>
  </si>
  <si>
    <t>1970-01-01 00:00:00.000000002</t>
  </si>
  <si>
    <t>https://africanmarketingconfederation.org/amc-conference-sponsors/ | https://africanmarketingconfederation.org/amc-marketing-conference-2024/speakers-2024/ || Full list: see Technical/Links/Indexability tabs</t>
  </si>
  <si>
    <t xml:space="preserve"> || Full list: see Technical/Links/Indexability tabs</t>
  </si>
  <si>
    <t>https://africanmarketingconfederation.org/publications-2/ | https://africanmarketingconfederation.org/ | https://africanmarketingconfederation.org/publication-download-list/ | https://africanmarketingconfederation.org/launch-event-2026-amc-conference/ | https://africanmarketingconfederation.org/amc-conference-2026/ | https://africanmarketingconfederation.org/certified-professional-marketer-africa/ | https://africanmarketingconfederation.org/chartered-marketer-africa/ | https://africanmarketingconfederation.org/education/ | https://africanmarketingconfederation.org/awards-2026/ | https://africanmarketingconfederation.org/contact-us/ | https://africanmarketingconfederation.org/news-articles/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</si>
  <si>
    <t>1970-01-01 00:00:00.000000032</t>
  </si>
  <si>
    <t>https://africanmarketingconfederation.org/publication-download-list/ | https://africanmarketingconfederation.org/certified-professional-marketer-africa/ | https://africanmarketingconfederation.org/education/ | https://africanmarketingconfederation.org/amc-conference-2022/ | https://africanmarketingconfederation.org/amc-conference-2022-prospectus/ | https://africanmarketingconfederation.org/test-payment-gate/ | https://africanmarketingconfederation.org/checkout/ | https://africanmarketingconfederation.org/amc-forum-payments/ | https://africanmarketingconfederation.org/thank-you-for-registering-2024-registrations/ | https://africanmarketingconfederation.org/download-prospectus-2024/ | https://africanmarketingconfederation.org/thank-you-for-registering-2024-registrations-kenya/ | https://africanmarketingconfederation.org/subscribe/ | https://africanmarketingconfederation.org/elementor-20341/ | https://africanmarketingconfederation.org/download-brochure/ | https://africanmarketingconfederation.org/thank-you-for-the-nomination-2024/ | https://africanmarketingconfederation.org/thank-you-for-the-submission-2024/ | https://africanmarketingconfederation.org/elementor-16548/ | https://africanmarketingconfederation.org/chartered-marketer-africa-thank-you/ | https://africanmarketingconfederation.org/amc-conference-2023/amc-awards-book-now/ | https://africanmarketingconfederation.org/amc-conference-2023/book-now-thank-you/ | https://africanmarketingconfederation.org/upcoming-events/ | https://africanmarketingconfederation.org/thank-you-for-subscribing/ | https://africanmarketingconfederation.org/amc-relaunch-programme/ | https://africanmarketingconfederation.org/amc-masterclass/ | https://africanmarketingconfederation.org/amc-masterclass-thank-you/ || Full list: see Technical/Links/Indexability tabs</t>
  </si>
  <si>
    <t>1970-01-01 00:00:00.000000018</t>
  </si>
  <si>
    <t>https://africanmarketingconfederation.org/ | https://africanmarketingconfederation.org/awards-2026/ | https://africanmarketingconfederation.org/contact-us/ | https://africanmarketingconfederation.org/african-marketing-confederation-tourism-chapter/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https://africanmarketingconfederation.org/amc-conference-2025-highlights/ | https://africanmarketingconfederation.org/amc-conference-2024-recap/ | https://africanmarketingconfederation.org/amc-marketing-conference-2024/amc-programme-2025/ | https://africanmarketingconfederation.org/amc-conference-2025/ | https://africanmarketingconfederation.org/amc-awards-2024/ | https://africanmarketingconfederation.org/amc-marketing-conference-2024/amc-speakers-presentations-2024/ | https://africanmarketingconfederation.org/amc-marketing-conference-2024/testimony-thank-you-page/ | https://africanmarketingconfederation.org/privacy-policy/ || Full list: see Technical/Links/Indexability tabs</t>
  </si>
  <si>
    <t>1970-01-01 00:00:00.000000005</t>
  </si>
  <si>
    <t>https://africanmarketingconfederation.org/amc-conference-sponsors/ | https://africanmarketingconfederation.org/amc-marketing-conference-2024/speakers-2024/ | https://africanmarketingconfederation.org/elementor-20341/ | https://africanmarketingconfederation.org/amc-conference-2023/amc-awards-book-now/ | https://africanmarketingconfederation.org/amc-masterclass-bookings/ || Full list: see Technical/Links/Indexability tabs</t>
  </si>
  <si>
    <t>1970-01-01 00:00:00.000000044</t>
  </si>
  <si>
    <t>https://africanmarketingconfederation.org/publications-2/ | https://africanmarketingconfederation.org/ | https://africanmarketingconfederation.org/publication-download-list/ | https://africanmarketingconfederation.org/launch-event-2026-amc-conference/ | https://africanmarketingconfederation.org/news-articles/ | https://africanmarketingconfederation.org/about-us/ | https://africanmarketingconfederation.org/amc-conference-2026-awards-nominations-thank-you/ | https://africanmarketingconfederation.org/amc-conference-2026-zambia-thank-you/ | https://africanmarketingconfederation.org/amc-launch-event-zambia-thank-you-2026/ | https://africanmarketingconfederation.org/amc-conference-2022/ | https://africanmarketingconfederation.org/amc-conference-2023/gallery/ | https://africanmarketingconfederation.org/amc-marketing-conference-2024/amc-programme-2025/ | https://africanmarketingconfederation.org/amc-conference-2022-prospectus/ | https://africanmarketingconfederation.org/test-payment-gate/ | https://africanmarketingconfederation.org/checkout/ | https://africanmarketingconfederation.org/amc-marketing-conference-2024/amc-conference-2025-ghana-sponsors/ | https://africanmarketingconfederation.org/amc-forum-payments/ | https://africanmarketingconfederation.org/amc-marketing-conference-2024/amc-speakers-presentations-2024/ | https://africanmarketingconfederation.org/amc-marketing-conference-2024/testimony-thank-you-page/ | https://africanmarketingconfederation.org/thank-you-for-registering-2024-registrations/ | https://africanmarketingconfederation.org/download-prospectus-2024/ | https://africanmarketingconfederation.org/thank-you-for-registering-2024-registrations-kenya/ | https://africanmarketingconfederation.org/elementor-20341/ | https://africanmarketingconfederation.org/chartered-marketer-africa-programme-fee/ | https://africanmarketingconfederation.org/chartered-marketer-africa-final-submission-fee/ || Full list: see Technical/Links/Indexability tabs</t>
  </si>
  <si>
    <t>https://africanmarketingconfederation.org/amc-conference-2026/ | https://africanmarketingconfederation.org/amc-conference-2025-highlights/ || Full list: see Technical/Links/Indexability tabs</t>
  </si>
  <si>
    <t>Top 10 Critical URLs</t>
  </si>
  <si>
    <t>#1 https://africanmarketingconfederation.org/amc-conference-sponsors/</t>
  </si>
  <si>
    <t>Non-200 Status | Missing Title | Missing Meta Description | Low AEO Readiness Score | No Compression Header | No Cache-Control Header | No ETag Header | No Question Headings | No Answer-Friendly Structure | No 40-60 Word Answer Paragraphs | Low Regional Authority | AI Crawlers Not Explicitly Allowed</t>
  </si>
  <si>
    <t>#2 https://africanmarketingconfederation.org/amc-marketing-conference-2024/speakers-2024/</t>
  </si>
  <si>
    <t>Top Issues by Template</t>
  </si>
  <si>
    <t>amc-conference-2023 -&gt; Low AEO Readiness Score</t>
  </si>
  <si>
    <t>1970-01-01 00:00:00.000000010</t>
  </si>
  <si>
    <t>amc-conference-2023 -&gt; No Compression Header</t>
  </si>
  <si>
    <t>amc-conference-2023 -&gt; No Cache-Control Header</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</si>
  <si>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</si>
  <si>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</si>
  <si>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</si>
  <si>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</si>
  <si>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</si>
  <si>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amc-marketing-conference-2024 -&gt; Low AEO Readiness Score</t>
  </si>
  <si>
    <t>1970-01-01 00:00:00.000000008</t>
  </si>
  <si>
    <t>amc-marketing-conference-2024 -&gt; No Compression Header</t>
  </si>
  <si>
    <t>amc-marketing-conference-2024 -&gt; No Cache-Control Header</t>
  </si>
  <si>
    <t>amc-marketing-conference-2024 -&gt; No ETag Header</t>
  </si>
  <si>
    <t>amc-marketing-conference-2024 -&gt; No Question Headings</t>
  </si>
  <si>
    <t>amc-marketing-conference-2024 -&gt; No Answer-Friendly Structure</t>
  </si>
  <si>
    <t>amc-marketing-conference-2024 -&gt; No 40-60 Word Answer Paragraphs</t>
  </si>
  <si>
    <t>amc-marketing-conference-2024 -&gt; AI Crawlers Not Explicitly Allowed</t>
  </si>
  <si>
    <t>amc-conference-2023 -&gt; Thin Content</t>
  </si>
  <si>
    <t>1970-01-01 00:00:00.000000006</t>
  </si>
  <si>
    <t>amc-marketing-conference-2024 -&gt; Thin Content</t>
  </si>
  <si>
    <t>1970-01-01 00:00:00.000000004</t>
  </si>
  <si>
    <t>amc-marketing-conference-2024 -&gt; Multiple H1</t>
  </si>
  <si>
    <t>1970-01-01 00:00:00.000000003</t>
  </si>
  <si>
    <t>amc-forum-mombasa -&gt; Low AEO Readiness Score</t>
  </si>
  <si>
    <t>Term</t>
  </si>
  <si>
    <t>Meaning</t>
  </si>
  <si>
    <t>Values/Threshold</t>
  </si>
  <si>
    <t>Related Tabs</t>
  </si>
  <si>
    <t>How To Use</t>
  </si>
  <si>
    <t>Step 1: Start on Dashboard</t>
  </si>
  <si>
    <t>Review pass rate, critical URL count, and Immediate Actions to understand overall risk first.</t>
  </si>
  <si>
    <t>5-minute executive scan</t>
  </si>
  <si>
    <t>Dashboard, Priority URLs</t>
  </si>
  <si>
    <t>Step 2: Prioritize and Assign</t>
  </si>
  <si>
    <t>Use Priority URLs and FixPlan to pick highest-impact items, assign owner, and set status/sprint.</t>
  </si>
  <si>
    <t>Work top-down by Business Risk Score</t>
  </si>
  <si>
    <t>Priority URLs, FixPlan</t>
  </si>
  <si>
    <t>Step 3: Execute and Validate</t>
  </si>
  <si>
    <t>Implement fixes, then verify by checking Technical/Indexability/AEO tabs and rerunning the audit.</t>
  </si>
  <si>
    <t>Close loop every sprint</t>
  </si>
  <si>
    <t>Technical, Indexability, AEO, AIOSEO</t>
  </si>
  <si>
    <t>Orientation</t>
  </si>
  <si>
    <t>Where to Start</t>
  </si>
  <si>
    <t>If you're short on time, work only Critical and Warning issues first, then return to Observation items.</t>
  </si>
  <si>
    <t>Critical &gt; Warning &gt; Observation</t>
  </si>
  <si>
    <t>Summary, FixPlan, Technical</t>
  </si>
  <si>
    <t>How to Track Progress</t>
  </si>
  <si>
    <t>Use Status and Owner columns as your project board; move from To Do -&gt; In Progress -&gt; Fixed.</t>
  </si>
  <si>
    <t>Update weekly</t>
  </si>
  <si>
    <t>FixPlan, AIOSEO, Priority URLs</t>
  </si>
  <si>
    <t>High-impact SEO blocker that should be fixed first.</t>
  </si>
  <si>
    <t>Immediate action</t>
  </si>
  <si>
    <t>Out-of-best-practice issue likely affecting performance.</t>
  </si>
  <si>
    <t>Plan next sprint</t>
  </si>
  <si>
    <t>Optimization opportunity or context signal.</t>
  </si>
  <si>
    <t>Backlog/monitor</t>
  </si>
  <si>
    <t>Summary, Technical</t>
  </si>
  <si>
    <t>Scoring</t>
  </si>
  <si>
    <t>Weighted technical SEO quality score per URL.</t>
  </si>
  <si>
    <t>&gt;=90 green, 70-89 orange, &lt;70 red</t>
  </si>
  <si>
    <t>Technical, Priority URLs, Dashboard</t>
  </si>
  <si>
    <t>Answer Engine Optimization readiness score per URL.</t>
  </si>
  <si>
    <t>&gt;=80 strong, 60-79 good, 40-59 fair</t>
  </si>
  <si>
    <t>Indexing</t>
  </si>
  <si>
    <t>Primary reason URL may not be indexed.</t>
  </si>
  <si>
    <t>Noindex, non-200, canonical mismatch</t>
  </si>
  <si>
    <t>Indexability, Technical</t>
  </si>
  <si>
    <t>Internal links returning 4xx/5xx or equivalent failures.</t>
  </si>
  <si>
    <t>&gt;0 flagged</t>
  </si>
  <si>
    <t>Links, LinksDetail, Priority URLs</t>
  </si>
  <si>
    <t>Body content depth class.</t>
  </si>
  <si>
    <t>Thin / OK / Strong</t>
  </si>
  <si>
    <t>Headings phrased as questions to match answer intent.</t>
  </si>
  <si>
    <t>Higher is generally better</t>
  </si>
  <si>
    <t>Color Key</t>
  </si>
  <si>
    <t>Green</t>
  </si>
  <si>
    <t>Pass / aligned with best practice or completed workflow item.</t>
  </si>
  <si>
    <t>Good</t>
  </si>
  <si>
    <t>All</t>
  </si>
  <si>
    <t>Orange</t>
  </si>
  <si>
    <t>Warning / in progress / medium-priority attention needed.</t>
  </si>
  <si>
    <t>Medium risk</t>
  </si>
  <si>
    <t>Red</t>
  </si>
  <si>
    <t>Failure / high-priority issue or to-do critical task.</t>
  </si>
  <si>
    <t>High risk</t>
  </si>
  <si>
    <t>Purple</t>
  </si>
  <si>
    <t>Informational edge-case or AEO category signal.</t>
  </si>
  <si>
    <t>Context</t>
  </si>
  <si>
    <t>Column_1</t>
  </si>
  <si>
    <t>Image Count</t>
  </si>
  <si>
    <t>Images</t>
  </si>
  <si>
    <t>Images Missing Alt</t>
  </si>
  <si>
    <t>Image Alt Coverage (%)</t>
  </si>
  <si>
    <t>Image Extension Distribution</t>
  </si>
  <si>
    <t>Likely Large Image Count</t>
  </si>
  <si>
    <t>Image On Canonical Domain (%)</t>
  </si>
  <si>
    <t>Mixed Content Detected</t>
  </si>
  <si>
    <t>https://africanmarketingconfederation.org/wp-content/uploads/2021/08/facebook.svg | https://africanmarketingconfederation.org/wp-content/uploads/2021/08/linkedin.svg | https://africanmarketingconfederation.org/wp-content/uploads/2024/08/SMA-Issue-1-2026-COVER.png | https://africanmarketingconfederation.org/wp-content/uploads/2026/03/og-image.png | https://www.facebook.com/tr?id=1795315120651843&amp;ev=PageView&amp;noscript=1 | https://www.facebook.com/tr?id=1795315120651843&amp;ev=PageView&amp;noscript=1&amp;cd%5Bpage_title%5D=Publications&amp;cd%5Bpost_type%5D=page&amp;cd%5Bpost_id%5D=3686&amp;cd%5Bplugin%5D=PixelYourSite&amp;cd%5Buser_role%5D=guest&amp;cd%5Bevent_url%5D=africanmarketingconfederation.org%2Fpublications-2%2F</t>
  </si>
  <si>
    <t>other:2, png:2, svg:2</t>
  </si>
  <si>
    <t>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https://africanmarketingconfederation.org/wp-content/uploads/2026/04/30-April-Marketing-Awards-300x133.jpg | https://africanmarketingconfederation.org/wp-content/uploads/2026/04/30-April-Supply-Chain-300x200.jpg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</si>
  <si>
    <t>jpg:4, other:2, png:26, svg:2, webp:1</t>
  </si>
  <si>
    <t>https://africanmarketingconfederation.org/wp-content/uploads/2021/08/facebook.svg | https://africanmarketingconfederation.org/wp-content/uploads/2021/08/linkedin.svg | https://africanmarketingconfederation.org/wp-content/uploads/2023/01/Issue-1-2021.png | https://africanmarketingconfederation.org/wp-content/uploads/2023/01/Issue-1-2022.png | https://africanmarketingconfederation.org/wp-content/uploads/2023/01/Issue-2-2021.png | https://africanmarketingconfederation.org/wp-content/uploads/2023/01/Issue-2-2022.png | https://africanmarketingconfederation.org/wp-content/uploads/2023/01/Issue-3-2022.png | https://africanmarketingconfederation.org/wp-content/uploads/2023/01/Issue-4-2022.png | https://africanmarketingconfederation.org/wp-content/uploads/2023/04/SMA-Issue-1-2023.png | https://africanmarketingconfederation.org/wp-content/uploads/2023/06/SMA-Issue-2-2023-724x1024.png | https://africanmarketingconfederation.org/wp-content/uploads/2023/10/Cover.png | https://africanmarketingconfederation.org/wp-content/uploads/2023/12/SMA_ISSUE_4_FINAL-for-the-website-Cover-724x1024.png | https://africanmarketingconfederation.org/wp-content/uploads/2024/08/FINAL_SMA_ISSUE_2_2024.png | https://africanmarketingconfederation.org/wp-content/uploads/2024/08/SMA-Issue-1-2026-COVER-724x1024.png | https://africanmarketingconfederation.org/wp-content/uploads/2024/08/SMA-Issue-4-2025.jpg | https://africanmarketingconfederation.org/wp-content/uploads/2024/08/Strategic-Marketing-for-Africa-Issue-1-2024-Digital-mag-final-1.png | https://africanmarketingconfederation.org/wp-content/uploads/2024/10/SMA-DIGITAL-EDITION-SMA-Issue-3-2024-Final.png | https://africanmarketingconfederation.org/wp-content/uploads/2024/12/Strategic-Marketing-for-Africa-Issue-4-2024-Digital-Issue-for-website-posting-724x1024.png | https://africanmarketingconfederation.org/wp-content/uploads/2025/03/SMA-Issue-1-2025--724x1024.png | https://africanmarketingconfederation.org/wp-content/uploads/2025/06/AMC-Publication-Issue-2cover-2025.png | https://africanmarketingconfederation.org/wp-content/uploads/2025/10/SMA-Issue-3-2025-Digital-Edition-Single-Pages-FINAL-1.jpg | https://africanmarketingconfederation.org/wp-content/uploads/2026/03/og-image.png | https://www.facebook.com/tr?id=1795315120651843&amp;ev=PageView&amp;noscript=1 | https://www.facebook.com/tr?id=1795315120651843&amp;ev=PageView&amp;noscript=1&amp;cd%5Bpage_title%5D=Publication+Download+List&amp;cd%5Bpost_type%5D=page&amp;cd%5Bpost_id%5D=9047&amp;cd%5Bplugin%5D=PixelYourSite&amp;cd%5Buser_role%5D=guest&amp;cd%5Bevent_url%5D=africanmarketingconfederation.org%2Fpublication-download-list%2F</t>
  </si>
  <si>
    <t>jpg:2, other:2, png:18, svg:2</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</si>
  <si>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https://africanmarketingconfederation.org/wp-content/uploads/2026/02/AMC-logo-Horizontal-White.webp | https://africanmarketingconfederation.org/wp-content/uploads/2026/02/ASCON-Logo-Light.png | https://africanmarketingconfederation.org/wp-content/uploads/2026/02/White-Logo-Full.svg | https://africanmarketingconfederation.org/wp-content/uploads/2026/03/og-image.png | https://www.facebook.com/tr?id=1795315120651843&amp;ev=PageView&amp;noscript=1 | https://www.facebook.com/tr?id=1795315120651843&amp;ev=PageView&amp;noscript=1&amp;cd%5Bpage_title%5D=Launch+Event+2026+AMC+Conference&amp;cd%5Bpost_type%5D=page&amp;cd%5Bpost_id%5D=33050&amp;cd%5Bplugin%5D=PixelYourSite&amp;cd%5Buser_role%5D=guest&amp;cd%5Bevent_url%5D=africanmarketingconfederation.org%2Flaunch-event-2026-amc-conference%2F</t>
  </si>
  <si>
    <t>other:2, png:2, svg:4, webp:1</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</si>
  <si>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https://africanmarketingconfederation.org/wp-content/uploads/2021/08/zambia-institure-of-marketing@2x.png | https://africanmarketingconfederation.org/wp-content/uploads/2025/04/AMC-Woman-Laughing-out-of-joy.png | https://africanmarketingconfederation.org/wp-content/uploads/2025/12/Avani-Victoria-Falls-Resort-TICON-Africa-Conference-2026.jpg | https://africanmarketingconfederation.org/wp-content/uploads/2025/12/BP-6-scaled.jpg | https://africanmarketingconfederation.org/wp-content/uploads/2025/12/C-EVENING-23-scaled.jpg | https://africanmarketingconfederation.org/wp-content/uploads/2025/12/DAY-1-57-scaled.jpg | https://africanmarketingconfederation.org/wp-content/uploads/2025/12/DAY-1-63-scaled.jpg | https://africanmarketingconfederation.org/wp-content/uploads/2025/12/DAY-2-26-scaled.jpg | https://africanmarketingconfederation.org/wp-content/uploads/2025/12/DAY-2-57.jpg | https://africanmarketingconfederation.org/wp-content/uploads/2025/12/DAY-2-88.jpg | https://africanmarketingconfederation.org/wp-content/uploads/2025/12/DSC06743.JPG | https://africanmarketingconfederation.org/wp-content/uploads/2025/12/DSC07290.JPG | https://africanmarketingconfederation.org/wp-content/uploads/2025/12/DSC07613.JPG | https://africanmarketingconfederation.org/wp-content/uploads/2025/12/DSC08061.JPG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https://africanmarketingconfederation.org/wp-content/uploads/2026/02/ASCON-Logo-Light.png | https://africanmarketingconfederation.org/wp-content/uploads/2026/02/White-Logo-Full.svg | https://africanmarketingconfederation.org/wp-content/uploads/2026/03/og-image.png | https://africanmarketingconfederation.org/wp-content/uploads/2026/04/AMC-Logo-White-Horizontal.png | https://www.facebook.com/tr?id=1795315120651843&amp;ev=PageView&amp;noscript=1 | https://www.facebook.com/tr?id=1795315120651843&amp;ev=PageView&amp;noscript=1&amp;cd%5Bpage_title%5D=AMC+Conference+2026&amp;cd%5Bpost_type%5D=page&amp;cd%5Bpost_id%5D=31478&amp;cd%5Bplugin%5D=PixelYourSite&amp;cd%5Buser_role%5D=guest&amp;cd%5Bevent_url%5D=africanmarketingconfederation.org%2Famc-conference-2026%2F</t>
  </si>
  <si>
    <t>jpg:17, other:2, png:5, svg:4</t>
  </si>
  <si>
    <t>https://africanmarketingconfederation.org/wp-content/uploads/2021/08/facebook.svg | https://africanmarketingconfederation.org/wp-content/uploads/2021/08/linkedin.svg | https://africanmarketingconfederation.org/wp-content/uploads/2025/08/african-businesswoman-tablet-portrait-online-career-report-digital-website-streaming-office-building-professional-person-smile-tech-corporate-success-internet-app-j5ob-918x1024.png | https://africanmarketingconfederation.org/wp-content/uploads/2026/03/og-image.png | https://www.facebook.com/tr?id=1795315120651843&amp;ev=PageView&amp;noscript=1 | https://www.facebook.com/tr?id=1795315120651843&amp;ev=PageView&amp;noscript=1&amp;cd%5Bpage_title%5D=Certified+Professional+Marketer+%28Africa%29&amp;cd%5Bpost_type%5D=page&amp;cd%5Bpost_id%5D=28742&amp;cd%5Bplugin%5D=PixelYourSite&amp;cd%5Buser_role%5D=guest&amp;cd%5Bevent_url%5D=africanmarketingconfederation.org%2Fcertified-professional-marketer-africa%2F</t>
  </si>
  <si>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amp;cd%5Bpost_type%5D=page&amp;cd%5Bpost_id%5D=9075&amp;cd%5Bplugin%5D=PixelYourSite&amp;cd%5Buser_role%5D=guest&amp;cd%5Bevent_url%5D=africanmarketingconfederation.org%2Fchartered-marketer-africa%2F</t>
  </si>
  <si>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Education&amp;cd%5Bpost_type%5D=page&amp;cd%5Bpost_id%5D=88&amp;cd%5Bplugin%5D=PixelYourSite&amp;cd%5Buser_role%5D=guest&amp;cd%5Bevent_url%5D=africanmarketingconfederation.org%2Feducation%2F</t>
  </si>
  <si>
    <t>https://africanmarketingconfederation.org/wp-content/uploads/2021/08/facebook.svg | https://africanmarketingconfederation.org/wp-content/uploads/2021/08/linkedin.svg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2026+AMC+Awards&amp;cd%5Bpost_type%5D=page&amp;cd%5Bpost_id%5D=34622&amp;cd%5Bplugin%5D=PixelYourSite&amp;cd%5Buser_role%5D=guest&amp;cd%5Bevent_url%5D=africanmarketingconfederation.org%2Fawards-2026%2F</t>
  </si>
  <si>
    <t>jpg:1, other:2, png:9, svg:2</t>
  </si>
  <si>
    <t>https://africanmarketingconfederation.org/wp-content/uploads/2021/08/contact_us_img.jpg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Contact+Us&amp;cd%5Bpost_type%5D=page&amp;cd%5Bpost_id%5D=92&amp;cd%5Bplugin%5D=PixelYourSite&amp;cd%5Buser_role%5D=guest&amp;cd%5Bevent_url%5D=africanmarketingconfederation.org%2Fcontact-us%2F</t>
  </si>
  <si>
    <t>jpg:1, other:2, png:1, svg:2</t>
  </si>
  <si>
    <t>https://africanmarketingconfederation.org/wp-content/uploads/2021/08/facebook.svg | https://africanmarketingconfederation.org/wp-content/uploads/2021/08/linkedin.svg | https://africanmarketingconfederation.org/wp-content/uploads/2026/03/og-image.png | https://africanmarketingconfederation.org/wp-content/uploads/2026/04/21-April-Brand-Campaigns-300x169.jpg | https://africanmarketingconfederation.org/wp-content/uploads/2026/04/21-April-Executive-Appointments-300x169.jpeg | https://africanmarketingconfederation.org/wp-content/uploads/2026/04/22-April-Advertising-Awards-300x164.jpg | https://africanmarketingconfederation.org/wp-content/uploads/2026/04/22-April-Counterfeit-Goods-300x153.png | https://africanmarketingconfederation.org/wp-content/uploads/2026/04/23-April-Executive-Appointments-300x300.jpg | https://africanmarketingconfederation.org/wp-content/uploads/2026/04/23-April-Retail-Strategy-300x180.jpg | https://africanmarketingconfederation.org/wp-content/uploads/2026/04/24-April-AMC-Member-News-300x225.jpg | https://africanmarketingconfederation.org/wp-content/uploads/2026/04/24-April-Business-Strategy-300x199.jpg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https://africanmarketingconfederation.org/wp-content/uploads/2026/04/30-April-Marketing-Awards-300x133.jpg | https://africanmarketingconfederation.org/wp-content/uploads/2026/04/30-April-Supply-Chain-300x200.jpg | https://africanmarketingconfederation.org/wp-content/uploads/2026/04/SMA-Issue-1-2026-BACKGROUND-300x106.webp | https://www.facebook.com/tr?id=1795315120651843&amp;ev=PageView&amp;noscript=1 | https://www.facebook.com/tr?id=1795315120651843&amp;ev=PageView&amp;noscript=1&amp;cd%5Bpage_title%5D=News+Articles&amp;cd%5Bpost_type%5D=page&amp;cd%5Bpost_id%5D=2196&amp;cd%5Bplugin%5D=PixelYourSite&amp;cd%5Buser_role%5D=guest&amp;cd%5Bevent_url%5D=africanmarketingconfederation.org%2Fnews-articles%2F</t>
  </si>
  <si>
    <t>jpeg:1, jpg:9, other:2, png:4, svg:2, webp:1</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</si>
  <si>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</si>
  <si>
    <t>jpg:1, other:2, png:20, svg:2</t>
  </si>
  <si>
    <t>https://africanmarketingconfederation.org/wp-content/uploads/2021/08/facebook.svg | https://africanmarketingconfederation.org/wp-content/uploads/2021/08/linkedin.svg | https://africanmarketingconfederation.org/wp-content/uploads/2021/09/AMMC_-morocco-300x177.png | https://africanmarketingconfederation.org/wp-content/uploads/2021/09/Institute-of-Marketing-Ghana-300x177.png | https://africanmarketingconfederation.org/wp-content/uploads/2021/09/Institute-of-Marketing-and-Management-Mauritius-300x177.png | https://africanmarketingconfederation.org/wp-content/uploads/2021/09/Marketers-Association-of-Zimbabwe-300x177.png | https://africanmarketingconfederation.org/wp-content/uploads/2021/09/Marketing-Society-of-Kenya-300x178.png | https://africanmarketingconfederation.org/wp-content/uploads/2021/09/The-National-Institute-of-Marketing-of-Nigeria-300x177.png | https://africanmarketingconfederation.org/wp-content/uploads/2021/09/The-Zambia-Institute-of-Marketing-300x178.png | https://africanmarketingconfederation.org/wp-content/uploads/2022/08/UMS-PNG-LOGO-BLUE-300x121.png | https://africanmarketingconfederation.org/wp-content/uploads/2022/11/FB_IMG_1667309073413-298x300.jpg | https://africanmarketingconfederation.org/wp-content/uploads/2024/02/IMM-Institute-New-Logo-Blue-Horizontal.png | https://africanmarketingconfederation.org/wp-content/uploads/2024/04/Untitled-2-12-300x300.png | https://africanmarketingconfederation.org/wp-content/uploads/2024/05/TMSA-LOgo-e1626470930648.png | https://africanmarketingconfederation.org/wp-content/uploads/2024/09/Asset-3-300x223.png | https://africanmarketingconfederation.org/wp-content/uploads/2025/05/The-Marketing-Association-of-Botswana-Logo-01-1.png | https://africanmarketingconfederation.org/wp-content/uploads/2025/07/thumbnail_atpmc-nouveau--300x116.jpg | https://africanmarketingconfederation.org/wp-content/uploads/2025/12/AMCM-Logo-copy.svg | https://africanmarketingconfederation.org/wp-content/uploads/2025/12/AVIS-AVIS.png | https://africanmarketingconfederation.org/wp-content/uploads/2026/03/The-Marketing-Association-of-Botswana-Logo-01-1-1.png | https://africanmarketingconfederation.org/wp-content/uploads/2026/03/og-image.png | https://www.facebook.com/tr?id=1795315120651843&amp;ev=PageView&amp;noscript=1 | https://www.facebook.com/tr?id=1795315120651843&amp;ev=PageView&amp;noscript=1&amp;cd%5Bpage_title%5D=Members&amp;cd%5Bpost_type%5D=page&amp;cd%5Bpost_id%5D=86&amp;cd%5Bplugin%5D=PixelYourSite&amp;cd%5Buser_role%5D=guest&amp;cd%5Bevent_url%5D=africanmarketingconfederation.org%2Fmembers%2F</t>
  </si>
  <si>
    <t>jpg:2, other:2, png:16, svg:3</t>
  </si>
  <si>
    <t>https://africanmarketingconfederation.org/wp-content/uploads/2021/08/cma_qualificationx3_1-1024x386.png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Committees&amp;cd%5Bpost_type%5D=page&amp;cd%5Bpost_id%5D=3634&amp;cd%5Bplugin%5D=PixelYourSite&amp;cd%5Buser_role%5D=guest&amp;cd%5Bevent_url%5D=africanmarketingconfederation.org%2Fsub-committees%2F</t>
  </si>
  <si>
    <t>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</si>
  <si>
    <t>other:2, png:19, svg:2</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</si>
  <si>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https://africanmarketingconfederation.org/wp-content/uploads/2026/04/Awards-page-2026-scaled.png | https://www.facebook.com/tr?id=1795315120651843&amp;ev=PageView&amp;noscript=1 | https://www.facebook.com/tr?id=1795315120651843&amp;ev=PageView&amp;noscript=1&amp;cd%5Bpage_title%5D=2026+AMC+Awards-1&amp;cd%5Bpost_type%5D=page&amp;cd%5Bpost_id%5D=32554&amp;cd%5Bplugin%5D=PixelYourSite&amp;cd%5Buser_role%5D=guest&amp;cd%5Bevent_url%5D=africanmarketingconfederation.org%2Fawards-2026-1%2F</t>
  </si>
  <si>
    <t>jpg:1, other:2, png:9,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</si>
  <si>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Awards+2026+test&amp;cd%5Bpost_type%5D=page&amp;cd%5Bpost_id%5D=34552&amp;cd%5Bplugin%5D=PixelYourSite&amp;cd%5Buser_role%5D=guest&amp;cd%5Bevent_url%5D=africanmarketingconfederation.org%2Fawards-2026-test%2F</t>
  </si>
  <si>
    <t>jpg:1, other:2, png:10,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</si>
  <si>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https://africanmarketingconfederation.org/wp-content/uploads/2024/04/AMC-Website-Elements-4-2.png | https://africanmarketingconfederation.org/wp-content/uploads/2025/04/Dr-Elaine-van-wyk.png | https://africanmarketingconfederation.org/wp-content/uploads/2025/08/AMC-Speakers-2025.png | https://africanmarketingconfederation.org/wp-content/uploads/2025/08/AMC-Speakers-2025_Charles.png | https://africanmarketingconfederation.org/wp-content/uploads/2025/08/AMC-Speakers-2025_Chris-Wulff.png | https://africanmarketingconfederation.org/wp-content/uploads/2025/08/AMC-Speakers-2025_Estella.png | https://africanmarketingconfederation.org/wp-content/uploads/2025/08/AMC-Speakers-2025_Frederic.png | https://africanmarketingconfederation.org/wp-content/uploads/2025/08/AMC-Speakers-2025_Girish1.png | https://africanmarketingconfederation.org/wp-content/uploads/2025/08/AMC-Speakers-2025_Jan.png | https://africanmarketingconfederation.org/wp-content/uploads/2025/08/AMC-Speakers-2025_Julius.png | https://africanmarketingconfederation.org/wp-content/uploads/2025/08/AMC-Speakers-2025_Matogo.png | https://africanmarketingconfederation.org/wp-content/uploads/2025/08/AMC-Speakers-2025_Orla.png | https://africanmarketingconfederation.org/wp-content/uploads/2025/08/AMC-Speakers-2025_Pluto.png | https://africanmarketingconfederation.org/wp-content/uploads/2025/08/AMC-Speakers-2025_Prof-Robert.png | https://africanmarketingconfederation.org/wp-content/uploads/2025/08/AMC-Speakers-2025_Thobekile.png | https://africanmarketingconfederation.org/wp-content/uploads/2025/08/AMC-Speakers-2025_Yannick.png | https://africanmarketingconfederation.org/wp-content/uploads/2025/08/AMC-Speakers-2025png-Ralf-speaker.png | https://africanmarketingconfederation.org/wp-content/uploads/2025/08/AMC-Speakers-2025png-coetzee.png | https://africanmarketingconfederation.org/wp-content/uploads/2025/08/AMC-Speakers-2025pngChief-Executive-Officer-at-Npontu-Technologies-Limited.png | https://africanmarketingconfederation.org/wp-content/uploads/2025/08/Dr-Syed-Ferhat-Anwar-AMC-Speaker.png | https://africanmarketingconfederation.org/wp-content/uploads/2025/08/Elaine-van-Wyk-UXI-Group-CMO.png | https://africanmarketingconfederation.org/wp-content/uploads/2025/08/Helen-speaker.png | https://africanmarketingconfederation.org/wp-content/uploads/2025/08/James-stutton-CIM.png | https://africanmarketingconfederation.org/wp-content/uploads/2025/08/Maggi-CIM.png | https://africanmarketingconfederation.org/wp-content/uploads/2025/08/Provost-and-President-at-Academic-City-University-College.png | https://africanmarketingconfederation.org/wp-content/uploads/2025/08/robert1223-copy-14.png | https://africanmarketingconfederation.org/wp-content/uploads/2025/08/robert1223-copy-15.png | https://africanmarketingconfederation.org/wp-content/uploads/2025/08/robert1223-copy-16.png | https://africanmarketingconfederation.org/wp-content/uploads/2025/08/robert1223-copy-17.png | https://africanmarketingconfederation.org/wp-content/uploads/2025/08/robert1223-copy-18.png | https://africanmarketingconfederation.org/wp-content/uploads/2025/08/robert1223-copy-19.png | https://africanmarketingconfederation.org/wp-content/uploads/2025/08/robert1223-copy-20.png | https://africanmarketingconfederation.org/wp-content/uploads/2025/08/robert1223-copy-21.png | https://africanmarketingconfederation.org/wp-content/uploads/2025/08/robert1223-copy-22.png | https://africanmarketingconfederation.org/wp-content/uploads/2025/08/robert1223-copy-23.png | https://africanmarketingconfederation.org/wp-content/uploads/2025/09/AMC-Speakers-2025_DrAbubakar1-18.png | https://africanmarketingconfederation.org/wp-content/uploads/2025/09/AMC-Speakers-2025_Gilbert.png | https://africanmarketingconfederation.org/wp-content/uploads/2025/09/AMC-Speakers-2025_Pamela.png | https://africanmarketingconfederation.org/wp-content/uploads/2025/09/AMC-Speakers-2025_Stephen1-17.png | https://africanmarketingconfederation.org/wp-content/uploads/2026/03/AMC-Speakers-2025png-Prof-Douglas-new-2.png | https://www.facebook.com/tr?id=1795315120651843&amp;ev=PageView&amp;noscript=1 | https://www.facebook.com/tr?id=1795315120651843&amp;ev=PageView&amp;noscript=1&amp;cd%5Bpage_title%5D=Speakers+2025&amp;cd%5Bpost_type%5D=page&amp;cd%5Bpost_id%5D=21962&amp;cd%5Bplugin%5D=PixelYourSite&amp;cd%5Buser_role%5D=guest&amp;cd%5Bevent_url%5D=africanmarketingconfederation.org%2Fspeakers-2025%2F</t>
  </si>
  <si>
    <t>other:2, png:41,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</si>
  <si>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Awards+Nominations+Thank+You&amp;cd%5Bpost_type%5D=page&amp;cd%5Bpost_id%5D=33280&amp;cd%5Bplugin%5D=PixelYourSite&amp;cd%5Buser_role%5D=guest&amp;cd%5Bevent_url%5D=africanmarketingconfederation.org%2Famc-conference-2026-awards-nominations-thank-you%2F</t>
  </si>
  <si>
    <t>other:2, png:5,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</si>
  <si>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Zambia+Thank+You&amp;cd%5Bpost_type%5D=page&amp;cd%5Bpost_id%5D=22778&amp;cd%5Bplugin%5D=PixelYourSite&amp;cd%5Buser_role%5D=guest&amp;cd%5Bevent_url%5D=africanmarketingconfederation.org%2Famc-conference-2026-zambia-thank-you%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</si>
  <si>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Launch+Event+Zambia+Thank+You+2026&amp;cd%5Bpost_type%5D=page&amp;cd%5Bpost_id%5D=33131&amp;cd%5Bplugin%5D=PixelYourSite&amp;cd%5Buser_role%5D=guest&amp;cd%5Bevent_url%5D=africanmarketingconfederation.org%2Famc-launch-event-zambia-thank-you-2026%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</si>
  <si>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https://africanmarketingconfederation.org/wp-content/uploads/2024/03/AMC-Website-Elements-2-1-819x1024.png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https://africanmarketingconfederation.org/wp-content/uploads/2025/07/Charity.png | https://africanmarketingconfederation.org/wp-content/uploads/2025/07/charity-Icon.png | https://www.facebook.com/tr?id=1795315120651843&amp;ev=PageView&amp;noscript=1 | https://www.facebook.com/tr?id=1795315120651843&amp;ev=PageView&amp;noscript=1&amp;cd%5Bpage_title%5D=Awards+2025&amp;cd%5Bpost_type%5D=page&amp;cd%5Bpost_id%5D=29496&amp;cd%5Bplugin%5D=PixelYourSite&amp;cd%5Buser_role%5D=guest&amp;cd%5Bevent_url%5D=africanmarketingconfederation.org%2Famc-marketing-conference-2024%2Fawards-2025%2F</t>
  </si>
  <si>
    <t>other:2, png:18,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</si>
  <si>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https://africanmarketingconfederation.org/wp-content/uploads/2025/09/AWARDS-163-scaled.jpg | https://africanmarketingconfederation.org/wp-content/uploads/2025/09/AWARDS-28-scaled.jpg | https://africanmarketingconfederation.org/wp-content/uploads/2025/09/AWARDS-72-scaled.png | https://africanmarketingconfederation.org/wp-content/uploads/2025/09/AWARDS-99-scaled.jpg | https://africanmarketingconfederation.org/wp-content/uploads/2025/09/BP-2-scaled.webp | https://africanmarketingconfederation.org/wp-content/uploads/2025/09/BP-22-scaled.webp | https://africanmarketingconfederation.org/wp-content/uploads/2025/09/BP-23-scaled.webp | https://africanmarketingconfederation.org/wp-content/uploads/2025/09/BP-6-scaled.webp | https://africanmarketingconfederation.org/wp-content/uploads/2025/09/C-EVENING-12-scaled.webp | https://africanmarketingconfederation.org/wp-content/uploads/2025/09/C-EVENING-27-scaled.webp | https://africanmarketingconfederation.org/wp-content/uploads/2025/09/C-EVENING-5-scaled.webp | https://africanmarketingconfederation.org/wp-content/uploads/2025/09/C-EVENING-9-scaled.webp | https://africanmarketingconfederation.org/wp-content/uploads/2025/09/DAY-1-54-scaled.webp | https://africanmarketingconfederation.org/wp-content/uploads/2025/09/DAY-1-55-scaled.png | https://africanmarketingconfederation.org/wp-content/uploads/2025/09/DAY-1-56-scaled.webp | https://africanmarketingconfederation.org/wp-content/uploads/2025/09/DAY-1-57-scaled.webp | https://africanmarketingconfederation.org/wp-content/uploads/2025/09/DAY-1-58-1-scaled.png | https://africanmarketingconfederation.org/wp-content/uploads/2025/09/DAY-1-59-scaled.png | https://africanmarketingconfederation.org/wp-content/uploads/2025/09/DAY-1-63-scaled.webp | https://africanmarketingconfederation.org/wp-content/uploads/2025/09/DAY-1-66-scaled.webp | https://africanmarketingconfederation.org/wp-content/uploads/2025/09/DAY-1-67-scaled.webp | https://africanmarketingconfederation.org/wp-content/uploads/2025/09/DAY-1-68-scaled.png | https://africanmarketingconfederation.org/wp-content/uploads/2025/09/DAY-2-12-scaled.webp | https://africanmarketingconfederation.org/wp-content/uploads/2025/09/DAY-2-14-scaled.webp | https://africanmarketingconfederation.org/wp-content/uploads/2025/09/DAY-2-15-scaled.webp | https://africanmarketingconfederation.org/wp-content/uploads/2025/09/DAY-2-16-scaled.webp | https://africanmarketingconfederation.org/wp-content/uploads/2025/09/DAY-2-19-scaled.png | https://africanmarketingconfederation.org/wp-content/uploads/2025/09/DAY-2-22-scaled.png | https://africanmarketingconfederation.org/wp-content/uploads/2025/09/DAY-2-25-scaled.webp | https://africanmarketingconfederation.org/wp-content/uploads/2025/09/DAY-2-26-scaled.webp | https://africanmarketingconfederation.org/wp-content/uploads/2025/09/DAY-2-31-scaled.png | https://africanmarketingconfederation.org/wp-content/uploads/2025/09/DAY-2-32-scaled.png | https://africanmarketingconfederation.org/wp-content/uploads/2025/09/DAY-2-33-scaled.webp | https://africanmarketingconfederation.org/wp-content/uploads/2025/09/DAY-2-38-scaled.png | https://africanmarketingconfederation.org/wp-content/uploads/2025/09/DAY-2-40-scaled.png | https://africanmarketingconfederation.org/wp-content/uploads/2025/09/DAY-2-42-scaled.webp | https://africanmarketingconfederation.org/wp-content/uploads/2025/09/DAY-2-45-scaled.webp | https://africanmarketingconfederation.org/wp-content/uploads/2025/09/DAY-2-57-scaled.webp | https://africanmarketingconfederation.org/wp-content/uploads/2025/09/DAY-2-60-scaled.webp | https://africanmarketingconfederation.org/wp-content/uploads/2025/09/DAY-2-61-scaled.webp | https://africanmarketingconfederation.org/wp-content/uploads/2025/09/DAY-2-68-scaled.png | https://africanmarketingconfederation.org/wp-content/uploads/2025/09/DAY-2-71-scaled.png | https://africanmarketingconfederation.org/wp-content/uploads/2025/09/DAY-2-74-scaled.webp | https://africanmarketingconfederation.org/wp-content/uploads/2025/09/DAY-2-75-scaled.webp | https://africanmarketingconfederation.org/wp-content/uploads/2025/09/DAY-2-79-scaled.webp | https://africanmarketingconfederation.org/wp-content/uploads/2025/09/DAY-2-80-scaled.webp | https://africanmarketingconfederation.org/wp-content/uploads/2025/09/DAY-2-84-scaled.png | https://africanmarketingconfederation.org/wp-content/uploads/2025/09/DAY-2-87-scaled.webp | https://africanmarketingconfederation.org/wp-content/uploads/2025/09/DAY-2-90-scaled.webp | https://africanmarketingconfederation.org/wp-content/uploads/2025/09/DAY-2-95-scaled.png | https://africanmarketingconfederation.org/wp-content/uploads/2025/09/DSC05469-scaled.png | https://africanmarketingconfederation.org/wp-content/uploads/2025/09/DSC05473-scaled.png | https://africanmarketingconfederation.org/wp-content/uploads/2025/09/DSC06728-1-scaled.png | https://africanmarketingconfederation.org/wp-content/uploads/2025/09/DSC06743-scaled.webp | https://africanmarketingconfederation.org/wp-content/uploads/2025/09/DSC06746-scaled.png | https://africanmarketingconfederation.org/wp-content/uploads/2025/09/DSC06766-scaled.png | https://africanmarketingconfederation.org/wp-content/uploads/2025/09/DSC06848-scaled.webp | https://africanmarketingconfederation.org/wp-content/uploads/2025/09/DSC06859-scaled.webp | https://africanmarketingconfederation.org/wp-content/uploads/2025/09/DSC06875-scaled.webp | https://africanmarketingconfederation.org/wp-content/uploads/2025/09/DSC06897-scaled.webp | https://africanmarketingconfederation.org/wp-content/uploads/2025/09/DSC07015-scaled.webp | https://africanmarketingconfederation.org/wp-content/uploads/2025/09/DSC07054-scaled.webp | https://africanmarketingconfederation.org/wp-content/uploads/2025/09/DSC07062-scaled.webp | https://africanmarketingconfederation.org/wp-content/uploads/2025/09/DSC07115-scaled.webp | https://africanmarketingconfederation.org/wp-content/uploads/2025/09/DSC07126-scaled.webp | https://africanmarketingconfederation.org/wp-content/uploads/2025/09/DSC07164-scaled.png | https://africanmarketingconfederation.org/wp-content/uploads/2025/09/DSC07175-scaled.webp | https://africanmarketingconfederation.org/wp-content/uploads/2025/09/DSC07187-scaled.webp | https://africanmarketingconfederation.org/wp-content/uploads/2025/10/AWARDS-57-1.jpg | https://africanmarketingconfederation.org/wp-content/uploads/2025/10/DAY-2-36.jpg | https://africanmarketingconfederation.org/wp-content/uploads/2025/10/DAY-2-92-1024x683.jpg | https://africanmarketingconfederation.org/wp-content/uploads/2025/10/DAY-3-60.jpg | https://africanmarketingconfederation.org/wp-content/uploads/2025/10/DAY-3-62.jpg | https://africanmarketingconfederation.org/wp-content/uploads/2025/10/DAY-3-63.jpg | https://africanmarketingconfederation.org/wp-content/uploads/2025/10/DAY-3-65.jpg | https://africanmarketingconfederation.org/wp-content/uploads/2025/10/DSC05161-scaled.jpg | https://africanmarketingconfederation.org/wp-content/uploads/2025/10/DSC05170.JPG | https://africanmarketingconfederation.org/wp-content/uploads/2025/10/DSC05182.JPG | https://africanmarketingconfederation.org/wp-content/uploads/2025/10/DSC05227.JPG | https://africanmarketingconfederation.org/wp-content/uploads/2025/10/DSC05273-scaled.jpg | https://africanmarketingconfederation.org/wp-content/uploads/2025/10/DSC05278.JPG | https://africanmarketingconfederation.org/wp-content/uploads/2025/10/DSC06408-1-scaled.jpg | https://africanmarketingconfederation.org/wp-content/uploads/2025/10/DSC06415-scaled.png | https://africanmarketingconfederation.org/wp-content/uploads/2025/10/DSC06483-scaled.jpg | https://africanmarketingconfederation.org/wp-content/uploads/2025/10/DSC06492-scaled.jpg | https://africanmarketingconfederation.org/wp-content/uploads/2025/10/DSC06818.JPG | https://africanmarketingconfederation.org/wp-content/uploads/2025/10/DSC06925.png | https://africanmarketingconfederation.org/wp-content/uploads/2025/10/logo_zim_site-fav.png | https://www.facebook.com/tr?id=1795315120651843&amp;ev=PageView&amp;noscript=1 | https://www.facebook.com/tr?id=1795315120651843&amp;ev=PageView&amp;noscript=1&amp;cd%5Bpage_title%5D=AMC+Conference+2025+Highlights&amp;cd%5Bpost_type%5D=page&amp;cd%5Bpost_id%5D=30257&amp;cd%5Bplugin%5D=PixelYourSite&amp;cd%5Buser_role%5D=guest&amp;cd%5Bevent_url%5D=africanmarketingconfederation.org%2Famc-conference-2025-highlights%2F</t>
  </si>
  <si>
    <t>jpg:20, other:2, png:25, svg:3, webp:44</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</si>
  <si>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</si>
  <si>
    <t>jpg:6, other:2, png:3, svg:2</t>
  </si>
  <si>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Gallery&amp;cd%5Bpost_type%5D=page&amp;cd%5Bpost_id%5D=13549&amp;cd%5Bplugin%5D=PixelYourSite&amp;cd%5Buser_role%5D=guest&amp;cd%5Bevent_url%5D=africanmarketingconfederation.org%2Famc-conference-2023%2Fgallery%2F</t>
  </si>
  <si>
    <t>other:2, png:1, svg:2</t>
  </si>
  <si>
    <t>https://africanmarketingconfederation.org/wp-content/uploads/2021/08/facebook.svg | https://africanmarketingconfederation.org/wp-content/uploads/2021/08/linkedin.svg | https://africanmarketingconfederation.org/wp-content/uploads/2024/02/MSK-logo-1024x326-3.png | https://africanmarketingconfederation.org/wp-content/uploads/2024/03/AMC-Conference-Event-Design-2-1024x965.png | https://africanmarketingconfederation.org/wp-content/uploads/2026/03/og-image.png | https://www.facebook.com/tr?id=1795315120651843&amp;ev=PageView&amp;noscript=1 | https://www.facebook.com/tr?id=1795315120651843&amp;ev=PageView&amp;noscript=1&amp;cd%5Bpage_title%5D=Conference+Registrations+2024&amp;cd%5Bpost_type%5D=page&amp;cd%5Bpost_id%5D=16472&amp;cd%5Bplugin%5D=PixelYourSite&amp;cd%5Buser_role%5D=guest&amp;cd%5Bevent_url%5D=africanmarketingconfederation.org%2Fconference-registrations-2024%2F</t>
  </si>
  <si>
    <t>other:2, png:3, svg:2</t>
  </si>
  <si>
    <t>https://africanmarketingconfederation.org/wp-content/uploads/2021/08/facebook.svg | https://africanmarketingconfederation.org/wp-content/uploads/2021/08/linkedin.svg | https://africanmarketingconfederation.org/wp-content/uploads/2025/09/2025-TICON-Africa-Conference-Highlights-from-Day-1-4.jpg | https://africanmarketingconfederation.org/wp-content/uploads/2025/09/2025-TICON-Africa-Conference-Highlights-from-Day-1.jpg | https://africanmarketingconfederation.org/wp-content/uploads/2025/09/2025-TICON-Africa-Conference-Highlights-from-Day-2-18.jpg | https://africanmarketingconfederation.org/wp-content/uploads/2025/09/2025-TICON-Africa-Conference-Highlights-from-Day-2-24.jpg | https://africanmarketingconfederation.org/wp-content/uploads/2025/09/2025-TICON-Africa-Conference-Highlights-from-Day-2-29.jpg | https://africanmarketingconfederation.org/wp-content/uploads/2025/09/2025-TICON-Africa-Conference-Highlights-from-Day-2-4.jpg | https://africanmarketingconfederation.org/wp-content/uploads/2025/09/2025-TICON-Africa-Conference-Highlights-from-Day-2-9.jpg | https://africanmarketingconfederation.org/wp-content/uploads/2025/09/2025-TICON-Africa-Conference-Highlights-from-Day-3-11.jpg | https://africanmarketingconfederation.org/wp-content/uploads/2025/09/2025-TICON-Africa-Conference-Highlights-from-Day-3-2.jpg | https://africanmarketingconfederation.org/wp-content/uploads/2025/09/2025-TICON-Africa-Conference-Highlights-from-Day-3-4.jpg | https://africanmarketingconfederation.org/wp-content/uploads/2025/12/2025-TICON-Africa-Conference-Highlights-from-Day-2-7.jpg | https://africanmarketingconfederation.org/wp-content/uploads/2025/12/2025-TICON-Africa-Conference-Highlights-from-Day-3-21.jpg | https://africanmarketingconfederation.org/wp-content/uploads/2025/12/Avani-Victoria-Falls-Resort-TICON-Africa-Conference-2026.jpg | https://africanmarketingconfederation.org/wp-content/uploads/2025/12/ICT-Association-of-Zambia-TICON-Africa-Primary-Member.png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https://africanmarketingconfederation.org/wp-content/uploads/2026/03/og-image.png | https://www.facebook.com/tr?id=1795315120651843&amp;ev=PageView&amp;noscript=1 | https://www.facebook.com/tr?id=1795315120651843&amp;ev=PageView&amp;noscript=1&amp;cd%5Bpage_title%5D=Elementor+%2331820&amp;cd%5Bpost_type%5D=page&amp;cd%5Bpost_id%5D=31820&amp;cd%5Bplugin%5D=PixelYourSite&amp;cd%5Buser_role%5D=guest&amp;cd%5Bevent_url%5D=africanmarketingconfederation.org%2Felementor-31820%2F</t>
  </si>
  <si>
    <t>jpg:18, other:2, png:2, svg:2</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</si>
  <si>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https://africanmarketingconfederation.org/wp-content/uploads/2024/10/049A8252-101.JPG | https://africanmarketingconfederation.org/wp-content/uploads/2024/10/ARN_0214-scaled.jpg | https://africanmarketingconfederation.org/wp-content/uploads/2024/10/Day-2_0000_DSCF5253-185-2.png | https://africanmarketingconfederation.org/wp-content/uploads/2024/10/Day-2_0001_DSCF5204-160-2.png | https://africanmarketingconfederation.org/wp-content/uploads/2024/10/Day-2_0003_DSC09591-250-2.png | https://africanmarketingconfederation.org/wp-content/uploads/2024/10/Day-2_0004_1G2A5177-2.png | https://africanmarketingconfederation.org/wp-content/uploads/2024/10/Day-2_0005_1G2A5360-2.png | https://africanmarketingconfederation.org/wp-content/uploads/2024/10/Day-2_0007_1G2A5219-2.png | https://africanmarketingconfederation.org/wp-content/uploads/2024/10/Day-2_0009_1G2A5142-2.png | https://africanmarketingconfederation.org/wp-content/uploads/2024/10/Day-2_0010_Layer-0-2.png | https://africanmarketingconfederation.org/wp-content/uploads/2024/10/Day-3_0000_DSC09894-126.png | https://africanmarketingconfederation.org/wp-content/uploads/2024/10/Day-3_0001_DSC09777-115.png | https://africanmarketingconfederation.org/wp-content/uploads/2024/10/Day-3_0002_DSC09680-95.png | https://africanmarketingconfederation.org/wp-content/uploads/2024/10/Day-3_0003_DSC00164-145.png | https://africanmarketingconfederation.org/wp-content/uploads/2024/10/Day-3_0004_DSC00113-142.png | https://africanmarketingconfederation.org/wp-content/uploads/2024/10/Day-3_0005_DSC00076-138.png | https://africanmarketingconfederation.org/wp-content/uploads/2024/10/Day-3_0006_DSC00182-146.png | https://africanmarketingconfederation.org/wp-content/uploads/2024/10/Day-3_0007_ARN_0180.png | https://africanmarketingconfederation.org/wp-content/uploads/2024/10/Day-3_0008_DSCF5297.png | https://africanmarketingconfederation.org/wp-content/uploads/2024/10/Day-3_0009_DSCF5292.png | https://africanmarketingconfederation.org/wp-content/uploads/2024/10/Day-3_0010_ARN_0431.png | https://africanmarketingconfederation.org/wp-content/uploads/2024/10/Day-3_0011_ARN_0352.png | https://africanmarketingconfederation.org/wp-content/uploads/2024/10/Day-3_0012_DSCF5354.png | https://africanmarketingconfederation.org/wp-content/uploads/2024/10/Day-3_0013_Layer-1.png | https://africanmarketingconfederation.org/wp-content/uploads/2024/10/Day1-_0000_DSCF4792.png | https://africanmarketingconfederation.org/wp-content/uploads/2024/10/Day1-_0001_ARN_7889.png | https://africanmarketingconfederation.org/wp-content/uploads/2024/10/Day1-_0002_ARN_7862.png | https://africanmarketingconfederation.org/wp-content/uploads/2024/10/Day1-_0003_ARN_7843.png | https://africanmarketingconfederation.org/wp-content/uploads/2024/10/Day1-_0004_ARN_7789.png | https://africanmarketingconfederation.org/wp-content/uploads/2024/10/Day1-_0005_ARN_7734.png | https://africanmarketingconfederation.org/wp-content/uploads/2024/10/Day1-_0006_ARN_7686.png | https://africanmarketingconfederation.org/wp-content/uploads/2024/10/Day1-_0007_1G2A4181.png | https://africanmarketingconfederation.org/wp-content/uploads/2024/10/Day1-_0008_1G2A4096.png | https://africanmarketingconfederation.org/wp-content/uploads/2024/10/Day1-_0009_1G2A4073.png | https://africanmarketingconfederation.org/wp-content/uploads/2024/10/Day1-_0010_1G2A3996.png | https://africanmarketingconfederation.org/wp-content/uploads/2024/10/Day1-_0011_DSC09082.png | https://africanmarketingconfederation.org/wp-content/uploads/2024/10/Day1-_0012_Layer-0.png | https://africanmarketingconfederation.org/wp-content/uploads/2024/10/Ghana-winners-826x1024.png | https://africanmarketingconfederation.org/wp-content/uploads/2024/10/Night-1_0000_1G2A5053.png | https://africanmarketingconfederation.org/wp-content/uploads/2024/10/Night-1_0001_1G2A4944.png | https://africanmarketingconfederation.org/wp-content/uploads/2024/10/Night-1_0002_1G2A4823.png | https://africanmarketingconfederation.org/wp-content/uploads/2024/10/Night-1_0003_1G2A4743.png | https://africanmarketingconfederation.org/wp-content/uploads/2024/10/Night-1_0004_1G2A4664.png | https://africanmarketingconfederation.org/wp-content/uploads/2024/10/Night-1_0005_Layer-0.png | https://africanmarketingconfederation.org/wp-content/uploads/2024/10/Night-2_0000_ARN_9619-1.png | https://africanmarketingconfederation.org/wp-content/uploads/2024/10/Night-2_0001_ARN_9332-1.png | https://africanmarketingconfederation.org/wp-content/uploads/2024/10/Night-2_0002_ARN_9303-1.png | https://africanmarketingconfederation.org/wp-content/uploads/2024/10/Night-2_0003_ARN_9225-1.png | https://africanmarketingconfederation.org/wp-content/uploads/2024/10/Night-2_0004_Layer-0-1.png | https://africanmarketingconfederation.org/wp-content/uploads/2025/05/AMC-Map-2025.png | https://www.facebook.com/tr?id=1795315120651843&amp;ev=PageView&amp;noscript=1 | https://www.facebook.com/tr?id=1795315120651843&amp;ev=PageView&amp;noscript=1&amp;cd%5Bpage_title%5D=AMC+Conference+2024+Recap&amp;cd%5Bpost_type%5D=page&amp;cd%5Bpost_id%5D=22401&amp;cd%5Bplugin%5D=PixelYourSite&amp;cd%5Buser_role%5D=guest&amp;cd%5Bevent_url%5D=africanmarketingconfederation.org%2Famc-conference-2024-recap%2F</t>
  </si>
  <si>
    <t>jpg:2, other:2, png:79,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</si>
  <si>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Programme+2025&amp;cd%5Bpost_type%5D=page&amp;cd%5Bpost_id%5D=24882&amp;cd%5Bplugin%5D=PixelYourSite&amp;cd%5Buser_role%5D=guest&amp;cd%5Bevent_url%5D=africanmarketingconfederation.org%2Famc-marketing-conference-2024%2Famc-programme-2025%2F</t>
  </si>
  <si>
    <t>other:2, png:1,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</si>
  <si>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https://africanmarketingconfederation.org/wp-content/uploads/2025/02/AMC-Form-images.png | https://africanmarketingconfederation.org/wp-content/uploads/2025/04/AMC-Woman-Laughing-out-of-joy.png | https://africanmarketingconfederation.org/wp-content/uploads/2025/04/Old-Man-with-glasses-AMC-speaker.png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https://africanmarketingconfederation.org/wp-content/uploads/2025/08/AMC-Conference-Speaker-Cynthia-Ofori-Dwumfuo.png | https://africanmarketingconfederation.org/wp-content/uploads/2025/08/AMC-Speakers-2025_Estella.png | https://africanmarketingconfederation.org/wp-content/uploads/2025/08/AMC-Speakers-2025_Jan.png | https://africanmarketingconfederation.org/wp-content/uploads/2025/08/AMC-Speakers-2025_Orla.png | https://africanmarketingconfederation.org/wp-content/uploads/2025/08/AMC-Speakers-2025_Pluto.png | https://africanmarketingconfederation.org/wp-content/uploads/2025/08/AMC-Speakers-2025_Yannick.png | https://africanmarketingconfederation.org/wp-content/uploads/2025/08/Artboard-1-1024x576.png | https://africanmarketingconfederation.org/wp-content/uploads/2025/08/Artboard-2-1024x1024.png | https://www.facebook.com/tr?id=1795315120651843&amp;ev=PageView&amp;noscript=1 | https://www.facebook.com/tr?id=1795315120651843&amp;ev=PageView&amp;noscript=1&amp;cd%5Bpage_title%5D=AMC+Conference+2025&amp;cd%5Bpost_type%5D=page&amp;cd%5Bpost_id%5D=23710&amp;cd%5Bplugin%5D=PixelYourSite&amp;cd%5Buser_role%5D=guest&amp;cd%5Bevent_url%5D=africanmarketingconfederation.org%2Famc-conference-2025%2F</t>
  </si>
  <si>
    <t>jpg:1, other:2, png:35,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</si>
  <si>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https://africanmarketingconfederation.org/wp-content/uploads/2025/04/AMC-Speaker-2025-Woman-holding-Mic.png | https://africanmarketingconfederation.org/wp-content/uploads/2025/04/Sponsor-word-AMC-1024x200.png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https://africanmarketingconfederation.org/wp-content/uploads/2025/08/MTN-Ghana-Logo-1024x725.png | https://africanmarketingconfederation.org/wp-content/uploads/2025/08/UiPath-Logo-1.png | https://www.facebook.com/tr?id=1795315120651843&amp;ev=PageView&amp;noscript=1 | https://www.facebook.com/tr?id=1795315120651843&amp;ev=PageView&amp;noscript=1&amp;cd%5Bpage_title%5D=AMC+Sponsors+2025&amp;cd%5Bpost_type%5D=page&amp;cd%5Bpost_id%5D=21952&amp;cd%5Bplugin%5D=PixelYourSite&amp;cd%5Buser_role%5D=guest&amp;cd%5Bevent_url%5D=africanmarketingconfederation.org%2Famc-sponsors-2025%2F</t>
  </si>
  <si>
    <t>jpg:1, other:2, png:28, svg:3</t>
  </si>
  <si>
    <t>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</si>
  <si>
    <t>other:2, png:4, svg:2</t>
  </si>
  <si>
    <t>https://africanmarketingconfederation.org/wp-content/uploads/2021/08/facebook.svg | https://africanmarketingconfederation.org/wp-content/uploads/2021/08/linkedin.svg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https://africanmarketingconfederation.org/wp-content/uploads/2026/03/og-image.png | https://www.facebook.com/tr?id=1795315120651843&amp;ev=PageView&amp;noscript=1 | https://www.facebook.com/tr?id=1795315120651843&amp;ev=PageView&amp;noscript=1&amp;cd%5Bpage_title%5D=Test+payment+gate&amp;cd%5Bpost_type%5D=page&amp;cd%5Bpost_id%5D=27352&amp;cd%5Bplugin%5D=PixelYourSite&amp;cd%5Buser_role%5D=guest&amp;cd%5Bevent_url%5D=africanmarketingconfederation.org%2Ftest-payment-gate%2F</t>
  </si>
  <si>
    <t>other:2, png:5, svg:2</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</si>
  <si>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https://africanmarketingconfederation.org/wp-content/uploads/2026/03/og-image.png | https://www.facebook.com/tr?id=1795315120651843&amp;ev=PageView&amp;noscript=1 | https://www.facebook.com/tr?id=1795315120651843&amp;ev=PageView&amp;noscript=1&amp;cd%5Bpage_title%5D=Cart&amp;cd%5Bpost_type%5D=page&amp;cd%5Bpost_id%5D=17908&amp;cd%5Bplugin%5D=PixelYourSite&amp;cd%5Buser_role%5D=guest&amp;cd%5Bevent_url%5D=africanmarketingconfederation.org%2Fcart%2F</t>
  </si>
  <si>
    <t>jpg:1, other:2, png:17, svg:2</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</si>
  <si>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AMC+Preregister+2025&amp;cd%5Bpost_type%5D=page&amp;cd%5Bpost_id%5D=26290&amp;cd%5Bplugin%5D=PixelYourSite&amp;cd%5Buser_role%5D=guest&amp;cd%5Bevent_url%5D=africanmarketingconfederation.org%2Famc-marketing-conference-2024%2Famc-preregister-2025%2F</t>
  </si>
  <si>
    <t>other:2, png:12,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</si>
  <si>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https://africanmarketingconfederation.org/wp-content/uploads/2025/03/Enqiueries-FAQ-form-705x1024.png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Conference+FAQ+2025&amp;cd%5Bpost_type%5D=page&amp;cd%5Bpost_id%5D=24640&amp;cd%5Bplugin%5D=PixelYourSite&amp;cd%5Buser_role%5D=guest&amp;cd%5Bevent_url%5D=africanmarketingconfederation.org%2Fconference-faq-2025%2F</t>
  </si>
  <si>
    <t>jpg:1, other:2, png:17,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</si>
  <si>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Conference+2025+Ghana+Sponsors&amp;cd%5Bpost_type%5D=page&amp;cd%5Bpost_id%5D=25857&amp;cd%5Bplugin%5D=PixelYourSite&amp;cd%5Buser_role%5D=guest&amp;cd%5Bevent_url%5D=africanmarketingconfederation.org%2Famc-marketing-conference-2024%2Famc-conference-2025-ghana-sponsors%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</si>
  <si>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https://africanmarketingconfederation.org/wp-content/uploads/2025/04/AMC-people-shaking-hands.png | https://www.facebook.com/tr?id=1795315120651843&amp;ev=PageView&amp;noscript=1 | https://www.facebook.com/tr?id=1795315120651843&amp;ev=PageView&amp;noscript=1&amp;cd%5Bpage_title%5D=AMC+Launch+Event+2025&amp;cd%5Bpost_type%5D=page&amp;cd%5Bpost_id%5D=25788&amp;cd%5Bplugin%5D=PixelYourSite&amp;cd%5Buser_role%5D=guest&amp;cd%5Bevent_url%5D=africanmarketingconfederation.org%2Famc-marketing-conference-2024%2Famc-launch-event-2025%2F</t>
  </si>
  <si>
    <t>other:2, png:13,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</si>
  <si>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Payments&amp;cd%5Bpost_type%5D=page&amp;cd%5Bpost_id%5D=21984&amp;cd%5Bplugin%5D=PixelYourSite&amp;cd%5Buser_role%5D=guest&amp;cd%5Bevent_url%5D=africanmarketingconfederation.org%2Famc-forum-payments%2F</t>
  </si>
  <si>
    <t>jpg:1, other:2, png:16,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</si>
  <si>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</si>
  <si>
    <t>gif:1, jpg:23, other:2, png:12,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</si>
  <si>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</si>
  <si>
    <t>jpg:11, other:2, png:27,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</si>
  <si>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https://africanmarketingconfederation.org/wp-content/uploads/2023/09/AMC-TICON-0795.jpg | https://africanmarketingconfederation.org/wp-content/uploads/2023/09/AMC-TICON-0822.jpg | https://africanmarketingconfederation.org/wp-content/uploads/2023/09/AMC-TICON-1161.jpg | https://africanmarketingconfederation.org/wp-content/uploads/2023/09/AMC-Ticon-00588.jpg | https://africanmarketingconfederation.org/wp-content/uploads/2023/09/AMC-Ticon-01254.jpg | https://africanmarketingconfederation.org/wp-content/uploads/2023/09/AMC-Ticon-01263.jpg | https://africanmarketingconfederation.org/wp-content/uploads/2023/09/AMC-Ticon-01530.jpg | https://africanmarketingconfederation.org/wp-content/uploads/2023/09/AMC-Ticon-01566.jpg | https://africanmarketingconfederation.org/wp-content/uploads/2023/09/AMC-Ticon-01616.jpg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https://africanmarketingconfederation.org/wp-content/uploads/2024/03/TICON-AFRICA-MAn-518x1024.png | https://africanmarketingconfederation.org/wp-content/uploads/2024/04/AMC-Website-Elements-3-2-819x1024.png | https://africanmarketingconfederation.org/wp-content/uploads/2024/04/AMC-Website-Elements-6.png | https://africanmarketingconfederation.org/wp-content/uploads/2024/04/culinary-gallery1.jpg | https://africanmarketingconfederation.org/wp-content/uploads/2024/04/culinary-gallery11.jpg | https://africanmarketingconfederation.org/wp-content/uploads/2024/04/experiences-gallery5.jpg | https://africanmarketingconfederation.org/wp-content/uploads/2024/04/experiences-gallery7.jpg | https://africanmarketingconfederation.org/wp-content/uploads/2024/04/meeting-and-event-gallery13.jpg | https://africanmarketingconfederation.org/wp-content/uploads/2024/04/meeting-and-event-gallery23.jpg | https://africanmarketingconfederation.org/wp-content/uploads/2024/04/meeting-and-event-gallery26.jpg | https://africanmarketingconfederation.org/wp-content/uploads/2024/04/meeting-and-event-gallery4.jpg | https://africanmarketingconfederation.org/wp-content/uploads/2024/04/room-gallery16.jpg | https://africanmarketingconfederation.org/wp-content/uploads/2024/04/room-gallery2.jpg | https://africanmarketingconfederation.org/wp-content/uploads/2024/05/Untitled-2.png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https://africanmarketingconfederation.org/wp-content/uploads/2024/09/TICON-Africa-Coference-Flight-Partner-Ethiopian-Airlines-1.png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Mombasa&amp;cd%5Bpost_type%5D=page&amp;cd%5Bpost_id%5D=21958&amp;cd%5Bplugin%5D=PixelYourSite&amp;cd%5Buser_role%5D=guest&amp;cd%5Bevent_url%5D=africanmarketingconfederation.org%2Famc-forum-mombasa%2F</t>
  </si>
  <si>
    <t>jpg:23, other:2, png:51,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</si>
  <si>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peakers+presentations+2024&amp;cd%5Bpost_type%5D=page&amp;cd%5Bpost_id%5D=22595&amp;cd%5Bplugin%5D=PixelYourSite&amp;cd%5Buser_role%5D=guest&amp;cd%5Bevent_url%5D=africanmarketingconfederation.org%2Famc-marketing-conference-2024%2Famc-speakers-presentations-2024%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</si>
  <si>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https://africanmarketingconfederation.org/wp-content/uploads/2024/11/content-young-woman-pointing-camera-826x1024.png | https://www.facebook.com/tr?id=1795315120651843&amp;ev=PageView&amp;noscript=1 | https://www.facebook.com/tr?id=1795315120651843&amp;ev=PageView&amp;noscript=1&amp;cd%5Bpage_title%5D=Testimony+Thank+you+Page&amp;cd%5Bpost_type%5D=page&amp;cd%5Bpost_id%5D=23021&amp;cd%5Bplugin%5D=PixelYourSite&amp;cd%5Buser_role%5D=guest&amp;cd%5Bevent_url%5D=africanmarketingconfederation.org%2Famc-marketing-conference-2024%2Ftestimony-thank-you-page%2F</t>
  </si>
  <si>
    <t>other:2, png:2,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</si>
  <si>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ign+up+now+Form+2025&amp;cd%5Bpost_type%5D=page&amp;cd%5Bpost_id%5D=23001&amp;cd%5Bplugin%5D=PixelYourSite&amp;cd%5Buser_role%5D=guest&amp;cd%5Bevent_url%5D=africanmarketingconfederation.org%2Famc-sign-up-now-form-2025%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</si>
  <si>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Testimony+page+2024&amp;cd%5Bpost_type%5D=page&amp;cd%5Bpost_id%5D=22679&amp;cd%5Bplugin%5D=PixelYourSite&amp;cd%5Buser_role%5D=guest&amp;cd%5Bevent_url%5D=africanmarketingconfederation.org%2Famc-testimony-page-2024%2F</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</si>
  <si>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https://africanmarketingconfederation.org/wp-content/uploads/2024/06/AMC-elements-08-856x1024.png | https://africanmarketingconfederation.org/wp-content/uploads/2026/03/og-image.png | https://www.facebook.com/tr?id=1795315120651843&amp;ev=PageView&amp;noscript=1 | https://www.facebook.com/tr?id=1795315120651843&amp;ev=PageView&amp;noscript=1&amp;cd%5Bpage_title%5D=Thank+you+for+registering+2024+Registrations&amp;cd%5Bpost_type%5D=page&amp;cd%5Bpost_id%5D=17195&amp;cd%5Bplugin%5D=PixelYourSite&amp;cd%5Buser_role%5D=guest&amp;cd%5Bevent_url%5D=africanmarketingconfederation.org%2Fthank-you-for-registering-2024-registrations%2F</t>
  </si>
  <si>
    <t>https://africanmarketingconfederation.org/wp-content/uploads/2021/08/facebook.svg | https://africanmarketingconfederation.org/wp-content/uploads/2021/08/linkedin.svg | https://africanmarketingconfederation.org/wp-content/uploads/2024/04/AMC-Website-Elements-7-1.png | https://africanmarketingconfederation.org/wp-content/uploads/2026/03/og-image.png | https://www.facebook.com/tr?id=1795315120651843&amp;ev=PageView&amp;noscript=1 | https://www.facebook.com/tr?id=1795315120651843&amp;ev=PageView&amp;noscript=1&amp;cd%5Bpage_title%5D=Download+Prospectus+2024&amp;cd%5Bpost_type%5D=page&amp;cd%5Bpost_id%5D=19172&amp;cd%5Bplugin%5D=PixelYourSite&amp;cd%5Buser_role%5D=guest&amp;cd%5Bevent_url%5D=africanmarketingconfederation.org%2Fdownload-prospectus-2024%2F</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</si>
  <si>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https://africanmarketingconfederation.org/wp-content/uploads/2024/04/AMC-Website-Elements-8-819x1024.png | https://africanmarketingconfederation.org/wp-content/uploads/2026/03/og-image.png | https://www.facebook.com/tr?id=1795315120651843&amp;ev=PageView&amp;noscript=1 | https://www.facebook.com/tr?id=1795315120651843&amp;ev=PageView&amp;noscript=1&amp;cd%5Bpage_title%5D=Thank+you+for+registering+2024+Registrations+KENYA&amp;cd%5Bpost_type%5D=page&amp;cd%5Bpost_id%5D=21591&amp;cd%5Bplugin%5D=PixelYourSite&amp;cd%5Buser_role%5D=guest&amp;cd%5Bevent_url%5D=africanmarketingconfederation.org%2Fthank-you-for-registering-2024-registrations-kenya%2F</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</si>
  <si>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scribe&amp;cd%5Bpost_type%5D=page&amp;cd%5Bpost_id%5D=7781&amp;cd%5Bplugin%5D=PixelYourSite&amp;cd%5Buser_role%5D=guest&amp;cd%5Bevent_url%5D=africanmarketingconfederation.org%2Fsubscribe%2F</t>
  </si>
  <si>
    <t>https://africanmarketingconfederation.org/wp-content/uploads/2021/08/facebook.svg | https://africanmarketingconfederation.org/wp-content/uploads/2021/08/linkedin.svg | https://africanmarketingconfederation.org/wp-content/uploads/2024/05/Conference-Only-Package-1024x1024.png | https://africanmarketingconfederation.org/wp-content/uploads/2024/05/Full-Conference-Experience-Package-1024x1024.png | https://africanmarketingconfederation.org/wp-content/uploads/2024/05/Sarova-Whitesands-Conference-Package-1024x1024.png | https://africanmarketingconfederation.org/wp-content/uploads/2024/05/Travellers-Beach-Hotel-Conference-Package-1024x1024.png | https://africanmarketingconfederation.org/wp-content/uploads/2024/05/Virtual-Package-2-1024x1024.png | https://africanmarketingconfederation.org/wp-content/uploads/2026/03/og-image.png | https://www.facebook.com/tr?id=1795315120651843&amp;ev=PageView&amp;noscript=1 | https://www.facebook.com/tr?id=1795315120651843&amp;ev=PageView&amp;noscript=1&amp;cd%5Bpage_title%5D=Elementor+%2320341&amp;cd%5Bpost_type%5D=page&amp;cd%5Bpost_id%5D=20341&amp;cd%5Bplugin%5D=PixelYourSite&amp;cd%5Buser_role%5D=guest&amp;cd%5Bevent_url%5D=africanmarketingconfederation.org%2Felementor-20341%2F</t>
  </si>
  <si>
    <t>other:2, png:6, svg:2</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</si>
  <si>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Programme+fee&amp;cd%5Bpost_type%5D=page&amp;cd%5Bpost_id%5D=19980&amp;cd%5Bplugin%5D=PixelYourSite&amp;cd%5Buser_role%5D=guest&amp;cd%5Bevent_url%5D=africanmarketingconfederation.org%2Fchartered-marketer-africa-programme-fee%2F</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</si>
  <si>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Final+submission+fee&amp;cd%5Bpost_type%5D=page&amp;cd%5Bpost_id%5D=20001&amp;cd%5Bplugin%5D=PixelYourSite&amp;cd%5Buser_role%5D=guest&amp;cd%5Bevent_url%5D=africanmarketingconfederation.org%2Fchartered-marketer-africa-final-submission-fee%2F</t>
  </si>
  <si>
    <t>https://africanmarketingconfederation.org/wp-content/uploads/2021/08/facebook.svg | https://africanmarketingconfederation.org/wp-content/uploads/2021/08/linkedin.svg | https://africanmarketingconfederation.org/wp-content/uploads/2024/02/AMC-conference-2024-woman-1.png | https://africanmarketingconfederation.org/wp-content/uploads/2026/03/og-image.png | https://www.facebook.com/tr?id=1795315120651843&amp;ev=PageView&amp;noscript=1 | https://www.facebook.com/tr?id=1795315120651843&amp;ev=PageView&amp;noscript=1&amp;cd%5Bpage_title%5D=Download+Brochure&amp;cd%5Bpost_type%5D=page&amp;cd%5Bpost_id%5D=18478&amp;cd%5Bplugin%5D=PixelYourSite&amp;cd%5Buser_role%5D=guest&amp;cd%5Bevent_url%5D=africanmarketingconfederation.org%2Fdownload-brochure%2F</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</si>
  <si>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https://africanmarketingconfederation.org/wp-content/uploads/2024/03/AMC-Website-Elements-2-1-819x1024.png | https://africanmarketingconfederation.org/wp-content/uploads/2026/03/og-image.png | https://www.facebook.com/tr?id=1795315120651843&amp;ev=PageView&amp;noscript=1 | https://www.facebook.com/tr?id=1795315120651843&amp;ev=PageView&amp;noscript=1&amp;cd%5Bpage_title%5D=Thank+you+for+the+nomination+2024&amp;cd%5Bpost_type%5D=page&amp;cd%5Bpost_id%5D=17000&amp;cd%5Bplugin%5D=PixelYourSite&amp;cd%5Buser_role%5D=guest&amp;cd%5Bevent_url%5D=africanmarketingconfederation.org%2Fthank-you-for-the-nomination-2024%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</si>
  <si>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https://africanmarketingconfederation.org/wp-content/uploads/2025/05/Conference-only-package-2.png | https://africanmarketingconfederation.org/wp-content/uploads/2025/05/Day-attendance-1.png | https://africanmarketingconfederation.org/wp-content/uploads/2025/05/Full-conference-La-palm-resort-1.png | https://africanmarketingconfederation.org/wp-content/uploads/2025/05/Full-conference-Lebadi-beach-hotel-store-Image-1.png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Sponsors+Packages&amp;cd%5Bpost_type%5D=page&amp;cd%5Bpost_id%5D=18318&amp;cd%5Bplugin%5D=PixelYourSite&amp;cd%5Buser_role%5D=guest&amp;cd%5Bevent_url%5D=africanmarketingconfederation.org%2Famc-conference-2024-sponsors-packages%2F</t>
  </si>
  <si>
    <t>jpg:1, other:2, png:20, svg:3</t>
  </si>
  <si>
    <t>https://africanmarketingconfederation.org/wp-content/uploads/2021/08/facebook.svg | https://africanmarketingconfederation.org/wp-content/uploads/2021/08/linkedin.svg | https://africanmarketingconfederation.org/wp-content/uploads/2024/04/AMC-Website-Elements-4-2.png | https://africanmarketingconfederation.org/wp-content/uploads/2026/03/og-image.png | https://www.facebook.com/tr?id=1795315120651843&amp;ev=PageView&amp;noscript=1 | https://www.facebook.com/tr?id=1795315120651843&amp;ev=PageView&amp;noscript=1&amp;cd%5Bpage_title%5D=Thank+you+for+the+Submission+2024&amp;cd%5Bpost_type%5D=page&amp;cd%5Bpost_id%5D=17196&amp;cd%5Bplugin%5D=PixelYourSite&amp;cd%5Buser_role%5D=guest&amp;cd%5Bevent_url%5D=africanmarketingconfederation.org%2Fthank-you-for-the-submission-2024%2F</t>
  </si>
  <si>
    <t>https://africanmarketingconfederation.org/wp-content/uploads/2021/08/facebook.svg | https://africanmarketingconfederation.org/wp-content/uploads/2021/08/linkedin.svg | https://africanmarketingconfederation.org/wp-content/uploads/2024/03/amc-people-with-lines-05-683x1024.png | https://africanmarketingconfederation.org/wp-content/uploads/2026/03/og-image.png | https://www.facebook.com/tr?id=1795315120651843&amp;ev=PageView&amp;noscript=1 | https://www.facebook.com/tr?id=1795315120651843&amp;ev=PageView&amp;noscript=1&amp;cd%5Bpage_title%5D=Thank+you+for+registering&amp;cd%5Bpost_type%5D=page&amp;cd%5Bpost_id%5D=16548&amp;cd%5Bplugin%5D=PixelYourSite&amp;cd%5Buser_role%5D=guest&amp;cd%5Bevent_url%5D=africanmarketingconfederation.org%2Felementor-16548%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</si>
  <si>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https://africanmarketingconfederation.org/wp-content/uploads/2024/02/Programme-2024-829x1024.png | https://africanmarketingconfederation.org/wp-content/uploads/2024/02/Programme-2024.png2-2-vd-734x1024.png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Programme+2024&amp;cd%5Bpost_type%5D=page&amp;cd%5Bpost_id%5D=16104&amp;cd%5Bplugin%5D=PixelYourSite&amp;cd%5Buser_role%5D=guest&amp;cd%5Bevent_url%5D=africanmarketingconfederation.org%2Famc-marketing-conference-2024%2Fprogramme-2024%2F</t>
  </si>
  <si>
    <t>other:2, png:14, svg:3</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</si>
  <si>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</si>
  <si>
    <t>jpg:2, other:2, png:4, svg:2</t>
  </si>
  <si>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Programme&amp;cd%5Bpost_type%5D=page&amp;cd%5Bpost_id%5D=12945&amp;cd%5Bplugin%5D=PixelYourSite&amp;cd%5Buser_role%5D=guest&amp;cd%5Bevent_url%5D=africanmarketingconfederation.org%2Famc-conference-2023%2Fprogramme%2F</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</si>
  <si>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https://africanmarketingconfederation.org/wp-content/uploads/2023/06/IMM-Logo-2022_IMM_primary_horizontal.png | https://africanmarketingconfederation.org/wp-content/uploads/2023/06/Institute-of-Marketing-in-Malawi.png | https://africanmarketingconfederation.org/wp-content/uploads/2023/08/Afro-Mobile-Logo.png | https://africanmarketingconfederation.org/wp-content/uploads/2023/08/CIMDescriptor_blue-1.jpg | https://africanmarketingconfederation.org/wp-content/uploads/2023/08/Cocreate-LOGO-1024x409.png | https://africanmarketingconfederation.org/wp-content/uploads/2023/08/DVI-Pngs-02-11-1024x1024.png | https://africanmarketingconfederation.org/wp-content/uploads/2023/08/Multichoice-Uganda-Logo.png | https://africanmarketingconfederation.org/wp-content/uploads/2023/08/Next-Com-1.png | https://africanmarketingconfederation.org/wp-content/uploads/2023/08/PostBank-Logo-2-1024x229.png | https://africanmarketingconfederation.org/wp-content/uploads/2023/08/PostBank-Logo-3.png | https://africanmarketingconfederation.org/wp-content/uploads/2023/08/SBU-LOGO-3D.png | https://africanmarketingconfederation.org/wp-content/uploads/2023/08/UBL.png | https://africanmarketingconfederation.org/wp-content/uploads/2023/08/nv-footer_logo.02b1d23.png | https://africanmarketingconfederation.org/wp-content/uploads/2023/08/nv-logo_red.1a0b5c1.png | https://africanmarketingconfederation.org/wp-content/uploads/2023/08/u-airlines.png | https://africanmarketingconfederation.org/wp-content/uploads/2023/08/ug-air.png | https://www.facebook.com/tr?id=1795315120651843&amp;ev=PageView&amp;noscript=1 | https://www.facebook.com/tr?id=1795315120651843&amp;ev=PageView&amp;noscript=1&amp;cd%5Bpage_title%5D=Partners&amp;cd%5Bpost_type%5D=page&amp;cd%5Bpost_id%5D=13282&amp;cd%5Bplugin%5D=PixelYourSite&amp;cd%5Buser_role%5D=guest&amp;cd%5Bevent_url%5D=africanmarketingconfederation.org%2Famc-conference-2023%2Fpartners%2F</t>
  </si>
  <si>
    <t>jpg:1, other:2, png:24, svg:2</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</si>
  <si>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https://africanmarketingconfederation.org/wp-content/uploads/2023/08/Juliet-Ziswa-1-1.jpg | https://africanmarketingconfederation.org/wp-content/uploads/2023/08/Kin-Kariisa.png | https://africanmarketingconfederation.org/wp-content/uploads/2023/08/Matongo-Matamwandi.png | https://africanmarketingconfederation.org/wp-content/uploads/2023/08/Nondumiso-Ngobese-Mabece.png | https://africanmarketingconfederation.org/wp-content/uploads/2023/08/Pheodor-Mundia.jpg | https://africanmarketingconfederation.org/wp-content/uploads/2023/08/Philbert-Julai-Mdindi.png | https://africanmarketingconfederation.org/wp-content/uploads/2023/08/Prof-Robert-Ebo-Hanson.png | https://africanmarketingconfederation.org/wp-content/uploads/2023/08/Siham-Malek.png | https://africanmarketingconfederation.org/wp-content/uploads/2023/08/Yaw-Nsarkoh.png | https://www.facebook.com/tr?id=1795315120651843&amp;ev=PageView&amp;noscript=1 | https://www.facebook.com/tr?id=1795315120651843&amp;ev=PageView&amp;noscript=1&amp;cd%5Bpage_title%5D=Speakers&amp;cd%5Bpost_type%5D=page&amp;cd%5Bpost_id%5D=13179&amp;cd%5Bplugin%5D=PixelYourSite&amp;cd%5Buser_role%5D=guest&amp;cd%5Bevent_url%5D=africanmarketingconfederation.org%2Famc-conference-2023%2Fspeakers%2F</t>
  </si>
  <si>
    <t>jpg:5, other:2, png:9, svg:2</t>
  </si>
  <si>
    <t>https://africanmarketingconfederation.org/wp-content/uploads/2021/08/facebook.svg | https://africanmarketingconfederation.org/wp-content/uploads/2021/08/linkedin.svg | https://africanmarketingconfederation.org/wp-content/uploads/2022/10/AMC-2022_Website-banner-Chartered-Marketing-1024x267.png | https://africanmarketingconfederation.org/wp-content/uploads/2026/03/og-image.png | https://www.facebook.com/tr?id=1795315120651843&amp;ev=PageView&amp;noscript=1 | https://www.facebook.com/tr?id=1795315120651843&amp;ev=PageView&amp;noscript=1&amp;cd%5Bpage_title%5D=Chartered+Marketer+%28Africa%29+%7C+Thank+You&amp;cd%5Bpost_type%5D=page&amp;cd%5Bpost_id%5D=10823&amp;cd%5Bplugin%5D=PixelYourSite&amp;cd%5Buser_role%5D=guest&amp;cd%5Bevent_url%5D=africanmarketingconfederation.org%2Fchartered-marketer-africa-thank-you%2F</t>
  </si>
  <si>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</si>
  <si>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Book+Now&amp;cd%5Bpost_type%5D=page&amp;cd%5Bpost_id%5D=12407&amp;cd%5Bplugin%5D=PixelYourSite&amp;cd%5Buser_role%5D=guest&amp;cd%5Bevent_url%5D=africanmarketingconfederation.org%2Famc-conference-2023%2Fbook-now%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</si>
  <si>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https://africanmarketingconfederation.org/wp-content/uploads/2023/08/Prospectus-Cover.png | https://www.facebook.com/tr?id=1795315120651843&amp;ev=PageView&amp;noscript=1 | https://www.facebook.com/tr?id=1795315120651843&amp;ev=PageView&amp;noscript=1&amp;cd%5Bpage_title%5D=Download+Prospectus&amp;cd%5Bpost_type%5D=page&amp;cd%5Bpost_id%5D=13098&amp;cd%5Bplugin%5D=PixelYourSite&amp;cd%5Buser_role%5D=guest&amp;cd%5Bevent_url%5D=africanmarketingconfederation.org%2Famc-conference-2023%2Fdownload-prospectus%2F</t>
  </si>
  <si>
    <t>https://www.facebook.com/tr?id=1795315120651843&amp;ev=PageView&amp;noscript=1 | https://www.facebook.com/tr?id=1795315120651843&amp;ev=PageView&amp;noscript=1&amp;cd%5Bpage_title%5D=Book+Now+%7C+Thank+you&amp;cd%5Bpost_type%5D=page&amp;cd%5Bpost_id%5D=12497&amp;cd%5Bplugin%5D=PixelYourSite&amp;cd%5Buser_role%5D=guest&amp;cd%5Bevent_url%5D=africanmarketingconfederation.org%2Famc-conference-2023%2Fbook-now-thank-you%2F</t>
  </si>
  <si>
    <t>other:2</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</si>
  <si>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https://africanmarketingconfederation.org/wp-content/uploads/2023/06/AfricaPro-Conference-Icon.png | https://africanmarketingconfederation.org/wp-content/uploads/2023/06/IMM-Logo-2022_IMM_primary_horizontal.png | https://africanmarketingconfederation.org/wp-content/uploads/2023/06/Institute-of-Marketing-in-Malawi.png | https://www.facebook.com/tr?id=1795315120651843&amp;ev=PageView&amp;noscript=1 | https://www.facebook.com/tr?id=1795315120651843&amp;ev=PageView&amp;noscript=1&amp;cd%5Bpage_title%5D=AMC+Conference+%7C+Thank+You&amp;cd%5Bpost_type%5D=page&amp;cd%5Bpost_id%5D=12477&amp;cd%5Bplugin%5D=PixelYourSite&amp;cd%5Buser_role%5D=guest&amp;cd%5Bevent_url%5D=africanmarketingconfederation.org%2Famc-conference-thank-you%2F</t>
  </si>
  <si>
    <t>gif:1, other:2, png:12, svg:3</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</si>
  <si>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Upcoming+Events&amp;cd%5Bpost_type%5D=page&amp;cd%5Bpost_id%5D=4909&amp;cd%5Bplugin%5D=PixelYourSite&amp;cd%5Buser_role%5D=guest&amp;cd%5Bevent_url%5D=africanmarketingconfederation.org%2Fupcoming-events%2F</t>
  </si>
  <si>
    <t>https://africanmarketingconfederation.org/wp-content/uploads/2021/08/facebook.svg | https://africanmarketingconfederation.org/wp-content/uploads/2021/08/linkedin.svg | https://africanmarketingconfederation.org/wp-content/uploads/2022/07/amc_Thank-You-for-Subscribing-Image-1.png | https://africanmarketingconfederation.org/wp-content/uploads/2022/07/amc_Thank-You-for-Subscribing-Image-2.png | https://africanmarketingconfederation.org/wp-content/uploads/2022/07/amc_Thank-You-for-Subscribing-Image-3.png | https://africanmarketingconfederation.org/wp-content/uploads/2022/07/amc_Thank-You-for-Subscribing-Image-4.png | https://africanmarketingconfederation.org/wp-content/uploads/2026/03/og-image.png | https://www.facebook.com/tr?id=1795315120651843&amp;ev=PageView&amp;noscript=1 | https://www.facebook.com/tr?id=1795315120651843&amp;ev=PageView&amp;noscript=1&amp;cd%5Bpage_title%5D=Thank+You+for+Subscribing&amp;cd%5Bpost_type%5D=page&amp;cd%5Bpost_id%5D=7916&amp;cd%5Bplugin%5D=PixelYourSite&amp;cd%5Buser_role%5D=guest&amp;cd%5Bevent_url%5D=africanmarketingconfederation.org%2Fthank-you-for-subscribing%2F</t>
  </si>
  <si>
    <t>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https://africanmarketingconfederation.org/wp-content/uploads/2021/09/Helen-McIntee2021a-1-copy2.jpg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https://africanmarketingconfederation.org/wp-content/uploads/2021/10/AMC-Conference-3.png | https://africanmarketingconfederation.org/wp-content/uploads/2026/03/og-image.png | https://www.facebook.com/tr?id=1795315120651843&amp;ev=PageView&amp;noscript=1 | https://www.facebook.com/tr?id=1795315120651843&amp;ev=PageView&amp;noscript=1&amp;cd%5Bpage_title%5D=AMC+RELAUNCH+-+PROGRAMME&amp;cd%5Bpost_type%5D=page&amp;cd%5Bpost_id%5D=4492&amp;cd%5Bplugin%5D=PixelYourSite&amp;cd%5Buser_role%5D=guest&amp;cd%5Bevent_url%5D=africanmarketingconfederation.org%2Famc-relaunch-programme%2F</t>
  </si>
  <si>
    <t>jpg:1, other:2, png:15, svg:2</t>
  </si>
  <si>
    <t>https://africanmarketingconfederation.org/wp-content/uploads/2021/08/facebook.svg | https://africanmarketingconfederation.org/wp-content/uploads/2021/08/linkedin.svg | https://africanmarketingconfederation.org/wp-content/uploads/2022/04/Adrian-Palmer.png | https://africanmarketingconfederation.org/wp-content/uploads/2026/03/og-image.png | https://www.facebook.com/tr?id=1795315120651843&amp;ev=PageView&amp;noscript=1 | https://www.facebook.com/tr?id=1795315120651843&amp;ev=PageView&amp;noscript=1&amp;cd%5Bpage_title%5D=AMC+Masterclass&amp;cd%5Bpost_type%5D=page&amp;cd%5Bpost_id%5D=6553&amp;cd%5Bplugin%5D=PixelYourSite&amp;cd%5Buser_role%5D=guest&amp;cd%5Bevent_url%5D=africanmarketingconfederation.org%2Famc-masterclass%2F</t>
  </si>
  <si>
    <t>https://www.facebook.com/tr?id=1795315120651843&amp;ev=PageView&amp;noscript=1 | https://www.facebook.com/tr?id=1795315120651843&amp;ev=PageView&amp;noscript=1&amp;cd%5Bpage_title%5D=AMC+Masterclass+%7C+Thank+you&amp;cd%5Bpost_type%5D=page&amp;cd%5Bpost_id%5D=6822&amp;cd%5Bplugin%5D=PixelYourSite&amp;cd%5Buser_role%5D=guest&amp;cd%5Bevent_url%5D=africanmarketingconfederation.org%2Famc-masterclass-thank-you%2F</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</si>
  <si>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AMC+Masterclass+%7C+Bookings&amp;cd%5Bpost_type%5D=page&amp;cd%5Bpost_id%5D=6816&amp;cd%5Bplugin%5D=PixelYourSite&amp;cd%5Buser_role%5D=guest&amp;cd%5Bevent_url%5D=africanmarketingconfederation.org%2Famc-masterclass-bookings%2F</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</si>
  <si>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HYBRID+PROGRAMME%E2%80%8B&amp;cd%5Bpost_type%5D=page&amp;cd%5Bpost_id%5D=5057&amp;cd%5Bplugin%5D=PixelYourSite&amp;cd%5Buser_role%5D=guest&amp;cd%5Bevent_url%5D=africanmarketingconfederation.org%2Famc-conference-programme%2F</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</si>
  <si>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VIRTUAL+PROGRAMME&amp;cd%5Bpost_type%5D=page&amp;cd%5Bpost_id%5D=5290&amp;cd%5Bplugin%5D=PixelYourSite&amp;cd%5Buser_role%5D=guest&amp;cd%5Bevent_url%5D=africanmarketingconfederation.org%2Fvirtual-programme%2F</t>
  </si>
  <si>
    <t>https://africanmarketingconfederation.org/wp-content/uploads/2021/08/facebook.svg | https://africanmarketingconfederation.org/wp-content/uploads/2021/08/linkedin.svg | https://africanmarketingconfederation.org/wp-content/uploads/2022/01/AMC-2022_Website-Slide-Navigating-image-3.png | https://africanmarketingconfederation.org/wp-content/uploads/2026/03/og-image.png | https://www.facebook.com/tr?id=1795315120651843&amp;ev=PageView&amp;noscript=1 | https://www.facebook.com/tr?id=1795315120651843&amp;ev=PageView&amp;noscript=1&amp;cd%5Bpage_title%5D=Test+HomeSlider&amp;cd%5Bpost_type%5D=page&amp;cd%5Bpost_id%5D=5490&amp;cd%5Bplugin%5D=PixelYourSite&amp;cd%5Buser_role%5D=guest&amp;cd%5Bevent_url%5D=africanmarketingconfederation.org%2Ftest-homeslider%2F</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</si>
  <si>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General+Enquiry+Form+-+Thank+You&amp;cd%5Bpost_type%5D=page&amp;cd%5Bpost_id%5D=5597&amp;cd%5Bplugin%5D=PixelYourSite&amp;cd%5Buser_role%5D=guest&amp;cd%5Bevent_url%5D=africanmarketingconfederation.org%2Fgeneral-enquiry-form-thank-you%2F</t>
  </si>
  <si>
    <t>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</si>
  <si>
    <t>other:2, png:11, svg:2</t>
  </si>
  <si>
    <t>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https://africanmarketingconfederation.org/wp-content/uploads/2026/03/og-image.png | https://www.facebook.com/tr?id=1795315120651843&amp;ev=PageView&amp;noscript=1 | https://www.facebook.com/tr?id=1795315120651843&amp;ev=PageView&amp;noscript=1&amp;cd%5Bpage_title%5D=Speakers&amp;cd%5Bpost_type%5D=page&amp;cd%5Bpost_id%5D=3252&amp;cd%5Bplugin%5D=PixelYourSite&amp;cd%5Buser_role%5D=guest&amp;cd%5Bevent_url%5D=africanmarketingconfederation.org%2Fspeakers%2F</t>
  </si>
  <si>
    <t>other:2, png:14, svg:2</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</si>
  <si>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Privacy+Policy&amp;cd%5Bpost_type%5D=page&amp;cd%5Bpost_id%5D=3&amp;cd%5Bplugin%5D=PixelYourSite&amp;cd%5Buser_role%5D=guest&amp;cd%5Bevent_url%5D=africanmarketingconfederation.org%2Fprivacy-policy%2F</t>
  </si>
  <si>
    <t>Title Duplicate Count</t>
  </si>
  <si>
    <t>Meta Description Duplicate Count</t>
  </si>
  <si>
    <t>Title Duplicate URLs</t>
  </si>
  <si>
    <t>Meta Duplicate URLs</t>
  </si>
  <si>
    <t>https://africanmarketingconfederation.org/awards-2026/ | https://africanmarketingconfederation.org/awards-2026-1/</t>
  </si>
  <si>
    <t>https://africanmarketingconfederation.org/amc-forum-mombasa/ | https://africanmarketingconfederation.org/amc-marketing-conference-2024/</t>
  </si>
  <si>
    <t>https://africanmarketingconfederation.org/amc-conference-2023/speakers/ | https://africanmarketingconfederation.org/speakers/</t>
  </si>
  <si>
    <t>Path Segment</t>
  </si>
  <si>
    <t>Title Pattern</t>
  </si>
  <si>
    <t>URL Count</t>
  </si>
  <si>
    <t>Cluster Health Score Avg</t>
  </si>
  <si>
    <t>% with Critical</t>
  </si>
  <si>
    <t>% with Warnings</t>
  </si>
  <si>
    <t>Dominant Issue Type</t>
  </si>
  <si>
    <t>Suggested Template Fix</t>
  </si>
  <si>
    <t>URLs</t>
  </si>
  <si>
    <t>amc-forum-mombasa</t>
  </si>
  <si>
    <t>amc forum mombasa – african marketing confederation</t>
  </si>
  <si>
    <t>publications-2</t>
  </si>
  <si>
    <t>publications – african marketing confederation</t>
  </si>
  <si>
    <t>(home)</t>
  </si>
  <si>
    <t>african marketing confederation - uniting marketers for excellence</t>
  </si>
  <si>
    <t>publication-download-list</t>
  </si>
  <si>
    <t>publication download list – african marketing confederation</t>
  </si>
  <si>
    <t>launch-event-2026-amc-conference</t>
  </si>
  <si>
    <t>launch event {n} amc conference – african marketing confederation</t>
  </si>
  <si>
    <t>amc-conference-2026</t>
  </si>
  <si>
    <t>amc conference {n} – african marketing confederation</t>
  </si>
  <si>
    <t>certified-professional-marketer-africa</t>
  </si>
  <si>
    <t>certified professional marketer (africa) – african marketing confederation</t>
  </si>
  <si>
    <t>chartered-marketer-africa</t>
  </si>
  <si>
    <t>the chartered marketer africa – african marketing confederation</t>
  </si>
  <si>
    <t>education</t>
  </si>
  <si>
    <t>education – african marketing confederation</t>
  </si>
  <si>
    <t>awards-2026</t>
  </si>
  <si>
    <t>{n} amc awards – african marketing confederation</t>
  </si>
  <si>
    <t>contact-us</t>
  </si>
  <si>
    <t>contact us – african marketing confederation</t>
  </si>
  <si>
    <t>news-articles</t>
  </si>
  <si>
    <t>news articles – african marketing confederation</t>
  </si>
  <si>
    <t>african-marketing-confederation-tourism-chapter</t>
  </si>
  <si>
    <t>african marketing confederation tourism chapter – african marketing confederatio</t>
  </si>
  <si>
    <t>members</t>
  </si>
  <si>
    <t>members – african marketing confederation</t>
  </si>
  <si>
    <t>sub-committees</t>
  </si>
  <si>
    <t>sub committees – african marketing confederation</t>
  </si>
  <si>
    <t>about-us</t>
  </si>
  <si>
    <t>african marketing confederation – the leading marketing professional body – afri</t>
  </si>
  <si>
    <t>awards-2026-1</t>
  </si>
  <si>
    <t>{n} amc awards-{n} – african marketing confederation</t>
  </si>
  <si>
    <t>awards-2026-test</t>
  </si>
  <si>
    <t>awards {n} test – african marketing confederation</t>
  </si>
  <si>
    <t>speakers-2025</t>
  </si>
  <si>
    <t>our speakers – {n} amc conference</t>
  </si>
  <si>
    <t>amc-conference-2026-awards-nominations-thank-you</t>
  </si>
  <si>
    <t>amc conference {n} awards nominations thank you – african marketing confederatio</t>
  </si>
  <si>
    <t>amc-conference-2026-zambia-thank-you</t>
  </si>
  <si>
    <t>amc conference {n} zambia thank you – african marketing confederation</t>
  </si>
  <si>
    <t>amc-launch-event-zambia-thank-you-2026</t>
  </si>
  <si>
    <t>amc launch event zambia thank you {n} – african marketing confederation</t>
  </si>
  <si>
    <t>amc-marketing-conference-2024</t>
  </si>
  <si>
    <t>awards {n} – african marketing confederation</t>
  </si>
  <si>
    <t>amc-conference-2025-highlights</t>
  </si>
  <si>
    <t>amc conference {n} highlights – african marketing confederation</t>
  </si>
  <si>
    <t>amc-conference-2022</t>
  </si>
  <si>
    <t>amc-conference-2023</t>
  </si>
  <si>
    <t>gallery – african marketing confederation</t>
  </si>
  <si>
    <t>conference-registrations-2024</t>
  </si>
  <si>
    <t>conference registrations {n} – african marketing confederation</t>
  </si>
  <si>
    <t>elementor-31820</t>
  </si>
  <si>
    <t>elementor #{n} – african marketing confederation</t>
  </si>
  <si>
    <t>amc-conference-2024-recap</t>
  </si>
  <si>
    <t>amc conference {n} recap – african marketing confederation</t>
  </si>
  <si>
    <t>{n} amc conference awards</t>
  </si>
  <si>
    <t>amc-conference-2025</t>
  </si>
  <si>
    <t>amc conference {n}</t>
  </si>
  <si>
    <t>amc-sponsors-2025</t>
  </si>
  <si>
    <t>sponsorship opportunities – {n} amc conference</t>
  </si>
  <si>
    <t>amc-conference-2022-prospectus</t>
  </si>
  <si>
    <t>amc conference {n} – prospectus – african marketing confederation</t>
  </si>
  <si>
    <t>test-payment-gate</t>
  </si>
  <si>
    <t>test payment gate – african marketing confederation</t>
  </si>
  <si>
    <t>cart</t>
  </si>
  <si>
    <t>cart – african marketing confederation</t>
  </si>
  <si>
    <t>amc preregister {n} – african marketing confederation</t>
  </si>
  <si>
    <t>conference-faq-2025</t>
  </si>
  <si>
    <t>{n} amc conference – faqs page</t>
  </si>
  <si>
    <t>amc conference {n} ghana sponsors – african marketing confederation</t>
  </si>
  <si>
    <t>amc launch event {n} – african marketing confederation</t>
  </si>
  <si>
    <t>amc-forum-payments</t>
  </si>
  <si>
    <t>amc forum payments – african marketing confederation</t>
  </si>
  <si>
    <t>amc-awards-2024</t>
  </si>
  <si>
    <t>amc awards {n} – african marketing confederation</t>
  </si>
  <si>
    <t>amc speakers presentations {n} – african marketing confederation</t>
  </si>
  <si>
    <t>testimony thank you page – african marketing confederation</t>
  </si>
  <si>
    <t>amc-sign-up-now-form-2025</t>
  </si>
  <si>
    <t>amc sign up now form {n} – african marketing confederation</t>
  </si>
  <si>
    <t>amc-testimony-page-2024</t>
  </si>
  <si>
    <t>amc testimony page {n} – african marketing confederation</t>
  </si>
  <si>
    <t>amc-forum-sponsors</t>
  </si>
  <si>
    <t>(no-title)</t>
  </si>
  <si>
    <t>amc-forum-speakers</t>
  </si>
  <si>
    <t>thank-you-for-registering-2024-registrations</t>
  </si>
  <si>
    <t>thank you for registering {n} registrations – african marketing confederation</t>
  </si>
  <si>
    <t>download-prospectus-2024</t>
  </si>
  <si>
    <t>download prospectus {n} – african marketing confederation</t>
  </si>
  <si>
    <t>thank-you-for-registering-2024-registrations-kenya</t>
  </si>
  <si>
    <t>thank you for registering {n} registrations kenya – african marketing confederat</t>
  </si>
  <si>
    <t>subscribe</t>
  </si>
  <si>
    <t>subscribe – african marketing confederation</t>
  </si>
  <si>
    <t>elementor-20341</t>
  </si>
  <si>
    <t>chartered-marketer-africa-programme-fee</t>
  </si>
  <si>
    <t>chartered marketer (africa) programme fee – african marketing confederation</t>
  </si>
  <si>
    <t>chartered-marketer-africa-final-submission-fee</t>
  </si>
  <si>
    <t>chartered marketer (africa) final submission fee – african marketing confederati</t>
  </si>
  <si>
    <t>download-brochure</t>
  </si>
  <si>
    <t>download brochure – african marketing confederation</t>
  </si>
  <si>
    <t>thank-you-for-the-nomination-2024</t>
  </si>
  <si>
    <t>thank you for the nomination {n} – african marketing confederation</t>
  </si>
  <si>
    <t>amc-conference-2024-sponsors-packages</t>
  </si>
  <si>
    <t>sponsors packages – african marketing confederation</t>
  </si>
  <si>
    <t>thank-you-for-the-submission-2024</t>
  </si>
  <si>
    <t>thank you for the submission {n} – african marketing confederation</t>
  </si>
  <si>
    <t>elementor-16548</t>
  </si>
  <si>
    <t>thank you for registering – african marketing confederation</t>
  </si>
  <si>
    <t>programme {n} – african marketing confederation</t>
  </si>
  <si>
    <t>amc awards – african marketing confederation</t>
  </si>
  <si>
    <t>programme – african marketing confederation</t>
  </si>
  <si>
    <t>partners – african marketing confederation</t>
  </si>
  <si>
    <t>speakers – african marketing confederation</t>
  </si>
  <si>
    <t>chartered-marketer-africa-thank-you</t>
  </si>
  <si>
    <t>chartered marketer (africa) | thank you – african marketing confederation</t>
  </si>
  <si>
    <t>amc awards | book now – african marketing confederation</t>
  </si>
  <si>
    <t>book now – african marketing confederation</t>
  </si>
  <si>
    <t>download prospectus – african marketing confederation</t>
  </si>
  <si>
    <t>book now | thank you – african marketing confederation</t>
  </si>
  <si>
    <t>amc-conference-thank-you</t>
  </si>
  <si>
    <t>amc conference | thank you – african marketing confederation</t>
  </si>
  <si>
    <t>upcoming-events</t>
  </si>
  <si>
    <t>upcoming events – african marketing confederation</t>
  </si>
  <si>
    <t>thank-you-for-subscribing</t>
  </si>
  <si>
    <t>thank you for subscribing – african marketing confederation</t>
  </si>
  <si>
    <t>amc-relaunch-programme</t>
  </si>
  <si>
    <t>amc relaunch – programme – african marketing confederation</t>
  </si>
  <si>
    <t>amc-masterclass</t>
  </si>
  <si>
    <t>amc masterclass – african marketing confederation</t>
  </si>
  <si>
    <t>amc-masterclass-thank-you</t>
  </si>
  <si>
    <t>amc masterclass | thank you – african marketing confederation</t>
  </si>
  <si>
    <t>amc-masterclass-bookings</t>
  </si>
  <si>
    <t>amc masterclass | bookings – african marketing confederation</t>
  </si>
  <si>
    <t>amc-conference-programme</t>
  </si>
  <si>
    <t>hybrid programme​ – african marketing confederation</t>
  </si>
  <si>
    <t>virtual-programme</t>
  </si>
  <si>
    <t>virtual programme – african marketing confederation</t>
  </si>
  <si>
    <t>test-homeslider</t>
  </si>
  <si>
    <t>test homeslider – african marketing confederation</t>
  </si>
  <si>
    <t>general-enquiry-form-thank-you</t>
  </si>
  <si>
    <t>general enquiry form – thank you – african marketing confederation</t>
  </si>
  <si>
    <t>amc-conference-2022-thank-you</t>
  </si>
  <si>
    <t>amc conference {n} – thank you – african marketing confederation</t>
  </si>
  <si>
    <t>speakers</t>
  </si>
  <si>
    <t>privacy-policy</t>
  </si>
  <si>
    <t>privacy policy – african marketing confederation</t>
  </si>
  <si>
    <t>Open in Reference</t>
  </si>
  <si>
    <t>https://africanmarketingconfederation.org/publications-2/::low_aeo_readiness_score</t>
  </si>
  <si>
    <t>https://africanmarketingconfederation.org/publications-2/::no_compression_header</t>
  </si>
  <si>
    <t>https://africanmarketingconfederation.org/publications-2/::no_cache-control_header</t>
  </si>
  <si>
    <t>https://africanmarketingconfederation.org/publications-2/::no_etag_header</t>
  </si>
  <si>
    <t>https://africanmarketingconfederation.org/publications-2/::thin_content</t>
  </si>
  <si>
    <t>https://africanmarketingconfederation.org/publications-2/::no_question_headings</t>
  </si>
  <si>
    <t>https://africanmarketingconfederation.org/publications-2/::no_answer-friendly_structure</t>
  </si>
  <si>
    <t>https://africanmarketingconfederation.org/publications-2/::no_40-60_word_answer_paragraphs</t>
  </si>
  <si>
    <t>https://africanmarketingconfederation.org/publications-2/::ai_crawlers_not_explicitly_allowed</t>
  </si>
  <si>
    <t>https://africanmarketingconfederation.org/::multiple_h1</t>
  </si>
  <si>
    <t>https://africanmarketingconfederation.org/::low_aeo_readiness_score</t>
  </si>
  <si>
    <t>https://africanmarketingconfederation.org/::no_compression_header</t>
  </si>
  <si>
    <t>https://africanmarketingconfederation.org/::no_cache-control_header</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</si>
  <si>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</si>
  <si>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</si>
  <si>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</si>
  <si>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</si>
  <si>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</si>
  <si>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</si>
  <si>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https://africanmarketingconfederation.org/publication-download-list/::missing_h1</t>
  </si>
  <si>
    <t>https://africanmarketingconfederation.org/publication-download-list/::low_aeo_readiness_score</t>
  </si>
  <si>
    <t>https://africanmarketingconfederation.org/publication-download-list/::no_compression_header</t>
  </si>
  <si>
    <t>https://africanmarketingconfederation.org/publication-download-list/::no_cache-control_header</t>
  </si>
  <si>
    <t>https://africanmarketingconfederation.org/publication-download-list/::no_etag_header</t>
  </si>
  <si>
    <t>https://africanmarketingconfederation.org/publication-download-list/::thin_content</t>
  </si>
  <si>
    <t>https://africanmarketingconfederation.org/publication-download-list/::no_question_headings</t>
  </si>
  <si>
    <t>https://africanmarketingconfederation.org/publication-download-list/::no_answer-friendly_structure</t>
  </si>
  <si>
    <t>https://africanmarketingconfederation.org/publication-download-list/::no_40-60_word_answer_paragraphs</t>
  </si>
  <si>
    <t>https://africanmarketingconfederation.org/publication-download-list/::ai_crawlers_not_explicitly_allowed</t>
  </si>
  <si>
    <t>https://africanmarketingconfederation.org/launch-event-2026-amc-conference/::low_aeo_readiness_score</t>
  </si>
  <si>
    <t>https://africanmarketingconfederation.org/launch-event-2026-amc-conference/::no_compression_header</t>
  </si>
  <si>
    <t>https://africanmarketingconfederation.org/launch-event-2026-amc-conference/::no_cache-control_header</t>
  </si>
  <si>
    <t>https://africanmarketingconfederation.org/launch-event-2026-amc-conference/::no_etag_header</t>
  </si>
  <si>
    <t>https://africanmarketingconfederation.org/launch-event-2026-amc-conference/::thin_content</t>
  </si>
  <si>
    <t>https://africanmarketingconfederation.org/launch-event-2026-amc-conference/::no_question_headings</t>
  </si>
  <si>
    <t>https://africanmarketingconfederation.org/launch-event-2026-amc-conference/::no_answer-friendly_structure</t>
  </si>
  <si>
    <t>https://africanmarketingconfederation.org/launch-event-2026-amc-conference/::no_40-60_word_answer_paragraphs</t>
  </si>
  <si>
    <t>https://africanmarketingconfederation.org/launch-event-2026-amc-conference/::ai_crawlers_not_explicitly_allowed</t>
  </si>
  <si>
    <t>https://africanmarketingconfederation.org/amc-conference-2026/::low_aeo_readiness_score</t>
  </si>
  <si>
    <t>https://africanmarketingconfederation.org/amc-conference-2026/::image_filename_quality_issues</t>
  </si>
  <si>
    <t>https://africanmarketingconfederation.org/amc-conference-2026/::no_compression_header</t>
  </si>
  <si>
    <t>https://africanmarketingconfederation.org/amc-conference-2026/::no_cache-control_header</t>
  </si>
  <si>
    <t>https://africanmarketingconfederation.org/amc-conference-2026/::no_etag_header</t>
  </si>
  <si>
    <t>https://africanmarketingconfederation.org/amc-conference-2026/::no_question_headings</t>
  </si>
  <si>
    <t>https://africanmarketingconfederation.org/amc-conference-2026/::no_answer-friendly_structure</t>
  </si>
  <si>
    <t>https://africanmarketingconfederation.org/amc-conference-2026/::no_40-60_word_answer_paragraphs</t>
  </si>
  <si>
    <t>https://africanmarketingconfederation.org/amc-conference-2026/::ai_crawlers_not_explicitly_allowed</t>
  </si>
  <si>
    <t>https://africanmarketingconfederation.org/certified-professional-marketer-africa/::missing_h1</t>
  </si>
  <si>
    <t>https://africanmarketingconfederation.org/certified-professional-marketer-africa/::low_aeo_readiness_score</t>
  </si>
  <si>
    <t>https://africanmarketingconfederation.org/certified-professional-marketer-africa/::no_compression_header</t>
  </si>
  <si>
    <t>https://africanmarketingconfederation.org/certified-professional-marketer-africa/::no_cache-control_header</t>
  </si>
  <si>
    <t>https://africanmarketingconfederation.org/certified-professional-marketer-africa/::no_etag_header</t>
  </si>
  <si>
    <t>https://africanmarketingconfederation.org/certified-professional-marketer-africa/::no_question_headings</t>
  </si>
  <si>
    <t>https://africanmarketingconfederation.org/certified-professional-marketer-africa/::no_answer-friendly_structure</t>
  </si>
  <si>
    <t>https://africanmarketingconfederation.org/certified-professional-marketer-africa/::no_40-60_word_answer_paragraphs</t>
  </si>
  <si>
    <t>https://africanmarketingconfederation.org/certified-professional-marketer-africa/::ai_crawlers_not_explicitly_allowed</t>
  </si>
  <si>
    <t>https://africanmarketingconfederation.org/chartered-marketer-africa/::low_aeo_readiness_score</t>
  </si>
  <si>
    <t>https://africanmarketingconfederation.org/chartered-marketer-africa/::no_compression_header</t>
  </si>
  <si>
    <t>https://africanmarketingconfederation.org/chartered-marketer-africa/::no_cache-control_header</t>
  </si>
  <si>
    <t>https://africanmarketingconfederation.org/chartered-marketer-africa/::no_etag_header</t>
  </si>
  <si>
    <t>https://africanmarketingconfederation.org/chartered-marketer-africa/::no_question_headings</t>
  </si>
  <si>
    <t>https://africanmarketingconfederation.org/chartered-marketer-africa/::no_answer-friendly_structure</t>
  </si>
  <si>
    <t>https://africanmarketingconfederation.org/chartered-marketer-africa/::no_40-60_word_answer_paragraphs</t>
  </si>
  <si>
    <t>https://africanmarketingconfederation.org/chartered-marketer-africa/::ai_crawlers_not_explicitly_allowed</t>
  </si>
  <si>
    <t>https://africanmarketingconfederation.org/education/::missing_h1</t>
  </si>
  <si>
    <t>https://africanmarketingconfederation.org/education/::low_aeo_readiness_score</t>
  </si>
  <si>
    <t>https://africanmarketingconfederation.org/education/::no_compression_header</t>
  </si>
  <si>
    <t>https://africanmarketingconfederation.org/education/::no_cache-control_header</t>
  </si>
  <si>
    <t>https://africanmarketingconfederation.org/education/::no_etag_header</t>
  </si>
  <si>
    <t>https://africanmarketingconfederation.org/education/::no_question_headings</t>
  </si>
  <si>
    <t>https://africanmarketingconfederation.org/education/::no_answer-friendly_structure</t>
  </si>
  <si>
    <t>https://africanmarketingconfederation.org/education/::no_40-60_word_answer_paragraphs</t>
  </si>
  <si>
    <t>https://africanmarketingconfederation.org/education/::ai_crawlers_not_explicitly_allowed</t>
  </si>
  <si>
    <t>https://africanmarketingconfederation.org/awards-2026/::multiple_h1</t>
  </si>
  <si>
    <t>https://africanmarketingconfederation.org/awards-2026/::low_aeo_readiness_score</t>
  </si>
  <si>
    <t>https://africanmarketingconfederation.org/awards-2026/::no_compression_header</t>
  </si>
  <si>
    <t>https://africanmarketingconfederation.org/awards-2026/::no_cache-control_header</t>
  </si>
  <si>
    <t>https://africanmarketingconfederation.org/awards-2026/::no_etag_header</t>
  </si>
  <si>
    <t>https://africanmarketingconfederation.org/awards-2026/::no_question_headings</t>
  </si>
  <si>
    <t>https://africanmarketingconfederation.org/awards-2026/::no_answer-friendly_structure</t>
  </si>
  <si>
    <t>https://africanmarketingconfederation.org/awards-2026/::no_40-60_word_answer_paragraphs</t>
  </si>
  <si>
    <t>https://africanmarketingconfederation.org/awards-2026/::ai_crawlers_not_explicitly_allowed</t>
  </si>
  <si>
    <t>https://africanmarketingconfederation.org/contact-us/::multiple_h1</t>
  </si>
  <si>
    <t>https://africanmarketingconfederation.org/contact-us/::low_aeo_readiness_score</t>
  </si>
  <si>
    <t>https://africanmarketingconfederation.org/contact-us/::no_compression_header</t>
  </si>
  <si>
    <t>https://africanmarketingconfederation.org/contact-us/::no_cache-control_header</t>
  </si>
  <si>
    <t>https://africanmarketingconfederation.org/contact-us/::no_etag_header</t>
  </si>
  <si>
    <t>https://africanmarketingconfederation.org/contact-us/::no_question_headings</t>
  </si>
  <si>
    <t>https://africanmarketingconfederation.org/contact-us/::no_answer-friendly_structure</t>
  </si>
  <si>
    <t>https://africanmarketingconfederation.org/contact-us/::no_40-60_word_answer_paragraphs</t>
  </si>
  <si>
    <t>https://africanmarketingconfederation.org/contact-us/::ai_crawlers_not_explicitly_allowed</t>
  </si>
  <si>
    <t>https://africanmarketingconfederation.org/news-articles/::low_aeo_readiness_score</t>
  </si>
  <si>
    <t>https://africanmarketingconfederation.org/news-articles/::no_compression_header</t>
  </si>
  <si>
    <t>https://africanmarketingconfederation.org/news-articles/::no_cache-control_header</t>
  </si>
  <si>
    <t>https://africanmarketingconfederation.org/news-articles/::no_etag_header</t>
  </si>
  <si>
    <t>https://africanmarketingconfederation.org/news-articles/::thin_content</t>
  </si>
  <si>
    <t>https://africanmarketingconfederation.org/news-articles/::no_question_headings</t>
  </si>
  <si>
    <t>https://africanmarketingconfederation.org/news-articles/::no_answer-friendly_structure</t>
  </si>
  <si>
    <t>https://africanmarketingconfederation.org/news-articles/::no_40-60_word_answer_paragraphs</t>
  </si>
  <si>
    <t>https://africanmarketingconfederation.org/news-articles/::ai_crawlers_not_explicitly_allowed</t>
  </si>
  <si>
    <t>https://africanmarketingconfederation.org/african-marketing-confederation-tourism-chapter/::multiple_h1</t>
  </si>
  <si>
    <t>https://africanmarketingconfederation.org/african-marketing-confederation-tourism-chapter/::low_aeo_readiness_score</t>
  </si>
  <si>
    <t>https://africanmarketingconfederation.org/african-marketing-confederation-tourism-chapter/::no_compression_header</t>
  </si>
  <si>
    <t>https://africanmarketingconfederation.org/african-marketing-confederation-tourism-chapter/::no_cache-control_header</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</si>
  <si>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</si>
  <si>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</si>
  <si>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</si>
  <si>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</si>
  <si>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</si>
  <si>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https://africanmarketingconfederation.org/members/::low_aeo_readiness_score</t>
  </si>
  <si>
    <t>https://africanmarketingconfederation.org/members/::no_compression_header</t>
  </si>
  <si>
    <t>https://africanmarketingconfederation.org/members/::no_cache-control_header</t>
  </si>
  <si>
    <t>https://africanmarketingconfederation.org/members/::no_etag_header</t>
  </si>
  <si>
    <t>https://africanmarketingconfederation.org/members/::no_question_headings</t>
  </si>
  <si>
    <t>https://africanmarketingconfederation.org/members/::no_answer-friendly_structure</t>
  </si>
  <si>
    <t>https://africanmarketingconfederation.org/members/::no_40-60_word_answer_paragraphs</t>
  </si>
  <si>
    <t>https://africanmarketingconfederation.org/members/::ai_crawlers_not_explicitly_allowed</t>
  </si>
  <si>
    <t>https://africanmarketingconfederation.org/sub-committees/::low_aeo_readiness_score</t>
  </si>
  <si>
    <t>https://africanmarketingconfederation.org/sub-committees/::no_compression_header</t>
  </si>
  <si>
    <t>https://africanmarketingconfederation.org/sub-committees/::no_cache-control_header</t>
  </si>
  <si>
    <t>https://africanmarketingconfederation.org/sub-committees/::no_etag_header</t>
  </si>
  <si>
    <t>https://africanmarketingconfederation.org/sub-committees/::no_question_headings</t>
  </si>
  <si>
    <t>https://africanmarketingconfederation.org/sub-committees/::no_answer-friendly_structure</t>
  </si>
  <si>
    <t>https://africanmarketingconfederation.org/sub-committees/::no_40-60_word_answer_paragraphs</t>
  </si>
  <si>
    <t>https://africanmarketingconfederation.org/sub-committees/::ai_crawlers_not_explicitly_allowed</t>
  </si>
  <si>
    <t>https://africanmarketingconfederation.org/about-us/::low_aeo_readiness_score</t>
  </si>
  <si>
    <t>https://africanmarketingconfederation.org/about-us/::no_compression_header</t>
  </si>
  <si>
    <t>https://africanmarketingconfederation.org/about-us/::no_cache-control_header</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</si>
  <si>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</si>
  <si>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</si>
  <si>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</si>
  <si>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</si>
  <si>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</si>
  <si>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</si>
  <si>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https://africanmarketingconfederation.org/awards-2026-1/::multiple_h1</t>
  </si>
  <si>
    <t>https://africanmarketingconfederation.org/awards-2026-1/::low_aeo_readiness_score</t>
  </si>
  <si>
    <t>https://africanmarketingconfederation.org/awards-2026-1/::no_compression_header</t>
  </si>
  <si>
    <t>https://africanmarketingconfederation.org/awards-2026-1/::no_cache-control_header</t>
  </si>
  <si>
    <t>https://africanmarketingconfederation.org/awards-2026-1/::no_etag_header</t>
  </si>
  <si>
    <t>https://africanmarketingconfederation.org/awards-2026-1/::no_question_headings</t>
  </si>
  <si>
    <t>https://africanmarketingconfederation.org/awards-2026-1/::no_answer-friendly_structure</t>
  </si>
  <si>
    <t>https://africanmarketingconfederation.org/awards-2026-1/::no_40-60_word_answer_paragraphs</t>
  </si>
  <si>
    <t>https://africanmarketingconfederation.org/awards-2026-1/::ai_crawlers_not_explicitly_allowed</t>
  </si>
  <si>
    <t>https://africanmarketingconfederation.org/awards-2026-test/::multiple_h1</t>
  </si>
  <si>
    <t>https://africanmarketingconfederation.org/awards-2026-test/::low_aeo_readiness_score</t>
  </si>
  <si>
    <t>https://africanmarketingconfederation.org/awards-2026-test/::no_compression_header</t>
  </si>
  <si>
    <t>https://africanmarketingconfederation.org/awards-2026-test/::no_cache-control_header</t>
  </si>
  <si>
    <t>https://africanmarketingconfederation.org/awards-2026-test/::no_etag_header</t>
  </si>
  <si>
    <t>https://africanmarketingconfederation.org/awards-2026-test/::no_question_headings</t>
  </si>
  <si>
    <t>https://africanmarketingconfederation.org/awards-2026-test/::no_answer-friendly_structure</t>
  </si>
  <si>
    <t>https://africanmarketingconfederation.org/awards-2026-test/::no_40-60_word_answer_paragraphs</t>
  </si>
  <si>
    <t>https://africanmarketingconfederation.org/awards-2026-test/::ai_crawlers_not_explicitly_allowed</t>
  </si>
  <si>
    <t>https://africanmarketingconfederation.org/speakers-2025/::multiple_h1</t>
  </si>
  <si>
    <t>https://africanmarketingconfederation.org/speakers-2025/::low_aeo_readiness_score</t>
  </si>
  <si>
    <t>https://africanmarketingconfederation.org/speakers-2025/::no_compression_header</t>
  </si>
  <si>
    <t>https://africanmarketingconfederation.org/speakers-2025/::no_cache-control_header</t>
  </si>
  <si>
    <t>https://africanmarketingconfederation.org/speakers-2025/::no_etag_header</t>
  </si>
  <si>
    <t>https://africanmarketingconfederation.org/speakers-2025/::no_question_headings</t>
  </si>
  <si>
    <t>https://africanmarketingconfederation.org/speakers-2025/::no_answer-friendly_structure</t>
  </si>
  <si>
    <t>https://africanmarketingconfederation.org/speakers-2025/::no_40-60_word_answer_paragraphs</t>
  </si>
  <si>
    <t>https://africanmarketingconfederation.org/speakers-2025/::ai_crawlers_not_explicitly_allowed</t>
  </si>
  <si>
    <t>https://africanmarketingconfederation.org/amc-conference-2026-awards-nominations-thank-you/::multiple_h1</t>
  </si>
  <si>
    <t>https://africanmarketingconfederation.org/amc-conference-2026-awards-nominations-thank-you/::low_aeo_readiness_score</t>
  </si>
  <si>
    <t>https://africanmarketingconfederation.org/amc-conference-2026-awards-nominations-thank-you/::no_compression_header</t>
  </si>
  <si>
    <t>https://africanmarketingconfederation.org/amc-conference-2026-awards-nominations-thank-you/::no_cache-control_header</t>
  </si>
  <si>
    <t>https://africanmarketingconfederation.org/amc-conference-2026-awards-nominations-thank-you/::no_etag_header</t>
  </si>
  <si>
    <t>https://africanmarketingconfederation.org/amc-conference-2026-awards-nominations-thank-you/::thin_content</t>
  </si>
  <si>
    <t>https://africanmarketingconfederation.org/amc-conference-2026-awards-nominations-thank-you/::no_question_headings</t>
  </si>
  <si>
    <t>https://africanmarketingconfederation.org/amc-conference-2026-awards-nominations-thank-you/::no_answer-friendly_structure</t>
  </si>
  <si>
    <t>https://africanmarketingconfederation.org/amc-conference-2026-awards-nominations-thank-you/::no_40-60_word_answer_paragraphs</t>
  </si>
  <si>
    <t>https://africanmarketingconfederation.org/amc-conference-2026-awards-nominations-thank-you/::ai_crawlers_not_explicitly_allowed</t>
  </si>
  <si>
    <t>https://africanmarketingconfederation.org/amc-conference-2026-zambia-thank-you/::multiple_h1</t>
  </si>
  <si>
    <t>https://africanmarketingconfederation.org/amc-conference-2026-zambia-thank-you/::low_aeo_readiness_score</t>
  </si>
  <si>
    <t>https://africanmarketingconfederation.org/amc-conference-2026-zambia-thank-you/::no_compression_header</t>
  </si>
  <si>
    <t>https://africanmarketingconfederation.org/amc-conference-2026-zambia-thank-you/::no_cache-control_header</t>
  </si>
  <si>
    <t>https://africanmarketingconfederation.org/amc-conference-2026-zambia-thank-you/::no_etag_header</t>
  </si>
  <si>
    <t>https://africanmarketingconfederation.org/amc-conference-2026-zambia-thank-you/::thin_content</t>
  </si>
  <si>
    <t>https://africanmarketingconfederation.org/amc-conference-2026-zambia-thank-you/::no_question_headings</t>
  </si>
  <si>
    <t>https://africanmarketingconfederation.org/amc-conference-2026-zambia-thank-you/::no_answer-friendly_structure</t>
  </si>
  <si>
    <t>https://africanmarketingconfederation.org/amc-conference-2026-zambia-thank-you/::no_40-60_word_answer_paragraphs</t>
  </si>
  <si>
    <t>https://africanmarketingconfederation.org/amc-conference-2026-zambia-thank-you/::ai_crawlers_not_explicitly_allowed</t>
  </si>
  <si>
    <t>https://africanmarketingconfederation.org/amc-launch-event-zambia-thank-you-2026/::multiple_h1</t>
  </si>
  <si>
    <t>https://africanmarketingconfederation.org/amc-launch-event-zambia-thank-you-2026/::low_aeo_readiness_score</t>
  </si>
  <si>
    <t>https://africanmarketingconfederation.org/amc-launch-event-zambia-thank-you-2026/::no_compression_header</t>
  </si>
  <si>
    <t>https://africanmarketingconfederation.org/amc-launch-event-zambia-thank-you-2026/::no_cache-control_header</t>
  </si>
  <si>
    <t>https://africanmarketingconfederation.org/amc-launch-event-zambia-thank-you-2026/::no_etag_header</t>
  </si>
  <si>
    <t>https://africanmarketingconfederation.org/amc-launch-event-zambia-thank-you-2026/::thin_content</t>
  </si>
  <si>
    <t>https://africanmarketingconfederation.org/amc-launch-event-zambia-thank-you-2026/::no_question_headings</t>
  </si>
  <si>
    <t>https://africanmarketingconfederation.org/amc-launch-event-zambia-thank-you-2026/::no_answer-friendly_structure</t>
  </si>
  <si>
    <t>https://africanmarketingconfederation.org/amc-launch-event-zambia-thank-you-2026/::no_40-60_word_answer_paragraphs</t>
  </si>
  <si>
    <t>https://africanmarketingconfederation.org/amc-launch-event-zambia-thank-you-2026/::ai_crawlers_not_explicitly_allowed</t>
  </si>
  <si>
    <t>https://africanmarketingconfederation.org/amc-marketing-conference-2024/awards-2025/::low_aeo_readiness_score</t>
  </si>
  <si>
    <t>https://africanmarketingconfederation.org/amc-marketing-conference-2024/awards-2025/::no_compression_header</t>
  </si>
  <si>
    <t>https://africanmarketingconfederation.org/amc-marketing-conference-2024/awards-2025/::no_cache-control_header</t>
  </si>
  <si>
    <t>https://africanmarketingconfederation.org/amc-marketing-conference-2024/awards-2025/::no_etag_header</t>
  </si>
  <si>
    <t>https://africanmarketingconfederation.org/amc-marketing-conference-2024/awards-2025/::no_question_headings</t>
  </si>
  <si>
    <t>https://africanmarketingconfederation.org/amc-marketing-conference-2024/awards-2025/::no_answer-friendly_structure</t>
  </si>
  <si>
    <t>https://africanmarketingconfederation.org/amc-marketing-conference-2024/awards-2025/::no_40-60_word_answer_paragraphs</t>
  </si>
  <si>
    <t>https://africanmarketingconfederation.org/amc-marketing-conference-2024/awards-2025/::ai_crawlers_not_explicitly_allowed</t>
  </si>
  <si>
    <t>https://africanmarketingconfederation.org/amc-conference-2025-highlights/::multiple_h1</t>
  </si>
  <si>
    <t>https://africanmarketingconfederation.org/amc-conference-2025-highlights/::low_aeo_readiness_score</t>
  </si>
  <si>
    <t>https://africanmarketingconfederation.org/amc-conference-2025-highlights/::image_filename_quality_issues</t>
  </si>
  <si>
    <t>https://africanmarketingconfederation.org/amc-conference-2025-highlights/::no_compression_header</t>
  </si>
  <si>
    <t>https://africanmarketingconfederation.org/amc-conference-2025-highlights/::no_cache-control_header</t>
  </si>
  <si>
    <t>https://africanmarketingconfederation.org/amc-conference-2025-highlights/::no_etag_header</t>
  </si>
  <si>
    <t>https://africanmarketingconfederation.org/amc-conference-2025-highlights/::no_question_headings</t>
  </si>
  <si>
    <t>https://africanmarketingconfederation.org/amc-conference-2025-highlights/::no_answer-friendly_structure</t>
  </si>
  <si>
    <t>https://africanmarketingconfederation.org/amc-conference-2025-highlights/::no_40-60_word_answer_paragraphs</t>
  </si>
  <si>
    <t>https://africanmarketingconfederation.org/amc-conference-2025-highlights/::ai_crawlers_not_explicitly_allowed</t>
  </si>
  <si>
    <t>https://africanmarketingconfederation.org/amc-conference-2022/::missing_h1</t>
  </si>
  <si>
    <t>https://africanmarketingconfederation.org/amc-conference-2022/::low_aeo_readiness_score</t>
  </si>
  <si>
    <t>https://africanmarketingconfederation.org/amc-conference-2022/::no_compression_header</t>
  </si>
  <si>
    <t>https://africanmarketingconfederation.org/amc-conference-2022/::no_cache-control_header</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</si>
  <si>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</si>
  <si>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</si>
  <si>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</si>
  <si>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</si>
  <si>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</si>
  <si>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</si>
  <si>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https://africanmarketingconfederation.org/amc-conference-2023/gallery/::low_aeo_readiness_score</t>
  </si>
  <si>
    <t>https://africanmarketingconfederation.org/amc-conference-2023/gallery/::no_compression_header</t>
  </si>
  <si>
    <t>https://africanmarketingconfederation.org/amc-conference-2023/gallery/::no_cache-control_header</t>
  </si>
  <si>
    <t>https://africanmarketingconfederation.org/amc-conference-2023/gallery/::no_etag_header</t>
  </si>
  <si>
    <t>https://africanmarketingconfederation.org/amc-conference-2023/gallery/::thin_content</t>
  </si>
  <si>
    <t>https://africanmarketingconfederation.org/amc-conference-2023/gallery/::no_question_headings</t>
  </si>
  <si>
    <t>https://africanmarketingconfederation.org/amc-conference-2023/gallery/::no_answer-friendly_structure</t>
  </si>
  <si>
    <t>https://africanmarketingconfederation.org/amc-conference-2023/gallery/::no_40-60_word_answer_paragraphs</t>
  </si>
  <si>
    <t>https://africanmarketingconfederation.org/amc-conference-2023/gallery/::ai_crawlers_not_explicitly_allowed</t>
  </si>
  <si>
    <t>https://africanmarketingconfederation.org/conference-registrations-2024/::low_aeo_readiness_score</t>
  </si>
  <si>
    <t>https://africanmarketingconfederation.org/conference-registrations-2024/::no_compression_header</t>
  </si>
  <si>
    <t>https://africanmarketingconfederation.org/conference-registrations-2024/::no_cache-control_header</t>
  </si>
  <si>
    <t>https://africanmarketingconfederation.org/conference-registrations-2024/::no_etag_header</t>
  </si>
  <si>
    <t>https://africanmarketingconfederation.org/conference-registrations-2024/::no_question_headings</t>
  </si>
  <si>
    <t>https://africanmarketingconfederation.org/conference-registrations-2024/::no_answer-friendly_structure</t>
  </si>
  <si>
    <t>https://africanmarketingconfederation.org/conference-registrations-2024/::no_40-60_word_answer_paragraphs</t>
  </si>
  <si>
    <t>https://africanmarketingconfederation.org/conference-registrations-2024/::ai_crawlers_not_explicitly_allowed</t>
  </si>
  <si>
    <t>https://africanmarketingconfederation.org/elementor-31820/::low_aeo_readiness_score</t>
  </si>
  <si>
    <t>https://africanmarketingconfederation.org/elementor-31820/::no_compression_header</t>
  </si>
  <si>
    <t>https://africanmarketingconfederation.org/elementor-31820/::no_cache-control_header</t>
  </si>
  <si>
    <t>https://africanmarketingconfederation.org/elementor-31820/::no_etag_header</t>
  </si>
  <si>
    <t>https://africanmarketingconfederation.org/elementor-31820/::no_question_headings</t>
  </si>
  <si>
    <t>https://africanmarketingconfederation.org/elementor-31820/::no_answer-friendly_structure</t>
  </si>
  <si>
    <t>https://africanmarketingconfederation.org/elementor-31820/::no_40-60_word_answer_paragraphs</t>
  </si>
  <si>
    <t>https://africanmarketingconfederation.org/elementor-31820/::ai_crawlers_not_explicitly_allowed</t>
  </si>
  <si>
    <t>https://africanmarketingconfederation.org/amc-conference-2024-recap/::multiple_h1</t>
  </si>
  <si>
    <t>https://africanmarketingconfederation.org/amc-conference-2024-recap/::low_aeo_readiness_score</t>
  </si>
  <si>
    <t>https://africanmarketingconfederation.org/amc-conference-2024-recap/::no_compression_header</t>
  </si>
  <si>
    <t>https://africanmarketingconfederation.org/amc-conference-2024-recap/::no_cache-control_header</t>
  </si>
  <si>
    <t>https://africanmarketingconfederation.org/amc-conference-2024-recap/::no_etag_header</t>
  </si>
  <si>
    <t>https://africanmarketingconfederation.org/amc-conference-2024-recap/::no_question_headings</t>
  </si>
  <si>
    <t>https://africanmarketingconfederation.org/amc-conference-2024-recap/::no_answer-friendly_structure</t>
  </si>
  <si>
    <t>https://africanmarketingconfederation.org/amc-conference-2024-recap/::no_40-60_word_answer_paragraphs</t>
  </si>
  <si>
    <t>https://africanmarketingconfederation.org/amc-conference-2024-recap/::ai_crawlers_not_explicitly_allowed</t>
  </si>
  <si>
    <t>https://africanmarketingconfederation.org/amc-marketing-conference-2024/amc-programme-2025/::multiple_h1</t>
  </si>
  <si>
    <t>https://africanmarketingconfederation.org/amc-marketing-conference-2024/amc-programme-2025/::low_aeo_readiness_score</t>
  </si>
  <si>
    <t>https://africanmarketingconfederation.org/amc-marketing-conference-2024/amc-programme-2025/::no_compression_header</t>
  </si>
  <si>
    <t>https://africanmarketingconfederation.org/amc-marketing-conference-2024/amc-programme-2025/::no_cache-control_header</t>
  </si>
  <si>
    <t>https://africanmarketingconfederation.org/amc-marketing-conference-2024/amc-programme-2025/::no_etag_header</t>
  </si>
  <si>
    <t>https://africanmarketingconfederation.org/amc-marketing-conference-2024/amc-programme-2025/::thin_content</t>
  </si>
  <si>
    <t>https://africanmarketingconfederation.org/amc-marketing-conference-2024/amc-programme-2025/::no_question_headings</t>
  </si>
  <si>
    <t>https://africanmarketingconfederation.org/amc-marketing-conference-2024/amc-programme-2025/::no_answer-friendly_structure</t>
  </si>
  <si>
    <t>https://africanmarketingconfederation.org/amc-marketing-conference-2024/amc-programme-2025/::no_40-60_word_answer_paragraphs</t>
  </si>
  <si>
    <t>https://africanmarketingconfederation.org/amc-marketing-conference-2024/amc-programme-2025/::ai_crawlers_not_explicitly_allowed</t>
  </si>
  <si>
    <t>https://africanmarketingconfederation.org/amc-conference-2025/::multiple_h1</t>
  </si>
  <si>
    <t>https://africanmarketingconfederation.org/amc-conference-2025/::low_aeo_readiness_score</t>
  </si>
  <si>
    <t>https://africanmarketingconfederation.org/amc-conference-2025/::no_compression_header</t>
  </si>
  <si>
    <t>https://africanmarketingconfederation.org/amc-conference-2025/::no_cache-control_header</t>
  </si>
  <si>
    <t>https://africanmarketingconfederation.org/amc-conference-2025/::no_etag_header</t>
  </si>
  <si>
    <t>https://africanmarketingconfederation.org/amc-conference-2025/::no_question_headings</t>
  </si>
  <si>
    <t>https://africanmarketingconfederation.org/amc-conference-2025/::no_answer-friendly_structure</t>
  </si>
  <si>
    <t>https://africanmarketingconfederation.org/amc-conference-2025/::no_40-60_word_answer_paragraphs</t>
  </si>
  <si>
    <t>https://africanmarketingconfederation.org/amc-conference-2025/::ai_crawlers_not_explicitly_allowed</t>
  </si>
  <si>
    <t>https://africanmarketingconfederation.org/amc-sponsors-2025/::low_aeo_readiness_score</t>
  </si>
  <si>
    <t>https://africanmarketingconfederation.org/amc-sponsors-2025/::no_compression_header</t>
  </si>
  <si>
    <t>https://africanmarketingconfederation.org/amc-sponsors-2025/::no_cache-control_header</t>
  </si>
  <si>
    <t>https://africanmarketingconfederation.org/amc-sponsors-2025/::no_etag_header</t>
  </si>
  <si>
    <t>https://africanmarketingconfederation.org/amc-sponsors-2025/::no_question_headings</t>
  </si>
  <si>
    <t>https://africanmarketingconfederation.org/amc-sponsors-2025/::no_answer-friendly_structure</t>
  </si>
  <si>
    <t>https://africanmarketingconfederation.org/amc-sponsors-2025/::no_40-60_word_answer_paragraphs</t>
  </si>
  <si>
    <t>https://africanmarketingconfederation.org/amc-sponsors-2025/::ai_crawlers_not_explicitly_allowed</t>
  </si>
  <si>
    <t>https://africanmarketingconfederation.org/amc-conference-2022-prospectus/::missing_h1</t>
  </si>
  <si>
    <t>https://africanmarketingconfederation.org/amc-conference-2022-prospectus/::low_aeo_readiness_score</t>
  </si>
  <si>
    <t>https://africanmarketingconfederation.org/amc-conference-2022-prospectus/::no_compression_header</t>
  </si>
  <si>
    <t>https://africanmarketingconfederation.org/amc-conference-2022-prospectus/::no_cache-control_header</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</si>
  <si>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</si>
  <si>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</si>
  <si>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</si>
  <si>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</si>
  <si>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</si>
  <si>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</si>
  <si>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https://africanmarketingconfederation.org/test-payment-gate/::missing_h1</t>
  </si>
  <si>
    <t>https://africanmarketingconfederation.org/test-payment-gate/::low_aeo_readiness_score</t>
  </si>
  <si>
    <t>https://africanmarketingconfederation.org/test-payment-gate/::no_compression_header</t>
  </si>
  <si>
    <t>https://africanmarketingconfederation.org/test-payment-gate/::no_cache-control_header</t>
  </si>
  <si>
    <t>https://africanmarketingconfederation.org/test-payment-gate/::no_etag_header</t>
  </si>
  <si>
    <t>https://africanmarketingconfederation.org/test-payment-gate/::thin_content</t>
  </si>
  <si>
    <t>https://africanmarketingconfederation.org/test-payment-gate/::no_question_headings</t>
  </si>
  <si>
    <t>https://africanmarketingconfederation.org/test-payment-gate/::no_answer-friendly_structure</t>
  </si>
  <si>
    <t>https://africanmarketingconfederation.org/test-payment-gate/::no_40-60_word_answer_paragraphs</t>
  </si>
  <si>
    <t>https://africanmarketingconfederation.org/test-payment-gate/::ai_crawlers_not_explicitly_allowed</t>
  </si>
  <si>
    <t>https://africanmarketingconfederation.org/checkout/::missing_h1</t>
  </si>
  <si>
    <t>https://africanmarketingconfederation.org/checkout/::low_aeo_readiness_score</t>
  </si>
  <si>
    <t>https://africanmarketingconfederation.org/checkout/::no_compression_header</t>
  </si>
  <si>
    <t>https://africanmarketingconfederation.org/checkout/::no_cache-control_header</t>
  </si>
  <si>
    <t>https://africanmarketingconfederation.org/checkout/::no_etag_header</t>
  </si>
  <si>
    <t>https://africanmarketingconfederation.org/checkout/::thin_content</t>
  </si>
  <si>
    <t>https://africanmarketingconfederation.org/checkout/::no_question_headings</t>
  </si>
  <si>
    <t>https://africanmarketingconfederation.org/checkout/::no_answer-friendly_structure</t>
  </si>
  <si>
    <t>https://africanmarketingconfederation.org/checkout/::no_40-60_word_answer_paragraphs</t>
  </si>
  <si>
    <t>https://africanmarketingconfederation.org/checkout/::ai_crawlers_not_explicitly_allowed</t>
  </si>
  <si>
    <t>https://africanmarketingconfederation.org/amc-marketing-conference-2024/amc-preregister-2025/::low_aeo_readiness_score</t>
  </si>
  <si>
    <t>https://africanmarketingconfederation.org/amc-marketing-conference-2024/amc-preregister-2025/::no_compression_header</t>
  </si>
  <si>
    <t>https://africanmarketingconfederation.org/amc-marketing-conference-2024/amc-preregister-2025/::no_cache-control_header</t>
  </si>
  <si>
    <t>https://africanmarketingconfederation.org/amc-marketing-conference-2024/amc-preregister-2025/::no_etag_header</t>
  </si>
  <si>
    <t>https://africanmarketingconfederation.org/amc-marketing-conference-2024/amc-preregister-2025/::no_question_headings</t>
  </si>
  <si>
    <t>https://africanmarketingconfederation.org/amc-marketing-conference-2024/amc-preregister-2025/::no_answer-friendly_structure</t>
  </si>
  <si>
    <t>https://africanmarketingconfederation.org/amc-marketing-conference-2024/amc-preregister-2025/::no_40-60_word_answer_paragraphs</t>
  </si>
  <si>
    <t>https://africanmarketingconfederation.org/amc-marketing-conference-2024/amc-preregister-2025/::ai_crawlers_not_explicitly_allowed</t>
  </si>
  <si>
    <t>https://africanmarketingconfederation.org/conference-faq-2025/::low_aeo_readiness_score</t>
  </si>
  <si>
    <t>https://africanmarketingconfederation.org/conference-faq-2025/::no_compression_header</t>
  </si>
  <si>
    <t>https://africanmarketingconfederation.org/conference-faq-2025/::no_cache-control_header</t>
  </si>
  <si>
    <t>https://africanmarketingconfederation.org/conference-faq-2025/::no_etag_header</t>
  </si>
  <si>
    <t>https://africanmarketingconfederation.org/conference-faq-2025/::no_question_headings</t>
  </si>
  <si>
    <t>https://africanmarketingconfederation.org/conference-faq-2025/::no_answer-friendly_structure</t>
  </si>
  <si>
    <t>https://africanmarketingconfederation.org/conference-faq-2025/::no_40-60_word_answer_paragraphs</t>
  </si>
  <si>
    <t>https://africanmarketingconfederation.org/conference-faq-2025/::ai_crawlers_not_explicitly_allowed</t>
  </si>
  <si>
    <t>https://africanmarketingconfederation.org/amc-marketing-conference-2024/amc-conference-2025-ghana-sponsors/::low_aeo_readiness_score</t>
  </si>
  <si>
    <t>https://africanmarketingconfederation.org/amc-marketing-conference-2024/amc-conference-2025-ghana-sponsors/::no_compression_header</t>
  </si>
  <si>
    <t>https://africanmarketingconfederation.org/amc-marketing-conference-2024/amc-conference-2025-ghana-sponsors/::no_cache-control_header</t>
  </si>
  <si>
    <t>https://africanmarketingconfederation.org/amc-marketing-conference-2024/amc-conference-2025-ghana-sponsors/::no_etag_header</t>
  </si>
  <si>
    <t>https://africanmarketingconfederation.org/amc-marketing-conference-2024/amc-conference-2025-ghana-sponsors/::thin_content</t>
  </si>
  <si>
    <t>https://africanmarketingconfederation.org/amc-marketing-conference-2024/amc-conference-2025-ghana-sponsors/::no_question_headings</t>
  </si>
  <si>
    <t>https://africanmarketingconfederation.org/amc-marketing-conference-2024/amc-conference-2025-ghana-sponsors/::no_answer-friendly_structure</t>
  </si>
  <si>
    <t>https://africanmarketingconfederation.org/amc-marketing-conference-2024/amc-conference-2025-ghana-sponsors/::no_40-60_word_answer_paragraphs</t>
  </si>
  <si>
    <t>https://africanmarketingconfederation.org/amc-marketing-conference-2024/amc-conference-2025-ghana-sponsors/::ai_crawlers_not_explicitly_allowed</t>
  </si>
  <si>
    <t>https://africanmarketingconfederation.org/amc-marketing-conference-2024/amc-launch-event-2025/::low_aeo_readiness_score</t>
  </si>
  <si>
    <t>https://africanmarketingconfederation.org/amc-marketing-conference-2024/amc-launch-event-2025/::no_compression_header</t>
  </si>
  <si>
    <t>https://africanmarketingconfederation.org/amc-marketing-conference-2024/amc-launch-event-2025/::no_cache-control_header</t>
  </si>
  <si>
    <t>https://africanmarketingconfederation.org/amc-marketing-conference-2024/amc-launch-event-2025/::no_etag_header</t>
  </si>
  <si>
    <t>https://africanmarketingconfederation.org/amc-marketing-conference-2024/amc-launch-event-2025/::no_question_headings</t>
  </si>
  <si>
    <t>https://africanmarketingconfederation.org/amc-marketing-conference-2024/amc-launch-event-2025/::no_answer-friendly_structure</t>
  </si>
  <si>
    <t>https://africanmarketingconfederation.org/amc-marketing-conference-2024/amc-launch-event-2025/::no_40-60_word_answer_paragraphs</t>
  </si>
  <si>
    <t>https://africanmarketingconfederation.org/amc-marketing-conference-2024/amc-launch-event-2025/::ai_crawlers_not_explicitly_allowed</t>
  </si>
  <si>
    <t>https://africanmarketingconfederation.org/amc-forum-payments/::missing_h1</t>
  </si>
  <si>
    <t>https://africanmarketingconfederation.org/amc-forum-payments/::low_aeo_readiness_score</t>
  </si>
  <si>
    <t>https://africanmarketingconfederation.org/amc-forum-payments/::no_compression_header</t>
  </si>
  <si>
    <t>https://africanmarketingconfederation.org/amc-forum-payments/::no_cache-control_header</t>
  </si>
  <si>
    <t>https://africanmarketingconfederation.org/amc-forum-payments/::no_etag_header</t>
  </si>
  <si>
    <t>https://africanmarketingconfederation.org/amc-forum-payments/::thin_content</t>
  </si>
  <si>
    <t>https://africanmarketingconfederation.org/amc-forum-payments/::no_question_headings</t>
  </si>
  <si>
    <t>https://africanmarketingconfederation.org/amc-forum-payments/::no_answer-friendly_structure</t>
  </si>
  <si>
    <t>https://africanmarketingconfederation.org/amc-forum-payments/::no_40-60_word_answer_paragraphs</t>
  </si>
  <si>
    <t>https://africanmarketingconfederation.org/amc-forum-payments/::ai_crawlers_not_explicitly_allowed</t>
  </si>
  <si>
    <t>https://africanmarketingconfederation.org/amc-conference-2023/::low_aeo_readiness_score</t>
  </si>
  <si>
    <t>https://africanmarketingconfederation.org/amc-conference-2023/::no_compression_header</t>
  </si>
  <si>
    <t>https://africanmarketingconfederation.org/amc-conference-2023/::no_cache-control_header</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</si>
  <si>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</si>
  <si>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</si>
  <si>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</si>
  <si>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</si>
  <si>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</si>
  <si>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https://africanmarketingconfederation.org/amc-awards-2024/::multiple_h1</t>
  </si>
  <si>
    <t>https://africanmarketingconfederation.org/amc-awards-2024/::low_aeo_readiness_score</t>
  </si>
  <si>
    <t>https://africanmarketingconfederation.org/amc-awards-2024/::no_compression_header</t>
  </si>
  <si>
    <t>https://africanmarketingconfederation.org/amc-awards-2024/::no_cache-control_header</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</si>
  <si>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</si>
  <si>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</si>
  <si>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</si>
  <si>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</si>
  <si>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</si>
  <si>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https://africanmarketingconfederation.org/amc-forum-mombasa/::low_aeo_readiness_score</t>
  </si>
  <si>
    <t>https://africanmarketingconfederation.org/amc-forum-mombasa/::no_compression_header</t>
  </si>
  <si>
    <t>https://africanmarketingconfederation.org/amc-forum-mombasa/::no_cache-control_header</t>
  </si>
  <si>
    <t>https://africanmarketingconfederation.org/amc-forum-mombasa/::no_etag_header</t>
  </si>
  <si>
    <t>https://africanmarketingconfederation.org/amc-forum-mombasa/::no_question_headings</t>
  </si>
  <si>
    <t>https://africanmarketingconfederation.org/amc-forum-mombasa/::no_answer-friendly_structure</t>
  </si>
  <si>
    <t>https://africanmarketingconfederation.org/amc-forum-mombasa/::no_40-60_word_answer_paragraphs</t>
  </si>
  <si>
    <t>https://africanmarketingconfederation.org/amc-forum-mombasa/::ai_crawlers_not_explicitly_allowed</t>
  </si>
  <si>
    <t>https://africanmarketingconfederation.org/amc-marketing-conference-2024/::low_aeo_readiness_score</t>
  </si>
  <si>
    <t>https://africanmarketingconfederation.org/amc-marketing-conference-2024/::no_compression_header</t>
  </si>
  <si>
    <t>https://africanmarketingconfederation.org/amc-marketing-conference-2024/::no_cache-control_header</t>
  </si>
  <si>
    <t>https://africanmarketingconfederation.org/amc-marketing-conference-2024/::no_etag_header</t>
  </si>
  <si>
    <t>https://africanmarketingconfederation.org/amc-marketing-conference-2024/::no_question_headings</t>
  </si>
  <si>
    <t>https://africanmarketingconfederation.org/amc-marketing-conference-2024/::no_answer-friendly_structure</t>
  </si>
  <si>
    <t>https://africanmarketingconfederation.org/amc-marketing-conference-2024/::no_40-60_word_answer_paragraphs</t>
  </si>
  <si>
    <t>https://africanmarketingconfederation.org/amc-marketing-conference-2024/::ai_crawlers_not_explicitly_allowed</t>
  </si>
  <si>
    <t>https://africanmarketingconfederation.org/amc-marketing-conference-2024/amc-speakers-presentations-2024/::multiple_h1</t>
  </si>
  <si>
    <t>https://africanmarketingconfederation.org/amc-marketing-conference-2024/amc-speakers-presentations-2024/::low_aeo_readiness_score</t>
  </si>
  <si>
    <t>https://africanmarketingconfederation.org/amc-marketing-conference-2024/amc-speakers-presentations-2024/::no_compression_header</t>
  </si>
  <si>
    <t>https://africanmarketingconfederation.org/amc-marketing-conference-2024/amc-speakers-presentations-2024/::no_cache-control_header</t>
  </si>
  <si>
    <t>https://africanmarketingconfederation.org/amc-marketing-conference-2024/amc-speakers-presentations-2024/::no_etag_header</t>
  </si>
  <si>
    <t>https://africanmarketingconfederation.org/amc-marketing-conference-2024/amc-speakers-presentations-2024/::thin_content</t>
  </si>
  <si>
    <t>https://africanmarketingconfederation.org/amc-marketing-conference-2024/amc-speakers-presentations-2024/::no_question_headings</t>
  </si>
  <si>
    <t>https://africanmarketingconfederation.org/amc-marketing-conference-2024/amc-speakers-presentations-2024/::no_answer-friendly_structure</t>
  </si>
  <si>
    <t>https://africanmarketingconfederation.org/amc-marketing-conference-2024/amc-speakers-presentations-2024/::no_40-60_word_answer_paragraphs</t>
  </si>
  <si>
    <t>https://africanmarketingconfederation.org/amc-marketing-conference-2024/amc-speakers-presentations-2024/::ai_crawlers_not_explicitly_allowed</t>
  </si>
  <si>
    <t>https://africanmarketingconfederation.org/amc-marketing-conference-2024/testimony-thank-you-page/::multiple_h1</t>
  </si>
  <si>
    <t>https://africanmarketingconfederation.org/amc-marketing-conference-2024/testimony-thank-you-page/::low_aeo_readiness_score</t>
  </si>
  <si>
    <t>https://africanmarketingconfederation.org/amc-marketing-conference-2024/testimony-thank-you-page/::no_compression_header</t>
  </si>
  <si>
    <t>https://africanmarketingconfederation.org/amc-marketing-conference-2024/testimony-thank-you-page/::no_cache-control_header</t>
  </si>
  <si>
    <t>https://africanmarketingconfederation.org/amc-marketing-conference-2024/testimony-thank-you-page/::no_etag_header</t>
  </si>
  <si>
    <t>https://africanmarketingconfederation.org/amc-marketing-conference-2024/testimony-thank-you-page/::thin_content</t>
  </si>
  <si>
    <t>https://africanmarketingconfederation.org/amc-marketing-conference-2024/testimony-thank-you-page/::no_question_headings</t>
  </si>
  <si>
    <t>https://africanmarketingconfederation.org/amc-marketing-conference-2024/testimony-thank-you-page/::no_answer-friendly_structure</t>
  </si>
  <si>
    <t>https://africanmarketingconfederation.org/amc-marketing-conference-2024/testimony-thank-you-page/::no_40-60_word_answer_paragraphs</t>
  </si>
  <si>
    <t>https://africanmarketingconfederation.org/amc-marketing-conference-2024/testimony-thank-you-page/::ai_crawlers_not_explicitly_allowed</t>
  </si>
  <si>
    <t>https://africanmarketingconfederation.org/amc-sign-up-now-form-2025/::low_aeo_readiness_score</t>
  </si>
  <si>
    <t>https://africanmarketingconfederation.org/amc-sign-up-now-form-2025/::no_compression_header</t>
  </si>
  <si>
    <t>https://africanmarketingconfederation.org/amc-sign-up-now-form-2025/::no_cache-control_header</t>
  </si>
  <si>
    <t>https://africanmarketingconfederation.org/amc-sign-up-now-form-2025/::no_etag_header</t>
  </si>
  <si>
    <t>https://africanmarketingconfederation.org/amc-sign-up-now-form-2025/::no_question_headings</t>
  </si>
  <si>
    <t>https://africanmarketingconfederation.org/amc-sign-up-now-form-2025/::no_answer-friendly_structure</t>
  </si>
  <si>
    <t>https://africanmarketingconfederation.org/amc-sign-up-now-form-2025/::no_40-60_word_answer_paragraphs</t>
  </si>
  <si>
    <t>https://africanmarketingconfederation.org/amc-sign-up-now-form-2025/::ai_crawlers_not_explicitly_allowed</t>
  </si>
  <si>
    <t>https://africanmarketingconfederation.org/amc-testimony-page-2024/::low_aeo_readiness_score</t>
  </si>
  <si>
    <t>https://africanmarketingconfederation.org/amc-testimony-page-2024/::no_compression_header</t>
  </si>
  <si>
    <t>https://africanmarketingconfederation.org/amc-testimony-page-2024/::no_cache-control_header</t>
  </si>
  <si>
    <t>https://africanmarketingconfederation.org/amc-testimony-page-2024/::no_etag_header</t>
  </si>
  <si>
    <t>https://africanmarketingconfederation.org/amc-testimony-page-2024/::no_question_headings</t>
  </si>
  <si>
    <t>https://africanmarketingconfederation.org/amc-testimony-page-2024/::no_answer-friendly_structure</t>
  </si>
  <si>
    <t>https://africanmarketingconfederation.org/amc-testimony-page-2024/::no_40-60_word_answer_paragraphs</t>
  </si>
  <si>
    <t>https://africanmarketingconfederation.org/amc-testimony-page-2024/::ai_crawlers_not_explicitly_allowed</t>
  </si>
  <si>
    <t>https://africanmarketingconfederation.org/amc-conference-sponsors/::non-200_status</t>
  </si>
  <si>
    <t>https://africanmarketingconfederation.org/amc-conference-sponsors/::missing_title</t>
  </si>
  <si>
    <t>https://africanmarketingconfederation.org/amc-conference-sponsors/::missing_meta_description</t>
  </si>
  <si>
    <t>https://africanmarketingconfederation.org/amc-conference-sponsors/::low_aeo_readiness_score</t>
  </si>
  <si>
    <t>https://africanmarketingconfederation.org/amc-conference-sponsors/::no_compression_header</t>
  </si>
  <si>
    <t>https://africanmarketingconfederation.org/amc-conference-sponsors/::no_cache-control_header</t>
  </si>
  <si>
    <t>https://africanmarketingconfederation.org/amc-conference-sponsors/::no_etag_header</t>
  </si>
  <si>
    <t>https://africanmarketingconfederation.org/amc-conference-sponsors/::no_question_headings</t>
  </si>
  <si>
    <t>https://africanmarketingconfederation.org/amc-conference-sponsors/::no_answer-friendly_structure</t>
  </si>
  <si>
    <t>https://africanmarketingconfederation.org/amc-conference-sponsors/::no_40-60_word_answer_paragraphs</t>
  </si>
  <si>
    <t>https://africanmarketingconfederation.org/amc-conference-sponsors/::low_regional_authority</t>
  </si>
  <si>
    <t>https://africanmarketingconfederation.org/amc-conference-sponsors/::ai_crawlers_not_explicitly_allowed</t>
  </si>
  <si>
    <t>https://africanmarketingconfederation.org/amc-marketing-conference-2024/speakers-2024/::non-200_status</t>
  </si>
  <si>
    <t>https://africanmarketingconfederation.org/amc-marketing-conference-2024/speakers-2024/::missing_title</t>
  </si>
  <si>
    <t>https://africanmarketingconfederation.org/amc-marketing-conference-2024/speakers-2024/::missing_meta_description</t>
  </si>
  <si>
    <t>https://africanmarketingconfederation.org/amc-marketing-conference-2024/speakers-2024/::low_aeo_readiness_score</t>
  </si>
  <si>
    <t>https://africanmarketingconfederation.org/amc-marketing-conference-2024/speakers-2024/::no_compression_header</t>
  </si>
  <si>
    <t>https://africanmarketingconfederation.org/amc-marketing-conference-2024/speakers-2024/::no_cache-control_header</t>
  </si>
  <si>
    <t>https://africanmarketingconfederation.org/amc-marketing-conference-2024/speakers-2024/::no_etag_header</t>
  </si>
  <si>
    <t>https://africanmarketingconfederation.org/amc-marketing-conference-2024/speakers-2024/::no_question_headings</t>
  </si>
  <si>
    <t>https://africanmarketingconfederation.org/amc-marketing-conference-2024/speakers-2024/::no_answer-friendly_structure</t>
  </si>
  <si>
    <t>https://africanmarketingconfederation.org/amc-marketing-conference-2024/speakers-2024/::no_40-60_word_answer_paragraphs</t>
  </si>
  <si>
    <t>https://africanmarketingconfederation.org/amc-marketing-conference-2024/speakers-2024/::low_regional_authority</t>
  </si>
  <si>
    <t>https://africanmarketingconfederation.org/amc-marketing-conference-2024/speakers-2024/::ai_crawlers_not_explicitly_allowed</t>
  </si>
  <si>
    <t>https://africanmarketingconfederation.org/thank-you-for-registering-2024-registrations/::missing_h1</t>
  </si>
  <si>
    <t>https://africanmarketingconfederation.org/thank-you-for-registering-2024-registrations/::low_aeo_readiness_score</t>
  </si>
  <si>
    <t>https://africanmarketingconfederation.org/thank-you-for-registering-2024-registrations/::no_compression_header</t>
  </si>
  <si>
    <t>https://africanmarketingconfederation.org/thank-you-for-registering-2024-registrations/::no_cache-control_header</t>
  </si>
  <si>
    <t>https://africanmarketingconfederation.org/thank-you-for-registering-2024-registrations/::no_etag_header</t>
  </si>
  <si>
    <t>https://africanmarketingconfederation.org/thank-you-for-registering-2024-registrations/::thin_content</t>
  </si>
  <si>
    <t>https://africanmarketingconfederation.org/thank-you-for-registering-2024-registrations/::no_question_headings</t>
  </si>
  <si>
    <t>https://africanmarketingconfederation.org/thank-you-for-registering-2024-registrations/::no_answer-friendly_structure</t>
  </si>
  <si>
    <t>https://africanmarketingconfederation.org/thank-you-for-registering-2024-registrations/::no_40-60_word_answer_paragraphs</t>
  </si>
  <si>
    <t>https://africanmarketingconfederation.org/thank-you-for-registering-2024-registrations/::ai_crawlers_not_explicitly_allowed</t>
  </si>
  <si>
    <t>https://africanmarketingconfederation.org/download-prospectus-2024/::missing_h1</t>
  </si>
  <si>
    <t>https://africanmarketingconfederation.org/download-prospectus-2024/::low_aeo_readiness_score</t>
  </si>
  <si>
    <t>https://africanmarketingconfederation.org/download-prospectus-2024/::no_compression_header</t>
  </si>
  <si>
    <t>https://africanmarketingconfederation.org/download-prospectus-2024/::no_cache-control_header</t>
  </si>
  <si>
    <t>https://africanmarketingconfederation.org/download-prospectus-2024/::no_etag_header</t>
  </si>
  <si>
    <t>https://africanmarketingconfederation.org/download-prospectus-2024/::thin_content</t>
  </si>
  <si>
    <t>https://africanmarketingconfederation.org/download-prospectus-2024/::no_question_headings</t>
  </si>
  <si>
    <t>https://africanmarketingconfederation.org/download-prospectus-2024/::no_answer-friendly_structure</t>
  </si>
  <si>
    <t>https://africanmarketingconfederation.org/download-prospectus-2024/::no_40-60_word_answer_paragraphs</t>
  </si>
  <si>
    <t>https://africanmarketingconfederation.org/download-prospectus-2024/::ai_crawlers_not_explicitly_allowed</t>
  </si>
  <si>
    <t>https://africanmarketingconfederation.org/thank-you-for-registering-2024-registrations-kenya/::missing_h1</t>
  </si>
  <si>
    <t>https://africanmarketingconfederation.org/thank-you-for-registering-2024-registrations-kenya/::low_aeo_readiness_score</t>
  </si>
  <si>
    <t>https://africanmarketingconfederation.org/thank-you-for-registering-2024-registrations-kenya/::no_compression_header</t>
  </si>
  <si>
    <t>https://africanmarketingconfederation.org/thank-you-for-registering-2024-registrations-kenya/::no_cache-control_header</t>
  </si>
  <si>
    <t>https://africanmarketingconfederation.org/thank-you-for-registering-2024-registrations-kenya/::no_etag_header</t>
  </si>
  <si>
    <t>https://africanmarketingconfederation.org/thank-you-for-registering-2024-registrations-kenya/::thin_content</t>
  </si>
  <si>
    <t>https://africanmarketingconfederation.org/thank-you-for-registering-2024-registrations-kenya/::no_question_headings</t>
  </si>
  <si>
    <t>https://africanmarketingconfederation.org/thank-you-for-registering-2024-registrations-kenya/::no_answer-friendly_structure</t>
  </si>
  <si>
    <t>https://africanmarketingconfederation.org/thank-you-for-registering-2024-registrations-kenya/::no_40-60_word_answer_paragraphs</t>
  </si>
  <si>
    <t>https://africanmarketingconfederation.org/thank-you-for-registering-2024-registrations-kenya/::ai_crawlers_not_explicitly_allowed</t>
  </si>
  <si>
    <t>https://africanmarketingconfederation.org/subscribe/::missing_h1</t>
  </si>
  <si>
    <t>https://africanmarketingconfederation.org/subscribe/::low_aeo_readiness_score</t>
  </si>
  <si>
    <t>https://africanmarketingconfederation.org/subscribe/::no_compression_header</t>
  </si>
  <si>
    <t>https://africanmarketingconfederation.org/subscribe/::no_cache-control_header</t>
  </si>
  <si>
    <t>https://africanmarketingconfederation.org/subscribe/::no_etag_header</t>
  </si>
  <si>
    <t>https://africanmarketingconfederation.org/subscribe/::no_question_headings</t>
  </si>
  <si>
    <t>https://africanmarketingconfederation.org/subscribe/::no_answer-friendly_structure</t>
  </si>
  <si>
    <t>https://africanmarketingconfederation.org/subscribe/::no_40-60_word_answer_paragraphs</t>
  </si>
  <si>
    <t>https://africanmarketingconfederation.org/subscribe/::ai_crawlers_not_explicitly_allowed</t>
  </si>
  <si>
    <t>https://africanmarketingconfederation.org/elementor-20341/::missing_meta_description</t>
  </si>
  <si>
    <t>https://africanmarketingconfederation.org/elementor-20341/::missing_h1</t>
  </si>
  <si>
    <t>https://africanmarketingconfederation.org/elementor-20341/::low_aeo_readiness_score</t>
  </si>
  <si>
    <t>https://africanmarketingconfederation.org/elementor-20341/::no_compression_header</t>
  </si>
  <si>
    <t>https://africanmarketingconfederation.org/elementor-20341/::no_cache-control_header</t>
  </si>
  <si>
    <t>https://africanmarketingconfederation.org/elementor-20341/::no_etag_header</t>
  </si>
  <si>
    <t>https://africanmarketingconfederation.org/elementor-20341/::thin_content</t>
  </si>
  <si>
    <t>https://africanmarketingconfederation.org/elementor-20341/::no_question_headings</t>
  </si>
  <si>
    <t>https://africanmarketingconfederation.org/elementor-20341/::no_answer-friendly_structure</t>
  </si>
  <si>
    <t>https://africanmarketingconfederation.org/elementor-20341/::no_40-60_word_answer_paragraphs</t>
  </si>
  <si>
    <t>https://africanmarketingconfederation.org/elementor-20341/::ai_crawlers_not_explicitly_allowed</t>
  </si>
  <si>
    <t>https://africanmarketingconfederation.org/chartered-marketer-africa-programme-fee/::low_aeo_readiness_score</t>
  </si>
  <si>
    <t>https://africanmarketingconfederation.org/chartered-marketer-africa-programme-fee/::no_compression_header</t>
  </si>
  <si>
    <t>https://africanmarketingconfederation.org/chartered-marketer-africa-programme-fee/::no_cache-control_header</t>
  </si>
  <si>
    <t>https://africanmarketingconfederation.org/chartered-marketer-africa-programme-fee/::no_etag_header</t>
  </si>
  <si>
    <t>https://africanmarketingconfederation.org/chartered-marketer-africa-programme-fee/::thin_content</t>
  </si>
  <si>
    <t>https://africanmarketingconfederation.org/chartered-marketer-africa-programme-fee/::no_question_headings</t>
  </si>
  <si>
    <t>https://africanmarketingconfederation.org/chartered-marketer-africa-programme-fee/::no_answer-friendly_structure</t>
  </si>
  <si>
    <t>https://africanmarketingconfederation.org/chartered-marketer-africa-programme-fee/::no_40-60_word_answer_paragraphs</t>
  </si>
  <si>
    <t>https://africanmarketingconfederation.org/chartered-marketer-africa-programme-fee/::ai_crawlers_not_explicitly_allowed</t>
  </si>
  <si>
    <t>https://africanmarketingconfederation.org/chartered-marketer-africa-final-submission-fee/::low_aeo_readiness_score</t>
  </si>
  <si>
    <t>https://africanmarketingconfederation.org/chartered-marketer-africa-final-submission-fee/::no_compression_header</t>
  </si>
  <si>
    <t>https://africanmarketingconfederation.org/chartered-marketer-africa-final-submission-fee/::no_cache-control_header</t>
  </si>
  <si>
    <t>https://africanmarketingconfederation.org/chartered-marketer-africa-final-submission-fee/::no_etag_header</t>
  </si>
  <si>
    <t>https://africanmarketingconfederation.org/chartered-marketer-africa-final-submission-fee/::thin_content</t>
  </si>
  <si>
    <t>https://africanmarketingconfederation.org/chartered-marketer-africa-final-submission-fee/::no_question_headings</t>
  </si>
  <si>
    <t>https://africanmarketingconfederation.org/chartered-marketer-africa-final-submission-fee/::no_answer-friendly_structure</t>
  </si>
  <si>
    <t>https://africanmarketingconfederation.org/chartered-marketer-africa-final-submission-fee/::no_40-60_word_answer_paragraphs</t>
  </si>
  <si>
    <t>https://africanmarketingconfederation.org/chartered-marketer-africa-final-submission-fee/::ai_crawlers_not_explicitly_allowed</t>
  </si>
  <si>
    <t>https://africanmarketingconfederation.org/download-brochure/::missing_h1</t>
  </si>
  <si>
    <t>https://africanmarketingconfederation.org/download-brochure/::low_aeo_readiness_score</t>
  </si>
  <si>
    <t>https://africanmarketingconfederation.org/download-brochure/::no_compression_header</t>
  </si>
  <si>
    <t>https://africanmarketingconfederation.org/download-brochure/::no_cache-control_header</t>
  </si>
  <si>
    <t>https://africanmarketingconfederation.org/download-brochure/::no_etag_header</t>
  </si>
  <si>
    <t>https://africanmarketingconfederation.org/download-brochure/::thin_content</t>
  </si>
  <si>
    <t>https://africanmarketingconfederation.org/download-brochure/::no_question_headings</t>
  </si>
  <si>
    <t>https://africanmarketingconfederation.org/download-brochure/::no_answer-friendly_structure</t>
  </si>
  <si>
    <t>https://africanmarketingconfederation.org/download-brochure/::no_40-60_word_answer_paragraphs</t>
  </si>
  <si>
    <t>https://africanmarketingconfederation.org/download-brochure/::ai_crawlers_not_explicitly_allowed</t>
  </si>
  <si>
    <t>https://africanmarketingconfederation.org/thank-you-for-the-nomination-2024/::missing_h1</t>
  </si>
  <si>
    <t>https://africanmarketingconfederation.org/thank-you-for-the-nomination-2024/::low_aeo_readiness_score</t>
  </si>
  <si>
    <t>https://africanmarketingconfederation.org/thank-you-for-the-nomination-2024/::no_compression_header</t>
  </si>
  <si>
    <t>https://africanmarketingconfederation.org/thank-you-for-the-nomination-2024/::no_cache-control_header</t>
  </si>
  <si>
    <t>https://africanmarketingconfederation.org/thank-you-for-the-nomination-2024/::no_etag_header</t>
  </si>
  <si>
    <t>https://africanmarketingconfederation.org/thank-you-for-the-nomination-2024/::thin_content</t>
  </si>
  <si>
    <t>https://africanmarketingconfederation.org/thank-you-for-the-nomination-2024/::no_question_headings</t>
  </si>
  <si>
    <t>https://africanmarketingconfederation.org/thank-you-for-the-nomination-2024/::no_answer-friendly_structure</t>
  </si>
  <si>
    <t>https://africanmarketingconfederation.org/thank-you-for-the-nomination-2024/::no_40-60_word_answer_paragraphs</t>
  </si>
  <si>
    <t>https://africanmarketingconfederation.org/thank-you-for-the-nomination-2024/::ai_crawlers_not_explicitly_allowed</t>
  </si>
  <si>
    <t>https://africanmarketingconfederation.org/amc-conference-2024-sponsors-packages/::low_aeo_readiness_score</t>
  </si>
  <si>
    <t>https://africanmarketingconfederation.org/amc-conference-2024-sponsors-packages/::no_compression_header</t>
  </si>
  <si>
    <t>https://africanmarketingconfederation.org/amc-conference-2024-sponsors-packages/::no_cache-control_header</t>
  </si>
  <si>
    <t>https://africanmarketingconfederation.org/amc-conference-2024-sponsors-packages/::no_etag_header</t>
  </si>
  <si>
    <t>https://africanmarketingconfederation.org/amc-conference-2024-sponsors-packages/::thin_content</t>
  </si>
  <si>
    <t>https://africanmarketingconfederation.org/amc-conference-2024-sponsors-packages/::no_question_headings</t>
  </si>
  <si>
    <t>https://africanmarketingconfederation.org/amc-conference-2024-sponsors-packages/::no_answer-friendly_structure</t>
  </si>
  <si>
    <t>https://africanmarketingconfederation.org/amc-conference-2024-sponsors-packages/::no_40-60_word_answer_paragraphs</t>
  </si>
  <si>
    <t>https://africanmarketingconfederation.org/amc-conference-2024-sponsors-packages/::ai_crawlers_not_explicitly_allowed</t>
  </si>
  <si>
    <t>https://africanmarketingconfederation.org/thank-you-for-the-submission-2024/::missing_h1</t>
  </si>
  <si>
    <t>https://africanmarketingconfederation.org/thank-you-for-the-submission-2024/::low_aeo_readiness_score</t>
  </si>
  <si>
    <t>https://africanmarketingconfederation.org/thank-you-for-the-submission-2024/::no_compression_header</t>
  </si>
  <si>
    <t>https://africanmarketingconfederation.org/thank-you-for-the-submission-2024/::no_cache-control_header</t>
  </si>
  <si>
    <t>https://africanmarketingconfederation.org/thank-you-for-the-submission-2024/::no_etag_header</t>
  </si>
  <si>
    <t>https://africanmarketingconfederation.org/thank-you-for-the-submission-2024/::thin_content</t>
  </si>
  <si>
    <t>https://africanmarketingconfederation.org/thank-you-for-the-submission-2024/::no_question_headings</t>
  </si>
  <si>
    <t>https://africanmarketingconfederation.org/thank-you-for-the-submission-2024/::no_answer-friendly_structure</t>
  </si>
  <si>
    <t>https://africanmarketingconfederation.org/thank-you-for-the-submission-2024/::no_40-60_word_answer_paragraphs</t>
  </si>
  <si>
    <t>https://africanmarketingconfederation.org/thank-you-for-the-submission-2024/::ai_crawlers_not_explicitly_allowed</t>
  </si>
  <si>
    <t>https://africanmarketingconfederation.org/elementor-16548/::missing_h1</t>
  </si>
  <si>
    <t>https://africanmarketingconfederation.org/elementor-16548/::low_aeo_readiness_score</t>
  </si>
  <si>
    <t>https://africanmarketingconfederation.org/elementor-16548/::no_compression_header</t>
  </si>
  <si>
    <t>https://africanmarketingconfederation.org/elementor-16548/::no_cache-control_header</t>
  </si>
  <si>
    <t>https://africanmarketingconfederation.org/elementor-16548/::no_etag_header</t>
  </si>
  <si>
    <t>https://africanmarketingconfederation.org/elementor-16548/::thin_content</t>
  </si>
  <si>
    <t>https://africanmarketingconfederation.org/elementor-16548/::no_question_headings</t>
  </si>
  <si>
    <t>https://africanmarketingconfederation.org/elementor-16548/::no_answer-friendly_structure</t>
  </si>
  <si>
    <t>https://africanmarketingconfederation.org/elementor-16548/::no_40-60_word_answer_paragraphs</t>
  </si>
  <si>
    <t>https://africanmarketingconfederation.org/elementor-16548/::ai_crawlers_not_explicitly_allowed</t>
  </si>
  <si>
    <t>https://africanmarketingconfederation.org/amc-marketing-conference-2024/programme-2024/::low_aeo_readiness_score</t>
  </si>
  <si>
    <t>https://africanmarketingconfederation.org/amc-marketing-conference-2024/programme-2024/::no_compression_header</t>
  </si>
  <si>
    <t>https://africanmarketingconfederation.org/amc-marketing-conference-2024/programme-2024/::no_cache-control_header</t>
  </si>
  <si>
    <t>https://africanmarketingconfederation.org/amc-marketing-conference-2024/programme-2024/::no_etag_header</t>
  </si>
  <si>
    <t>https://africanmarketingconfederation.org/amc-marketing-conference-2024/programme-2024/::no_question_headings</t>
  </si>
  <si>
    <t>https://africanmarketingconfederation.org/amc-marketing-conference-2024/programme-2024/::no_answer-friendly_structure</t>
  </si>
  <si>
    <t>https://africanmarketingconfederation.org/amc-marketing-conference-2024/programme-2024/::no_40-60_word_answer_paragraphs</t>
  </si>
  <si>
    <t>https://africanmarketingconfederation.org/amc-marketing-conference-2024/programme-2024/::ai_crawlers_not_explicitly_allowed</t>
  </si>
  <si>
    <t>https://africanmarketingconfederation.org/amc-conference-2023/amc-awards/::low_aeo_readiness_score</t>
  </si>
  <si>
    <t>https://africanmarketingconfederation.org/amc-conference-2023/amc-awards/::no_compression_header</t>
  </si>
  <si>
    <t>https://africanmarketingconfederation.org/amc-conference-2023/amc-awards/::no_cache-control_header</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</si>
  <si>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</si>
  <si>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</si>
  <si>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</si>
  <si>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</si>
  <si>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</si>
  <si>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https://africanmarketingconfederation.org/amc-conference-2023/programme/::low_aeo_readiness_score</t>
  </si>
  <si>
    <t>https://africanmarketingconfederation.org/amc-conference-2023/programme/::no_compression_header</t>
  </si>
  <si>
    <t>https://africanmarketingconfederation.org/amc-conference-2023/programme/::no_cache-control_header</t>
  </si>
  <si>
    <t>https://africanmarketingconfederation.org/amc-conference-2023/programme/::no_etag_header</t>
  </si>
  <si>
    <t>https://africanmarketingconfederation.org/amc-conference-2023/programme/::no_question_headings</t>
  </si>
  <si>
    <t>https://africanmarketingconfederation.org/amc-conference-2023/programme/::no_answer-friendly_structure</t>
  </si>
  <si>
    <t>https://africanmarketingconfederation.org/amc-conference-2023/programme/::no_40-60_word_answer_paragraphs</t>
  </si>
  <si>
    <t>https://africanmarketingconfederation.org/amc-conference-2023/programme/::ai_crawlers_not_explicitly_allowed</t>
  </si>
  <si>
    <t>https://africanmarketingconfederation.org/amc-conference-2023/partners/::low_aeo_readiness_score</t>
  </si>
  <si>
    <t>https://africanmarketingconfederation.org/amc-conference-2023/partners/::no_compression_header</t>
  </si>
  <si>
    <t>https://africanmarketingconfederation.org/amc-conference-2023/partners/::no_cache-control_header</t>
  </si>
  <si>
    <t>https://africanmarketingconfederation.org/amc-conference-2023/partners/::no_etag_header</t>
  </si>
  <si>
    <t>https://africanmarketingconfederation.org/amc-conference-2023/partners/::thin_content</t>
  </si>
  <si>
    <t>https://africanmarketingconfederation.org/amc-conference-2023/partners/::no_question_headings</t>
  </si>
  <si>
    <t>https://africanmarketingconfederation.org/amc-conference-2023/partners/::no_answer-friendly_structure</t>
  </si>
  <si>
    <t>https://africanmarketingconfederation.org/amc-conference-2023/partners/::no_40-60_word_answer_paragraphs</t>
  </si>
  <si>
    <t>https://africanmarketingconfederation.org/amc-conference-2023/partners/::ai_crawlers_not_explicitly_allowed</t>
  </si>
  <si>
    <t>https://africanmarketingconfederation.org/amc-conference-2023/speakers/::low_aeo_readiness_score</t>
  </si>
  <si>
    <t>https://africanmarketingconfederation.org/amc-conference-2023/speakers/::no_compression_header</t>
  </si>
  <si>
    <t>https://africanmarketingconfederation.org/amc-conference-2023/speakers/::no_cache-control_header</t>
  </si>
  <si>
    <t>https://africanmarketingconfederation.org/amc-conference-2023/speakers/::no_etag_header</t>
  </si>
  <si>
    <t>https://africanmarketingconfederation.org/amc-conference-2023/speakers/::no_question_headings</t>
  </si>
  <si>
    <t>https://africanmarketingconfederation.org/amc-conference-2023/speakers/::no_answer-friendly_structure</t>
  </si>
  <si>
    <t>https://africanmarketingconfederation.org/amc-conference-2023/speakers/::no_40-60_word_answer_paragraphs</t>
  </si>
  <si>
    <t>https://africanmarketingconfederation.org/amc-conference-2023/speakers/::ai_crawlers_not_explicitly_allowed</t>
  </si>
  <si>
    <t>https://africanmarketingconfederation.org/chartered-marketer-africa-thank-you/::missing_h1</t>
  </si>
  <si>
    <t>https://africanmarketingconfederation.org/chartered-marketer-africa-thank-you/::low_aeo_readiness_score</t>
  </si>
  <si>
    <t>https://africanmarketingconfederation.org/chartered-marketer-africa-thank-you/::no_compression_header</t>
  </si>
  <si>
    <t>https://africanmarketingconfederation.org/chartered-marketer-africa-thank-you/::no_cache-control_header</t>
  </si>
  <si>
    <t>https://africanmarketingconfederation.org/chartered-marketer-africa-thank-you/::no_etag_header</t>
  </si>
  <si>
    <t>https://africanmarketingconfederation.org/chartered-marketer-africa-thank-you/::thin_content</t>
  </si>
  <si>
    <t>https://africanmarketingconfederation.org/chartered-marketer-africa-thank-you/::no_question_headings</t>
  </si>
  <si>
    <t>https://africanmarketingconfederation.org/chartered-marketer-africa-thank-you/::no_answer-friendly_structure</t>
  </si>
  <si>
    <t>https://africanmarketingconfederation.org/chartered-marketer-africa-thank-you/::no_40-60_word_answer_paragraphs</t>
  </si>
  <si>
    <t>https://africanmarketingconfederation.org/chartered-marketer-africa-thank-you/::ai_crawlers_not_explicitly_allowed</t>
  </si>
  <si>
    <t>https://africanmarketingconfederation.org/amc-conference-2023/amc-awards-book-now/::missing_meta_description</t>
  </si>
  <si>
    <t>https://africanmarketingconfederation.org/amc-conference-2023/amc-awards-book-now/::missing_h1</t>
  </si>
  <si>
    <t>https://africanmarketingconfederation.org/amc-conference-2023/amc-awards-book-now/::low_aeo_readiness_score</t>
  </si>
  <si>
    <t>https://africanmarketingconfederation.org/amc-conference-2023/amc-awards-book-now/::no_compression_header</t>
  </si>
  <si>
    <t>https://africanmarketingconfederation.org/amc-conference-2023/amc-awards-book-now/::no_cache-control_header</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</si>
  <si>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</si>
  <si>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</si>
  <si>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</si>
  <si>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</si>
  <si>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</si>
  <si>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</si>
  <si>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https://africanmarketingconfederation.org/amc-conference-2023/book-now/::low_aeo_readiness_score</t>
  </si>
  <si>
    <t>https://africanmarketingconfederation.org/amc-conference-2023/book-now/::no_compression_header</t>
  </si>
  <si>
    <t>https://africanmarketingconfederation.org/amc-conference-2023/book-now/::no_cache-control_header</t>
  </si>
  <si>
    <t>https://africanmarketingconfederation.org/amc-conference-2023/book-now/::no_etag_header</t>
  </si>
  <si>
    <t>https://africanmarketingconfederation.org/amc-conference-2023/book-now/::thin_content</t>
  </si>
  <si>
    <t>https://africanmarketingconfederation.org/amc-conference-2023/book-now/::no_question_headings</t>
  </si>
  <si>
    <t>https://africanmarketingconfederation.org/amc-conference-2023/book-now/::no_answer-friendly_structure</t>
  </si>
  <si>
    <t>https://africanmarketingconfederation.org/amc-conference-2023/book-now/::no_40-60_word_answer_paragraphs</t>
  </si>
  <si>
    <t>https://africanmarketingconfederation.org/amc-conference-2023/book-now/::ai_crawlers_not_explicitly_allowed</t>
  </si>
  <si>
    <t>https://africanmarketingconfederation.org/amc-conference-2023/download-prospectus/::low_aeo_readiness_score</t>
  </si>
  <si>
    <t>https://africanmarketingconfederation.org/amc-conference-2023/download-prospectus/::no_compression_header</t>
  </si>
  <si>
    <t>https://africanmarketingconfederation.org/amc-conference-2023/download-prospectus/::no_cache-control_header</t>
  </si>
  <si>
    <t>https://africanmarketingconfederation.org/amc-conference-2023/download-prospectus/::no_etag_header</t>
  </si>
  <si>
    <t>https://africanmarketingconfederation.org/amc-conference-2023/download-prospectus/::thin_content</t>
  </si>
  <si>
    <t>https://africanmarketingconfederation.org/amc-conference-2023/download-prospectus/::no_question_headings</t>
  </si>
  <si>
    <t>https://africanmarketingconfederation.org/amc-conference-2023/download-prospectus/::no_answer-friendly_structure</t>
  </si>
  <si>
    <t>https://africanmarketingconfederation.org/amc-conference-2023/download-prospectus/::no_40-60_word_answer_paragraphs</t>
  </si>
  <si>
    <t>https://africanmarketingconfederation.org/amc-conference-2023/download-prospectus/::ai_crawlers_not_explicitly_allowed</t>
  </si>
  <si>
    <t>https://africanmarketingconfederation.org/amc-conference-2023/book-now-thank-you/::missing_h1</t>
  </si>
  <si>
    <t>https://africanmarketingconfederation.org/amc-conference-2023/book-now-thank-you/::low_aeo_readiness_score</t>
  </si>
  <si>
    <t>https://africanmarketingconfederation.org/amc-conference-2023/book-now-thank-you/::no_compression_header</t>
  </si>
  <si>
    <t>https://africanmarketingconfederation.org/amc-conference-2023/book-now-thank-you/::no_cache-control_header</t>
  </si>
  <si>
    <t>https://africanmarketingconfederation.org/amc-conference-2023/book-now-thank-you/::no_etag_header</t>
  </si>
  <si>
    <t>https://africanmarketingconfederation.org/amc-conference-2023/book-now-thank-you/::thin_content</t>
  </si>
  <si>
    <t>https://africanmarketingconfederation.org/amc-conference-2023/book-now-thank-you/::no_question_headings</t>
  </si>
  <si>
    <t>https://africanmarketingconfederation.org/amc-conference-2023/book-now-thank-you/::no_answer-friendly_structure</t>
  </si>
  <si>
    <t>https://africanmarketingconfederation.org/amc-conference-2023/book-now-thank-you/::no_40-60_word_answer_paragraphs</t>
  </si>
  <si>
    <t>https://africanmarketingconfederation.org/amc-conference-2023/book-now-thank-you/::ai_crawlers_not_explicitly_allowed</t>
  </si>
  <si>
    <t>https://africanmarketingconfederation.org/amc-conference-thank-you/::low_aeo_readiness_score</t>
  </si>
  <si>
    <t>https://africanmarketingconfederation.org/amc-conference-thank-you/::no_compression_header</t>
  </si>
  <si>
    <t>https://africanmarketingconfederation.org/amc-conference-thank-you/::no_cache-control_header</t>
  </si>
  <si>
    <t>https://africanmarketingconfederation.org/amc-conference-thank-you/::no_etag_header</t>
  </si>
  <si>
    <t>https://africanmarketingconfederation.org/amc-conference-thank-you/::no_question_headings</t>
  </si>
  <si>
    <t>https://africanmarketingconfederation.org/amc-conference-thank-you/::no_answer-friendly_structure</t>
  </si>
  <si>
    <t>https://africanmarketingconfederation.org/amc-conference-thank-you/::no_40-60_word_answer_paragraphs</t>
  </si>
  <si>
    <t>https://africanmarketingconfederation.org/amc-conference-thank-you/::ai_crawlers_not_explicitly_allowed</t>
  </si>
  <si>
    <t>https://africanmarketingconfederation.org/upcoming-events/::missing_h1</t>
  </si>
  <si>
    <t>https://africanmarketingconfederation.org/upcoming-events/::low_aeo_readiness_score</t>
  </si>
  <si>
    <t>https://africanmarketingconfederation.org/upcoming-events/::no_compression_header</t>
  </si>
  <si>
    <t>https://africanmarketingconfederation.org/upcoming-events/::no_cache-control_header</t>
  </si>
  <si>
    <t>https://africanmarketingconfederation.org/upcoming-events/::no_etag_header</t>
  </si>
  <si>
    <t>https://africanmarketingconfederation.org/upcoming-events/::thin_content</t>
  </si>
  <si>
    <t>https://africanmarketingconfederation.org/upcoming-events/::no_question_headings</t>
  </si>
  <si>
    <t>https://africanmarketingconfederation.org/upcoming-events/::no_answer-friendly_structure</t>
  </si>
  <si>
    <t>https://africanmarketingconfederation.org/upcoming-events/::no_40-60_word_answer_paragraphs</t>
  </si>
  <si>
    <t>https://africanmarketingconfederation.org/upcoming-events/::ai_crawlers_not_explicitly_allowed</t>
  </si>
  <si>
    <t>https://africanmarketingconfederation.org/thank-you-for-subscribing/::missing_h1</t>
  </si>
  <si>
    <t>https://africanmarketingconfederation.org/thank-you-for-subscribing/::low_aeo_readiness_score</t>
  </si>
  <si>
    <t>https://africanmarketingconfederation.org/thank-you-for-subscribing/::no_compression_header</t>
  </si>
  <si>
    <t>https://africanmarketingconfederation.org/thank-you-for-subscribing/::no_cache-control_header</t>
  </si>
  <si>
    <t>https://africanmarketingconfederation.org/thank-you-for-subscribing/::no_etag_header</t>
  </si>
  <si>
    <t>https://africanmarketingconfederation.org/thank-you-for-subscribing/::thin_content</t>
  </si>
  <si>
    <t>https://africanmarketingconfederation.org/thank-you-for-subscribing/::no_question_headings</t>
  </si>
  <si>
    <t>https://africanmarketingconfederation.org/thank-you-for-subscribing/::no_answer-friendly_structure</t>
  </si>
  <si>
    <t>https://africanmarketingconfederation.org/thank-you-for-subscribing/::no_40-60_word_answer_paragraphs</t>
  </si>
  <si>
    <t>https://africanmarketingconfederation.org/thank-you-for-subscribing/::ai_crawlers_not_explicitly_allowed</t>
  </si>
  <si>
    <t>https://africanmarketingconfederation.org/amc-relaunch-programme/::missing_h1</t>
  </si>
  <si>
    <t>https://africanmarketingconfederation.org/amc-relaunch-programme/::low_aeo_readiness_score</t>
  </si>
  <si>
    <t>https://africanmarketingconfederation.org/amc-relaunch-programme/::no_compression_header</t>
  </si>
  <si>
    <t>https://africanmarketingconfederation.org/amc-relaunch-programme/::no_cache-control_header</t>
  </si>
  <si>
    <t>https://africanmarketingconfederation.org/amc-relaunch-programme/::no_etag_header</t>
  </si>
  <si>
    <t>https://africanmarketingconfederation.org/amc-relaunch-programme/::no_question_headings</t>
  </si>
  <si>
    <t>https://africanmarketingconfederation.org/amc-relaunch-programme/::no_answer-friendly_structure</t>
  </si>
  <si>
    <t>https://africanmarketingconfederation.org/amc-relaunch-programme/::no_40-60_word_answer_paragraphs</t>
  </si>
  <si>
    <t>https://africanmarketingconfederation.org/amc-relaunch-programme/::ai_crawlers_not_explicitly_allowed</t>
  </si>
  <si>
    <t>https://africanmarketingconfederation.org/amc-masterclass/::missing_h1</t>
  </si>
  <si>
    <t>https://africanmarketingconfederation.org/amc-masterclass/::low_aeo_readiness_score</t>
  </si>
  <si>
    <t>https://africanmarketingconfederation.org/amc-masterclass/::no_compression_header</t>
  </si>
  <si>
    <t>https://africanmarketingconfederation.org/amc-masterclass/::no_cache-control_header</t>
  </si>
  <si>
    <t>https://africanmarketingconfederation.org/amc-masterclass/::no_etag_header</t>
  </si>
  <si>
    <t>https://africanmarketingconfederation.org/amc-masterclass/::thin_content</t>
  </si>
  <si>
    <t>https://africanmarketingconfederation.org/amc-masterclass/::no_question_headings</t>
  </si>
  <si>
    <t>https://africanmarketingconfederation.org/amc-masterclass/::no_answer-friendly_structure</t>
  </si>
  <si>
    <t>https://africanmarketingconfederation.org/amc-masterclass/::no_40-60_word_answer_paragraphs</t>
  </si>
  <si>
    <t>https://africanmarketingconfederation.org/amc-masterclass/::ai_crawlers_not_explicitly_allowed</t>
  </si>
  <si>
    <t>https://africanmarketingconfederation.org/amc-masterclass-thank-you/::missing_h1</t>
  </si>
  <si>
    <t>https://africanmarketingconfederation.org/amc-masterclass-thank-you/::low_aeo_readiness_score</t>
  </si>
  <si>
    <t>https://africanmarketingconfederation.org/amc-masterclass-thank-you/::no_compression_header</t>
  </si>
  <si>
    <t>https://africanmarketingconfederation.org/amc-masterclass-thank-you/::no_cache-control_header</t>
  </si>
  <si>
    <t>https://africanmarketingconfederation.org/amc-masterclass-thank-you/::no_etag_header</t>
  </si>
  <si>
    <t>https://africanmarketingconfederation.org/amc-masterclass-thank-you/::thin_content</t>
  </si>
  <si>
    <t>https://africanmarketingconfederation.org/amc-masterclass-thank-you/::no_question_headings</t>
  </si>
  <si>
    <t>https://africanmarketingconfederation.org/amc-masterclass-thank-you/::no_answer-friendly_structure</t>
  </si>
  <si>
    <t>https://africanmarketingconfederation.org/amc-masterclass-thank-you/::no_40-60_word_answer_paragraphs</t>
  </si>
  <si>
    <t>https://africanmarketingconfederation.org/amc-masterclass-thank-you/::ai_crawlers_not_explicitly_allowed</t>
  </si>
  <si>
    <t>https://africanmarketingconfederation.org/amc-masterclass-bookings/::missing_meta_description</t>
  </si>
  <si>
    <t>https://africanmarketingconfederation.org/amc-masterclass-bookings/::missing_h1</t>
  </si>
  <si>
    <t>https://africanmarketingconfederation.org/amc-masterclass-bookings/::low_aeo_readiness_score</t>
  </si>
  <si>
    <t>https://africanmarketingconfederation.org/amc-masterclass-bookings/::no_compression_header</t>
  </si>
  <si>
    <t>https://africanmarketingconfederation.org/amc-masterclass-bookings/::no_cache-control_header</t>
  </si>
  <si>
    <t>https://africanmarketingconfederation.org/amc-masterclass-bookings/::no_etag_header</t>
  </si>
  <si>
    <t>https://africanmarketingconfederation.org/amc-masterclass-bookings/::thin_content</t>
  </si>
  <si>
    <t>https://africanmarketingconfederation.org/amc-masterclass-bookings/::no_question_headings</t>
  </si>
  <si>
    <t>https://africanmarketingconfederation.org/amc-masterclass-bookings/::no_answer-friendly_structure</t>
  </si>
  <si>
    <t>https://africanmarketingconfederation.org/amc-masterclass-bookings/::no_40-60_word_answer_paragraphs</t>
  </si>
  <si>
    <t>https://africanmarketingconfederation.org/amc-masterclass-bookings/::ai_crawlers_not_explicitly_allowed</t>
  </si>
  <si>
    <t>https://africanmarketingconfederation.org/amc-conference-programme/::missing_h1</t>
  </si>
  <si>
    <t>https://africanmarketingconfederation.org/amc-conference-programme/::low_aeo_readiness_score</t>
  </si>
  <si>
    <t>https://africanmarketingconfederation.org/amc-conference-programme/::no_compression_header</t>
  </si>
  <si>
    <t>https://africanmarketingconfederation.org/amc-conference-programme/::no_cache-control_header</t>
  </si>
  <si>
    <t>https://africanmarketingconfederation.org/amc-conference-programme/::no_etag_header</t>
  </si>
  <si>
    <t>https://africanmarketingconfederation.org/amc-conference-programme/::no_question_headings</t>
  </si>
  <si>
    <t>https://africanmarketingconfederation.org/amc-conference-programme/::no_answer-friendly_structure</t>
  </si>
  <si>
    <t>https://africanmarketingconfederation.org/amc-conference-programme/::no_40-60_word_answer_paragraphs</t>
  </si>
  <si>
    <t>https://africanmarketingconfederation.org/amc-conference-programme/::ai_crawlers_not_explicitly_allowed</t>
  </si>
  <si>
    <t>https://africanmarketingconfederation.org/virtual-programme/::missing_h1</t>
  </si>
  <si>
    <t>https://africanmarketingconfederation.org/virtual-programme/::low_aeo_readiness_score</t>
  </si>
  <si>
    <t>https://africanmarketingconfederation.org/virtual-programme/::no_compression_header</t>
  </si>
  <si>
    <t>https://africanmarketingconfederation.org/virtual-programme/::no_cache-control_header</t>
  </si>
  <si>
    <t>https://africanmarketingconfederation.org/virtual-programme/::no_etag_header</t>
  </si>
  <si>
    <t>https://africanmarketingconfederation.org/virtual-programme/::no_question_headings</t>
  </si>
  <si>
    <t>https://africanmarketingconfederation.org/virtual-programme/::no_answer-friendly_structure</t>
  </si>
  <si>
    <t>https://africanmarketingconfederation.org/virtual-programme/::no_40-60_word_answer_paragraphs</t>
  </si>
  <si>
    <t>https://africanmarketingconfederation.org/virtual-programme/::ai_crawlers_not_explicitly_allowed</t>
  </si>
  <si>
    <t>https://africanmarketingconfederation.org/test-homeslider/::missing_h1</t>
  </si>
  <si>
    <t>https://africanmarketingconfederation.org/test-homeslider/::low_aeo_readiness_score</t>
  </si>
  <si>
    <t>https://africanmarketingconfederation.org/test-homeslider/::no_compression_header</t>
  </si>
  <si>
    <t>https://africanmarketingconfederation.org/test-homeslider/::no_cache-control_header</t>
  </si>
  <si>
    <t>https://africanmarketingconfederation.org/test-homeslider/::no_etag_header</t>
  </si>
  <si>
    <t>https://africanmarketingconfederation.org/test-homeslider/::thin_content</t>
  </si>
  <si>
    <t>https://africanmarketingconfederation.org/test-homeslider/::no_question_headings</t>
  </si>
  <si>
    <t>https://africanmarketingconfederation.org/test-homeslider/::no_answer-friendly_structure</t>
  </si>
  <si>
    <t>https://africanmarketingconfederation.org/test-homeslider/::no_40-60_word_answer_paragraphs</t>
  </si>
  <si>
    <t>https://africanmarketingconfederation.org/test-homeslider/::ai_crawlers_not_explicitly_allowed</t>
  </si>
  <si>
    <t>https://africanmarketingconfederation.org/general-enquiry-form-thank-you/::missing_h1</t>
  </si>
  <si>
    <t>https://africanmarketingconfederation.org/general-enquiry-form-thank-you/::low_aeo_readiness_score</t>
  </si>
  <si>
    <t>https://africanmarketingconfederation.org/general-enquiry-form-thank-you/::no_compression_header</t>
  </si>
  <si>
    <t>https://africanmarketingconfederation.org/general-enquiry-form-thank-you/::no_cache-control_header</t>
  </si>
  <si>
    <t>https://africanmarketingconfederation.org/general-enquiry-form-thank-you/::no_etag_header</t>
  </si>
  <si>
    <t>https://africanmarketingconfederation.org/general-enquiry-form-thank-you/::thin_content</t>
  </si>
  <si>
    <t>https://africanmarketingconfederation.org/general-enquiry-form-thank-you/::no_question_headings</t>
  </si>
  <si>
    <t>https://africanmarketingconfederation.org/general-enquiry-form-thank-you/::no_answer-friendly_structure</t>
  </si>
  <si>
    <t>https://africanmarketingconfederation.org/general-enquiry-form-thank-you/::no_40-60_word_answer_paragraphs</t>
  </si>
  <si>
    <t>https://africanmarketingconfederation.org/general-enquiry-form-thank-you/::ai_crawlers_not_explicitly_allowed</t>
  </si>
  <si>
    <t>https://africanmarketingconfederation.org/amc-conference-2022-thank-you/::missing_h1</t>
  </si>
  <si>
    <t>https://africanmarketingconfederation.org/amc-conference-2022-thank-you/::low_aeo_readiness_score</t>
  </si>
  <si>
    <t>https://africanmarketingconfederation.org/amc-conference-2022-thank-you/::no_compression_header</t>
  </si>
  <si>
    <t>https://africanmarketingconfederation.org/amc-conference-2022-thank-you/::no_cache-control_header</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</si>
  <si>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</si>
  <si>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</si>
  <si>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</si>
  <si>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</si>
  <si>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</si>
  <si>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https://africanmarketingconfederation.org/speakers/::missing_h1</t>
  </si>
  <si>
    <t>https://africanmarketingconfederation.org/speakers/::low_aeo_readiness_score</t>
  </si>
  <si>
    <t>https://africanmarketingconfederation.org/speakers/::no_compression_header</t>
  </si>
  <si>
    <t>https://africanmarketingconfederation.org/speakers/::no_cache-control_header</t>
  </si>
  <si>
    <t>https://africanmarketingconfederation.org/speakers/::no_etag_header</t>
  </si>
  <si>
    <t>https://africanmarketingconfederation.org/speakers/::thin_content</t>
  </si>
  <si>
    <t>https://africanmarketingconfederation.org/speakers/::no_question_headings</t>
  </si>
  <si>
    <t>https://africanmarketingconfederation.org/speakers/::no_answer-friendly_structure</t>
  </si>
  <si>
    <t>https://africanmarketingconfederation.org/speakers/::no_40-60_word_answer_paragraphs</t>
  </si>
  <si>
    <t>https://africanmarketingconfederation.org/speakers/::ai_crawlers_not_explicitly_allowed</t>
  </si>
  <si>
    <t>https://africanmarketingconfederation.org/privacy-policy/::multiple_h1</t>
  </si>
  <si>
    <t>https://africanmarketingconfederation.org/privacy-policy/::low_aeo_readiness_score</t>
  </si>
  <si>
    <t>https://africanmarketingconfederation.org/privacy-policy/::no_compression_header</t>
  </si>
  <si>
    <t>https://africanmarketingconfederation.org/privacy-policy/::no_cache-control_header</t>
  </si>
  <si>
    <t>https://africanmarketingconfederation.org/privacy-policy/::no_etag_header</t>
  </si>
  <si>
    <t>https://africanmarketingconfederation.org/privacy-policy/::no_question_headings</t>
  </si>
  <si>
    <t>https://africanmarketingconfederation.org/privacy-policy/::no_answer-friendly_structure</t>
  </si>
  <si>
    <t>https://africanmarketingconfederation.org/privacy-policy/::no_40-60_word_answer_paragraphs</t>
  </si>
  <si>
    <t>https://africanmarketingconfederation.org/privacy-policy/::ai_crawlers_not_explicitly_allowed</t>
  </si>
  <si>
    <t>Inlinks Count</t>
  </si>
  <si>
    <t>Inlinks URLs</t>
  </si>
  <si>
    <t>Orphan Candidate</t>
  </si>
  <si>
    <t>Sitemap URL</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</si>
  <si>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</si>
  <si>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</si>
  <si>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</si>
  <si>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</si>
  <si>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</si>
  <si>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</si>
  <si>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</si>
  <si>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</si>
  <si>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</si>
  <si>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2026-04-29 08:23:06</t>
  </si>
  <si>
    <t>2026-04-29 07:05:09</t>
  </si>
  <si>
    <t>2026-04-28 12:04:20</t>
  </si>
  <si>
    <t>2026-04-24 07:07:22</t>
  </si>
  <si>
    <t>2026-04-24 06:54:40</t>
  </si>
  <si>
    <t>2026-04-20 08:17:50</t>
  </si>
  <si>
    <t>2026-04-20 07:58:07</t>
  </si>
  <si>
    <t>2026-04-20 06:32:38</t>
  </si>
  <si>
    <t>2026-04-17 09:26:48</t>
  </si>
  <si>
    <t>2026-04-17 08:58:32</t>
  </si>
  <si>
    <t>2026-04-17 08:58:00</t>
  </si>
  <si>
    <t>2026-04-17 08:55:48</t>
  </si>
  <si>
    <t>2026-04-17 08:55:31</t>
  </si>
  <si>
    <t>2026-04-17 08:53:47</t>
  </si>
  <si>
    <t>2026-04-17 08:53:24</t>
  </si>
  <si>
    <t>2026-04-08 11:43:29</t>
  </si>
  <si>
    <t>2026-04-08 09:47:58</t>
  </si>
  <si>
    <t>2026-03-26 12:27:48</t>
  </si>
  <si>
    <t>2026-03-04 07:14:00</t>
  </si>
  <si>
    <t>2026-03-04 06:43:52</t>
  </si>
  <si>
    <t>2026-03-04 06:43:51</t>
  </si>
  <si>
    <t>2026-02-05 07:09:45</t>
  </si>
  <si>
    <t>2026-01-28 11:37:11</t>
  </si>
  <si>
    <t>2026-01-21 00:07:32</t>
  </si>
  <si>
    <t>2026-01-09 00:06:37</t>
  </si>
  <si>
    <t>2026-01-06 00:02:42</t>
  </si>
  <si>
    <t>2025-12-10 08:14:03</t>
  </si>
  <si>
    <t>2025-09-04 11:53:34</t>
  </si>
  <si>
    <t>2025-08-22 08:14:01</t>
  </si>
  <si>
    <t>2025-08-19 11:23:21</t>
  </si>
  <si>
    <t>2025-08-18 11:53:25</t>
  </si>
  <si>
    <t>2025-07-14 07:22:03</t>
  </si>
  <si>
    <t>2025-06-25 06:43:08</t>
  </si>
  <si>
    <t>2025-06-24 13:09:52</t>
  </si>
  <si>
    <t>2025-05-21 07:15:39</t>
  </si>
  <si>
    <t>2025-05-16 09:55:10</t>
  </si>
  <si>
    <t>2025-05-15 13:46:52</t>
  </si>
  <si>
    <t>2025-05-14 06:45:46</t>
  </si>
  <si>
    <t>2025-05-06 09:54:46</t>
  </si>
  <si>
    <t>2025-04-24 13:54:46</t>
  </si>
  <si>
    <t>2025-03-03 07:59:34</t>
  </si>
  <si>
    <t>2025-02-18 07:06:42</t>
  </si>
  <si>
    <t>2025-02-10 13:53:27</t>
  </si>
  <si>
    <t>2024-11-15 12:51:27</t>
  </si>
  <si>
    <t>2024-11-07 06:26:44</t>
  </si>
  <si>
    <t>2024-11-05 13:50:35</t>
  </si>
  <si>
    <t>2024-11-04 11:11:25</t>
  </si>
  <si>
    <t>2024-09-18 12:27:33</t>
  </si>
  <si>
    <t>2024-09-18 12:11:23</t>
  </si>
  <si>
    <t>2024-09-18 09:45:04</t>
  </si>
  <si>
    <t>2024-09-18 09:39:20</t>
  </si>
  <si>
    <t>2024-09-12 07:26:50</t>
  </si>
  <si>
    <t>2024-08-28 07:27:46</t>
  </si>
  <si>
    <t>2024-08-02 13:04:38</t>
  </si>
  <si>
    <t>2024-07-19 08:44:04</t>
  </si>
  <si>
    <t>2024-07-19 08:34:52</t>
  </si>
  <si>
    <t>2024-07-09 14:28:38</t>
  </si>
  <si>
    <t>2024-06-27 12:24:46</t>
  </si>
  <si>
    <t>2024-06-10 14:12:23</t>
  </si>
  <si>
    <t>2024-04-11 06:14:27</t>
  </si>
  <si>
    <t>2024-03-13 12:47:07</t>
  </si>
  <si>
    <t>2024-02-28 14:18:29</t>
  </si>
  <si>
    <t>2023-11-23 11:51:22</t>
  </si>
  <si>
    <t>2023-11-23 11:27:20</t>
  </si>
  <si>
    <t>2023-08-24 11:13:02</t>
  </si>
  <si>
    <t>2023-08-24 10:11:48</t>
  </si>
  <si>
    <t>2023-08-24 09:37:32</t>
  </si>
  <si>
    <t>2023-08-22 14:14:41</t>
  </si>
  <si>
    <t>2023-08-21 11:57:28</t>
  </si>
  <si>
    <t>2023-08-21 10:54:35</t>
  </si>
  <si>
    <t>2023-07-03 10:10:31</t>
  </si>
  <si>
    <t>2023-07-03 08:39:05</t>
  </si>
  <si>
    <t>2023-01-18 11:02:32</t>
  </si>
  <si>
    <t>2022-07-20 13:41:07</t>
  </si>
  <si>
    <t>2022-06-03 08:52:21</t>
  </si>
  <si>
    <t>2022-06-02 12:03:41</t>
  </si>
  <si>
    <t>2022-04-22 11:41:56</t>
  </si>
  <si>
    <t>2022-04-22 10:58:21</t>
  </si>
  <si>
    <t>2022-01-17 12:56:25</t>
  </si>
  <si>
    <t>2022-01-17 12:56:22</t>
  </si>
  <si>
    <t>2022-01-14 11:59:51</t>
  </si>
  <si>
    <t>2022-01-14 08:35:45</t>
  </si>
  <si>
    <t>2021-11-26 08:41:00</t>
  </si>
  <si>
    <t>2021-10-12 12:43:05</t>
  </si>
  <si>
    <t>2021-08-31 10:56:05</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</si>
  <si>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</si>
  <si>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</si>
  <si>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</si>
  <si>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</si>
  <si>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</si>
  <si>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</si>
  <si>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</si>
  <si>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</si>
  <si>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</si>
  <si>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</si>
  <si>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</si>
  <si>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</si>
  <si>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</si>
  <si>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</si>
  <si>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</si>
  <si>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</si>
  <si>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</si>
  <si>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</si>
  <si>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</si>
  <si>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</si>
  <si>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</si>
  <si>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</si>
  <si>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</si>
  <si>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</si>
  <si>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</si>
  <si>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</si>
  <si>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</si>
  <si>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</si>
  <si>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</si>
  <si>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</si>
  <si>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</si>
  <si>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</si>
  <si>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</si>
  <si>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</si>
  <si>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</si>
  <si>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</si>
  <si>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</si>
  <si>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</si>
  <si>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</si>
  <si>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</si>
  <si>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2026-04-30 17:42:49</t>
  </si>
  <si>
    <t>Total URLs</t>
  </si>
  <si>
    <t>Mode</t>
  </si>
  <si>
    <t>Workers</t>
  </si>
  <si>
    <t>Delay Seconds</t>
  </si>
  <si>
    <t>Retries</t>
  </si>
  <si>
    <t>Timeout Seconds</t>
  </si>
  <si>
    <t>Checkpoint Every</t>
  </si>
  <si>
    <t>Previous Audit Path</t>
  </si>
  <si>
    <t>No resolved issues identified for this comparison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</si>
</sst>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5" x14ac:knownFonts="1">
    <font>
      <sz val="11"/>
      <color theme="1"/>
      <name val="Calibri"/>
      <family val="2"/>
      <scheme val="minor"/>
    </font>
    <font>
      <b/>
      <sz val="11"/>
      <color rgb="FFFFFFFF"/>
      <name val="Calibri"/>
    </font>
    <font>
      <sz val="12"/>
      <color theme="10"/>
      <name val="Calibri"/>
      <family val="2"/>
      <scheme val="minor"/>
    </font>
    <font>
      <b/>
      <u/>
      <sz val="11"/>
      <color rgb="FF2F6FA3"/>
      <name val="Calibri"/>
    </font>
    <font>
      <b/>
      <sz val="11"/>
      <name val="Calibri"/>
    </font>
    <font>
      <b/>
      <sz val="14"/>
      <color rgb="FF2F3A4A"/>
      <name val="Calibri"/>
    </font>
    <font>
      <b/>
      <sz val="16"/>
      <color rgb="FF2F3A4A"/>
      <name val="Calibri"/>
    </font>
    <font>
      <b/>
      <sz val="12"/>
      <color rgb="FFFFFFFF"/>
      <name val="Calibri"/>
    </font>
    <font>
      <b/>
      <sz val="12"/>
      <color rgb="FF1F2937"/>
      <name val="Calibri"/>
    </font>
    <font>
      <b/>
      <sz val="14"/>
      <color rgb="FF1F2937"/>
      <name val="Calibri"/>
    </font>
    <font>
      <b/>
      <u/>
      <sz val="12"/>
      <color rgb="FF2F6FA3"/>
      <name val="Calibri"/>
    </font>
    <font>
      <b/>
      <sz val="11"/>
      <color rgb="FFFFFFFF"/>
      <name val="Calibri"/>
    </font>
    <font>
      <b/>
      <sz val="11"/>
      <color rgb="FF2F3A4A"/>
      <name val="Calibri"/>
    </font>
    <font>
      <sz val="11"/>
      <color rgb="FF000000"/>
      <name val="Calibri"/>
    </font>
    <font>
      <b/>
      <u/>
      <sz val="11"/>
      <color rgb="FFFFFFFF"/>
      <name val="Calibri"/>
    </font>
  </fonts>
  <fills count="24">
    <fill>
      <patternFill patternType="none"/>
    </fill>
    <fill>
      <patternFill patternType="gray125"/>
    </fill>
    <fill>
      <patternFill patternType="solid">
        <fgColor rgb="FF2F3A4A"/>
        <bgColor rgb="FF2F3A4A"/>
      </patternFill>
    </fill>
    <fill>
      <patternFill patternType="solid">
        <fgColor rgb="FFF4CCCC"/>
        <bgColor rgb="FFF4CCCC"/>
      </patternFill>
    </fill>
    <fill>
      <patternFill patternType="solid">
        <fgColor rgb="FFF7F7F7"/>
        <bgColor rgb="FFF7F7F7"/>
      </patternFill>
    </fill>
    <fill>
      <patternFill patternType="solid">
        <fgColor rgb="FFD9EAD3"/>
        <bgColor rgb="FFD9EAD3"/>
      </patternFill>
    </fill>
    <fill>
      <patternFill patternType="solid">
        <fgColor rgb="FFF4B183"/>
        <bgColor rgb="FFF4B183"/>
      </patternFill>
    </fill>
    <fill>
      <patternFill patternType="solid">
        <fgColor rgb="FF2F3A4A"/>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FFC7CE"/>
      </patternFill>
    </fill>
    <fill>
      <patternFill patternType="solid">
        <fgColor rgb="FFFFEB9C"/>
      </patternFill>
    </fill>
    <fill>
      <patternFill patternType="solid">
        <fgColor rgb="FFBFE9E4"/>
        <bgColor rgb="FFBFE9E4"/>
      </patternFill>
    </fill>
    <fill>
      <patternFill patternType="solid">
        <fgColor rgb="FFFFFFFF"/>
        <bgColor rgb="FFFFFFFF"/>
      </patternFill>
    </fill>
    <fill>
      <patternFill patternType="solid">
        <fgColor rgb="FFF3F4F6"/>
        <bgColor rgb="FFF3F4F6"/>
      </patternFill>
    </fill>
    <fill>
      <patternFill patternType="solid">
        <fgColor rgb="FF1F4E78"/>
        <bgColor rgb="FF1F4E78"/>
      </patternFill>
    </fill>
    <fill>
      <patternFill patternType="solid">
        <fgColor rgb="FFD9E1F2"/>
        <bgColor rgb="FFD9E1F2"/>
      </patternFill>
    </fill>
    <fill>
      <patternFill patternType="solid">
        <fgColor rgb="FFFCE4D6"/>
        <bgColor rgb="FFFCE4D6"/>
      </patternFill>
    </fill>
    <fill>
      <patternFill patternType="solid">
        <fgColor rgb="FFE4DFEC"/>
        <bgColor rgb="FFE4DFEC"/>
      </patternFill>
    </fill>
    <fill>
      <patternFill patternType="solid">
        <fgColor rgb="FFD9D2E9"/>
        <bgColor rgb="FFD9D2E9"/>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85">
    <xf numFmtId="0" fontId="0" fillId="0" borderId="0" xfId="0"/>
    <xf numFmtId="0" fontId="5" fillId="0" borderId="0" xfId="0" applyFont="1"/>
    <xf numFmtId="0" fontId="1" fillId="7" borderId="0" xfId="0" applyFont="1" applyFill="1"/>
    <xf numFmtId="0" fontId="3" fillId="0" borderId="0" xfId="0" applyFont="1"/>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5" borderId="0" xfId="0" applyFill="1" applyAlignment="1">
      <alignment vertical="top"/>
    </xf>
    <xf numFmtId="165" fontId="6" fillId="4" borderId="0" xfId="0" applyNumberFormat="1" applyFont="1" applyFill="1" applyAlignment="1">
      <alignment horizontal="left" vertical="center"/>
    </xf>
    <xf numFmtId="0" fontId="0" fillId="4" borderId="0" xfId="0" applyFill="1" applyAlignment="1">
      <alignment vertical="top"/>
    </xf>
    <xf numFmtId="0" fontId="0" fillId="4" borderId="0" xfId="0" applyFill="1"/>
    <xf numFmtId="165" fontId="0" fillId="0" borderId="0" xfId="0" applyNumberFormat="1" applyAlignment="1">
      <alignment vertical="top"/>
    </xf>
    <xf numFmtId="0" fontId="0" fillId="0" borderId="0" xfId="0" applyAlignment="1">
      <alignment vertical="top"/>
    </xf>
    <xf numFmtId="165" fontId="7" fillId="7" borderId="0" xfId="0" applyNumberFormat="1" applyFont="1" applyFill="1" applyAlignment="1">
      <alignment horizontal="center" vertical="center"/>
    </xf>
    <xf numFmtId="0" fontId="7" fillId="7" borderId="0" xfId="0" applyFont="1" applyFill="1" applyAlignment="1">
      <alignment horizontal="center" vertical="center"/>
    </xf>
    <xf numFmtId="0" fontId="11" fillId="7" borderId="0" xfId="0" applyFont="1" applyFill="1" applyAlignment="1">
      <alignment horizontal="center" vertical="center"/>
    </xf>
    <xf numFmtId="165" fontId="10" fillId="8" borderId="0" xfId="0" applyNumberFormat="1" applyFont="1" applyFill="1" applyAlignment="1">
      <alignment horizontal="left" vertical="center"/>
    </xf>
    <xf numFmtId="0" fontId="9" fillId="8" borderId="0" xfId="0" applyFont="1" applyFill="1" applyAlignment="1">
      <alignment horizontal="center" vertical="center"/>
    </xf>
    <xf numFmtId="10" fontId="9" fillId="13" borderId="0" xfId="0" applyNumberFormat="1" applyFont="1" applyFill="1" applyAlignment="1">
      <alignment horizontal="center" vertical="center"/>
    </xf>
    <xf numFmtId="0" fontId="0" fillId="12" borderId="0" xfId="0" applyFill="1" applyAlignment="1">
      <alignment horizontal="center" vertical="center"/>
    </xf>
    <xf numFmtId="10" fontId="9" fillId="9" borderId="0" xfId="0" applyNumberFormat="1" applyFont="1" applyFill="1" applyAlignment="1">
      <alignment horizontal="center" vertical="center"/>
    </xf>
    <xf numFmtId="10" fontId="9" fillId="14" borderId="0" xfId="0" applyNumberFormat="1" applyFont="1" applyFill="1" applyAlignment="1">
      <alignment horizontal="center" vertical="center"/>
    </xf>
    <xf numFmtId="165" fontId="8" fillId="8" borderId="0" xfId="0" applyNumberFormat="1" applyFont="1" applyFill="1" applyAlignment="1">
      <alignment horizontal="left" vertical="center"/>
    </xf>
    <xf numFmtId="165" fontId="11" fillId="7" borderId="0" xfId="0" applyNumberFormat="1" applyFont="1" applyFill="1" applyAlignment="1">
      <alignment horizontal="center" vertical="center"/>
    </xf>
    <xf numFmtId="165" fontId="0" fillId="9" borderId="0" xfId="0" applyNumberFormat="1" applyFill="1" applyAlignment="1">
      <alignment horizontal="center" vertical="center"/>
    </xf>
    <xf numFmtId="0" fontId="0" fillId="9" borderId="0" xfId="0" applyFill="1" applyAlignment="1">
      <alignment horizontal="center" vertical="center"/>
    </xf>
    <xf numFmtId="165" fontId="0" fillId="10" borderId="0" xfId="0" applyNumberFormat="1" applyFill="1" applyAlignment="1">
      <alignment horizontal="center" vertical="center"/>
    </xf>
    <xf numFmtId="0" fontId="0" fillId="10" borderId="0" xfId="0" applyFill="1" applyAlignment="1">
      <alignment horizontal="center" vertical="center"/>
    </xf>
    <xf numFmtId="165" fontId="0" fillId="11" borderId="0" xfId="0" applyNumberFormat="1" applyFill="1" applyAlignment="1">
      <alignment horizontal="center" vertical="center"/>
    </xf>
    <xf numFmtId="0" fontId="0" fillId="11" borderId="0" xfId="0" applyFill="1" applyAlignment="1">
      <alignment horizontal="center" vertical="center"/>
    </xf>
    <xf numFmtId="10" fontId="0" fillId="12" borderId="0" xfId="0" applyNumberFormat="1" applyFill="1" applyAlignment="1">
      <alignment horizontal="center" vertical="center"/>
    </xf>
    <xf numFmtId="0" fontId="4" fillId="5" borderId="1" xfId="0" applyFont="1" applyFill="1" applyBorder="1" applyAlignment="1">
      <alignment vertical="top"/>
    </xf>
    <xf numFmtId="165" fontId="0" fillId="4" borderId="0" xfId="0" applyNumberFormat="1" applyFill="1" applyAlignment="1">
      <alignment horizontal="center" vertical="center"/>
    </xf>
    <xf numFmtId="0" fontId="0" fillId="4" borderId="0" xfId="0" applyFill="1" applyAlignment="1">
      <alignment horizontal="center" vertical="center"/>
    </xf>
    <xf numFmtId="165" fontId="4" fillId="11" borderId="1" xfId="0" applyNumberFormat="1" applyFont="1" applyFill="1" applyBorder="1" applyAlignment="1">
      <alignment horizontal="center" vertical="center"/>
    </xf>
    <xf numFmtId="0" fontId="4" fillId="11" borderId="1" xfId="0" applyFont="1" applyFill="1" applyBorder="1" applyAlignment="1">
      <alignment horizontal="center" vertical="center"/>
    </xf>
    <xf numFmtId="0" fontId="4" fillId="4" borderId="1" xfId="0" applyFont="1" applyFill="1" applyBorder="1" applyAlignment="1">
      <alignment vertical="top"/>
    </xf>
    <xf numFmtId="165" fontId="0" fillId="4" borderId="0" xfId="0" applyNumberFormat="1" applyFill="1" applyAlignment="1">
      <alignment vertical="top"/>
    </xf>
    <xf numFmtId="0" fontId="0" fillId="12" borderId="0" xfId="0" applyFill="1"/>
    <xf numFmtId="0" fontId="3" fillId="12" borderId="0" xfId="0" applyFont="1" applyFill="1"/>
    <xf numFmtId="0" fontId="1" fillId="2" borderId="0" xfId="1" applyFont="1" applyFill="1" applyAlignment="1">
      <alignment horizontal="center" vertical="center" wrapText="1"/>
    </xf>
    <xf numFmtId="0" fontId="13" fillId="3" borderId="0" xfId="0" applyFont="1" applyFill="1" applyAlignment="1">
      <alignment vertical="top" wrapText="1"/>
    </xf>
    <xf numFmtId="0" fontId="13" fillId="4" borderId="0" xfId="0" applyFont="1" applyFill="1" applyAlignment="1">
      <alignment vertical="top" wrapText="1"/>
    </xf>
    <xf numFmtId="0" fontId="2" fillId="0" borderId="0" xfId="1"/>
    <xf numFmtId="0" fontId="14" fillId="18" borderId="0" xfId="1" applyFont="1" applyFill="1" applyAlignment="1">
      <alignment horizontal="center" vertical="center"/>
    </xf>
    <xf numFmtId="0" fontId="13" fillId="17" borderId="0" xfId="0" applyFont="1" applyFill="1" applyAlignment="1">
      <alignment vertical="top" wrapText="1"/>
    </xf>
    <xf numFmtId="0" fontId="13" fillId="16" borderId="0" xfId="0" applyFont="1" applyFill="1" applyAlignment="1">
      <alignment vertical="top" wrapText="1"/>
    </xf>
    <xf numFmtId="0" fontId="13" fillId="4" borderId="0" xfId="0" applyFont="1" applyFill="1" applyAlignment="1">
      <alignment horizontal="center" vertical="center" wrapText="1"/>
    </xf>
    <xf numFmtId="0" fontId="13" fillId="0" borderId="0" xfId="0" applyFont="1" applyAlignment="1">
      <alignment vertical="top" wrapText="1"/>
    </xf>
    <xf numFmtId="0" fontId="2" fillId="4" borderId="0" xfId="1" applyFill="1"/>
    <xf numFmtId="0" fontId="0" fillId="3" borderId="0" xfId="0" applyFill="1" applyAlignment="1">
      <alignment vertical="top"/>
    </xf>
    <xf numFmtId="165" fontId="0" fillId="3" borderId="0" xfId="0" applyNumberFormat="1" applyFill="1" applyAlignment="1">
      <alignment vertical="top"/>
    </xf>
    <xf numFmtId="0" fontId="0" fillId="4" borderId="0" xfId="0" applyFill="1" applyAlignment="1">
      <alignment vertical="top" wrapText="1"/>
    </xf>
    <xf numFmtId="0" fontId="0" fillId="19" borderId="0" xfId="0" applyFill="1" applyAlignment="1">
      <alignment vertical="top"/>
    </xf>
    <xf numFmtId="165" fontId="0" fillId="23" borderId="0" xfId="0" applyNumberFormat="1" applyFill="1" applyAlignment="1">
      <alignment vertical="top"/>
    </xf>
    <xf numFmtId="166" fontId="0" fillId="4" borderId="0" xfId="0" applyNumberFormat="1" applyFill="1" applyAlignment="1">
      <alignment vertical="top"/>
    </xf>
    <xf numFmtId="0" fontId="0" fillId="0" borderId="0" xfId="0" applyAlignment="1">
      <alignment vertical="top" wrapText="1"/>
    </xf>
    <xf numFmtId="166" fontId="0" fillId="0" borderId="0" xfId="0" applyNumberFormat="1" applyAlignment="1">
      <alignment vertical="top"/>
    </xf>
    <xf numFmtId="0" fontId="0" fillId="20" borderId="0" xfId="0" applyFill="1" applyAlignment="1">
      <alignment vertical="top"/>
    </xf>
    <xf numFmtId="0" fontId="2" fillId="0" borderId="0" xfId="1" applyAlignment="1">
      <alignment vertical="top" wrapText="1"/>
    </xf>
    <xf numFmtId="0" fontId="2" fillId="4" borderId="0" xfId="1" applyFill="1" applyAlignment="1">
      <alignment vertical="top" wrapText="1"/>
    </xf>
    <xf numFmtId="0" fontId="0" fillId="21" borderId="0" xfId="0" applyFill="1" applyAlignment="1">
      <alignment vertical="top"/>
    </xf>
    <xf numFmtId="0" fontId="0" fillId="6" borderId="0" xfId="0" applyFill="1" applyAlignment="1">
      <alignment vertical="top"/>
    </xf>
    <xf numFmtId="165" fontId="0" fillId="5" borderId="0" xfId="0" applyNumberFormat="1" applyFill="1" applyAlignment="1">
      <alignment vertical="top"/>
    </xf>
    <xf numFmtId="0" fontId="0" fillId="23" borderId="0" xfId="0" applyFill="1" applyAlignment="1">
      <alignment vertical="top"/>
    </xf>
    <xf numFmtId="0" fontId="0" fillId="22" borderId="0" xfId="0" applyFill="1" applyAlignment="1">
      <alignment vertical="top"/>
    </xf>
    <xf numFmtId="165" fontId="0" fillId="22" borderId="0" xfId="0" applyNumberFormat="1" applyFill="1" applyAlignment="1">
      <alignment vertical="top"/>
    </xf>
    <xf numFmtId="164" fontId="0" fillId="3" borderId="0" xfId="0" applyNumberFormat="1" applyFill="1" applyAlignment="1">
      <alignment vertical="top"/>
    </xf>
    <xf numFmtId="164" fontId="0" fillId="4" borderId="0" xfId="0" applyNumberFormat="1" applyFill="1" applyAlignment="1">
      <alignment vertical="top"/>
    </xf>
    <xf numFmtId="0" fontId="0" fillId="4" borderId="0" xfId="0" applyFill="1" applyAlignment="1">
      <alignment vertical="top" shrinkToFit="1"/>
    </xf>
    <xf numFmtId="164" fontId="0" fillId="0" borderId="0" xfId="0" applyNumberFormat="1" applyAlignment="1">
      <alignment vertical="top"/>
    </xf>
    <xf numFmtId="0" fontId="0" fillId="0" borderId="0" xfId="0" applyAlignment="1">
      <alignment vertical="top" shrinkToFit="1"/>
    </xf>
    <xf numFmtId="0" fontId="2" fillId="4" borderId="0" xfId="1" applyFill="1" applyAlignment="1">
      <alignment vertical="top"/>
    </xf>
    <xf numFmtId="0" fontId="2" fillId="0" borderId="0" xfId="1" applyAlignment="1">
      <alignment vertical="top"/>
    </xf>
    <xf numFmtId="0" fontId="3" fillId="0" borderId="0" xfId="1" applyFont="1" applyAlignment="1">
      <alignment horizontal="left"/>
    </xf>
    <xf numFmtId="167" fontId="0" fillId="4" borderId="0" xfId="0" applyNumberFormat="1" applyFill="1" applyAlignment="1">
      <alignment vertical="top"/>
    </xf>
    <xf numFmtId="167" fontId="0" fillId="0" borderId="0" xfId="0" applyNumberFormat="1" applyAlignment="1">
      <alignment vertical="top"/>
    </xf>
    <xf numFmtId="167" fontId="0" fillId="3" borderId="0" xfId="0" applyNumberFormat="1" applyFill="1" applyAlignment="1">
      <alignment vertical="top"/>
    </xf>
    <xf numFmtId="167" fontId="0" fillId="5" borderId="0" xfId="0" applyNumberFormat="1" applyFill="1" applyAlignment="1">
      <alignment vertical="top"/>
    </xf>
    <xf numFmtId="0" fontId="0" fillId="5" borderId="0" xfId="0" applyFill="1" applyAlignment="1">
      <alignment vertical="top" wrapText="1"/>
    </xf>
    <xf numFmtId="166" fontId="0" fillId="5" borderId="0" xfId="0" applyNumberFormat="1" applyFill="1" applyAlignment="1">
      <alignment vertical="top"/>
    </xf>
    <xf numFmtId="0" fontId="0" fillId="12" borderId="0" xfId="0" applyFill="1" applyAlignment="1">
      <alignment horizontal="left" vertical="top" wrapText="1"/>
    </xf>
    <xf numFmtId="0" fontId="0" fillId="0" borderId="0" xfId="0"/>
    <xf numFmtId="0" fontId="0" fillId="4" borderId="0" xfId="0" applyFill="1"/>
    <xf numFmtId="0" fontId="11" fillId="7" borderId="0" xfId="0" applyFont="1" applyFill="1" applyAlignment="1">
      <alignment horizontal="center" vertical="center"/>
    </xf>
    <xf numFmtId="0" fontId="12" fillId="15" borderId="0" xfId="0" applyFont="1" applyFill="1" applyAlignment="1">
      <alignment horizontal="left" vertical="center"/>
    </xf>
  </cellXfs>
  <cellStyles count="2">
    <cellStyle name="Hyperlink" xfId="1" builtinId="8"/>
    <cellStyle name="Normal" xfId="0" builtinId="0"/>
  </cellStyles>
  <dxfs count="60">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color rgb="FF666666"/>
      </font>
      <fill>
        <patternFill patternType="solid">
          <fgColor rgb="FFD0D0D0"/>
        </patternFill>
      </fill>
    </dxf>
    <dxf>
      <fill>
        <patternFill patternType="solid">
          <fgColor rgb="FFD9EAD3"/>
        </patternFill>
      </fill>
    </dxf>
    <dxf>
      <fill>
        <patternFill patternType="solid">
          <fgColor rgb="FFD9E1F2"/>
        </patternFill>
      </fill>
    </dxf>
    <dxf>
      <fill>
        <patternFill patternType="solid">
          <fgColor rgb="FFFFF2CC"/>
        </patternFill>
      </fill>
    </dxf>
    <dxf>
      <fill>
        <patternFill patternType="solid">
          <fgColor rgb="FFFFE0E0"/>
        </patternFill>
      </fill>
    </dxf>
    <dxf>
      <fill>
        <patternFill patternType="solid">
          <fgColor rgb="FFFFF2CC"/>
        </patternFill>
      </fill>
    </dxf>
    <dxf>
      <fill>
        <patternFill patternType="solid">
          <fgColor rgb="FFD9EAD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africanmarketingconfederation.org/download-brochure/" TargetMode="External"/><Relationship Id="rId21" Type="http://schemas.openxmlformats.org/officeDocument/2006/relationships/hyperlink" Target="https://africanmarketingconfederation.org/amc-conference-2023/book-now-thank-you/" TargetMode="External"/><Relationship Id="rId42" Type="http://schemas.openxmlformats.org/officeDocument/2006/relationships/hyperlink" Target="https://africanmarketingconfederation.org/wp-admin/post.php?post=23710&amp;action=elementor" TargetMode="External"/><Relationship Id="rId63" Type="http://schemas.openxmlformats.org/officeDocument/2006/relationships/hyperlink" Target="https://africanmarketingconfederation.org/wp-admin/post.php?post=25857&amp;action=elementor" TargetMode="External"/><Relationship Id="rId84" Type="http://schemas.openxmlformats.org/officeDocument/2006/relationships/hyperlink" Target="https://africanmarketingconfederation.org/wp-admin/post.php?post=6553&amp;action=elementor" TargetMode="External"/><Relationship Id="rId138" Type="http://schemas.openxmlformats.org/officeDocument/2006/relationships/hyperlink" Target="https://africanmarketingconfederation.org/wp-admin/post.php?post=3&amp;action=elementor" TargetMode="External"/><Relationship Id="rId159" Type="http://schemas.openxmlformats.org/officeDocument/2006/relationships/hyperlink" Target="https://africanmarketingconfederation.org/thank-you-for-subscribing/" TargetMode="External"/><Relationship Id="rId170" Type="http://schemas.openxmlformats.org/officeDocument/2006/relationships/comments" Target="../comments1.xml"/><Relationship Id="rId107" Type="http://schemas.openxmlformats.org/officeDocument/2006/relationships/hyperlink" Target="https://africanmarketingconfederation.org/chartered-marketer-africa/" TargetMode="External"/><Relationship Id="rId11" Type="http://schemas.openxmlformats.org/officeDocument/2006/relationships/hyperlink" Target="https://africanmarketingconfederation.org/amc-conference-2022-thank-you/" TargetMode="External"/><Relationship Id="rId32" Type="http://schemas.openxmlformats.org/officeDocument/2006/relationships/hyperlink" Target="https://africanmarketingconfederation.org/wp-admin/post.php?post=12945&amp;action=elementor" TargetMode="External"/><Relationship Id="rId53" Type="http://schemas.openxmlformats.org/officeDocument/2006/relationships/hyperlink" Target="https://africanmarketingconfederation.org/wp-admin/post.php?post=12477&amp;action=elementor" TargetMode="External"/><Relationship Id="rId74" Type="http://schemas.openxmlformats.org/officeDocument/2006/relationships/hyperlink" Target="https://africanmarketingconfederation.org/amc-marketing-conference-2024/programme-2024/" TargetMode="External"/><Relationship Id="rId128" Type="http://schemas.openxmlformats.org/officeDocument/2006/relationships/hyperlink" Target="https://africanmarketingconfederation.org/wp-admin/post.php?post=31820&amp;action=elementor" TargetMode="External"/><Relationship Id="rId149" Type="http://schemas.openxmlformats.org/officeDocument/2006/relationships/hyperlink" Target="https://africanmarketingconfederation.org/subscribe/" TargetMode="External"/><Relationship Id="rId5" Type="http://schemas.openxmlformats.org/officeDocument/2006/relationships/hyperlink" Target="https://africanmarketingconfederation.org/african-marketing-confederation-tourism-chapter/" TargetMode="External"/><Relationship Id="rId95" Type="http://schemas.openxmlformats.org/officeDocument/2006/relationships/hyperlink" Target="https://africanmarketingconfederation.org/awards-2026-test/" TargetMode="External"/><Relationship Id="rId160" Type="http://schemas.openxmlformats.org/officeDocument/2006/relationships/hyperlink" Target="https://africanmarketingconfederation.org/wp-admin/post.php?post=7916&amp;action=elementor" TargetMode="External"/><Relationship Id="rId22" Type="http://schemas.openxmlformats.org/officeDocument/2006/relationships/hyperlink" Target="https://africanmarketingconfederation.org/wp-admin/post.php?post=12497&amp;action=elementor" TargetMode="External"/><Relationship Id="rId43" Type="http://schemas.openxmlformats.org/officeDocument/2006/relationships/hyperlink" Target="https://africanmarketingconfederation.org/amc-conference-2026-awards-nominations-thank-you/" TargetMode="External"/><Relationship Id="rId64" Type="http://schemas.openxmlformats.org/officeDocument/2006/relationships/hyperlink" Target="https://africanmarketingconfederation.org/amc-marketing-conference-2024/amc-launch-event-2025/" TargetMode="External"/><Relationship Id="rId118" Type="http://schemas.openxmlformats.org/officeDocument/2006/relationships/hyperlink" Target="https://africanmarketingconfederation.org/wp-admin/post.php?post=18478&amp;action=elementor" TargetMode="External"/><Relationship Id="rId139" Type="http://schemas.openxmlformats.org/officeDocument/2006/relationships/hyperlink" Target="https://africanmarketingconfederation.org/publication-download-list/" TargetMode="External"/><Relationship Id="rId85" Type="http://schemas.openxmlformats.org/officeDocument/2006/relationships/hyperlink" Target="https://africanmarketingconfederation.org/amc-relaunch-programme/" TargetMode="External"/><Relationship Id="rId150" Type="http://schemas.openxmlformats.org/officeDocument/2006/relationships/hyperlink" Target="https://africanmarketingconfederation.org/wp-admin/post.php?post=7781&amp;action=elementor" TargetMode="External"/><Relationship Id="rId12" Type="http://schemas.openxmlformats.org/officeDocument/2006/relationships/hyperlink" Target="https://africanmarketingconfederation.org/wp-admin/post.php?post=4941&amp;action=elementor" TargetMode="External"/><Relationship Id="rId33" Type="http://schemas.openxmlformats.org/officeDocument/2006/relationships/hyperlink" Target="https://africanmarketingconfederation.org/amc-conference-2023/speakers/" TargetMode="External"/><Relationship Id="rId108" Type="http://schemas.openxmlformats.org/officeDocument/2006/relationships/hyperlink" Target="https://africanmarketingconfederation.org/wp-admin/post.php?post=9075&amp;action=elementor" TargetMode="External"/><Relationship Id="rId129" Type="http://schemas.openxmlformats.org/officeDocument/2006/relationships/hyperlink" Target="https://africanmarketingconfederation.org/general-enquiry-form-thank-you/" TargetMode="External"/><Relationship Id="rId54" Type="http://schemas.openxmlformats.org/officeDocument/2006/relationships/hyperlink" Target="https://africanmarketingconfederation.org/amc-forum-mombasa/" TargetMode="External"/><Relationship Id="rId70" Type="http://schemas.openxmlformats.org/officeDocument/2006/relationships/hyperlink" Target="https://africanmarketingconfederation.org/amc-marketing-conference-2024/amc-speakers-presentations-2024/" TargetMode="External"/><Relationship Id="rId75" Type="http://schemas.openxmlformats.org/officeDocument/2006/relationships/hyperlink" Target="https://africanmarketingconfederation.org/wp-admin/post.php?post=16104&amp;action=elementor" TargetMode="External"/><Relationship Id="rId91" Type="http://schemas.openxmlformats.org/officeDocument/2006/relationships/hyperlink" Target="https://africanmarketingconfederation.org/amc-testimony-page-2024/" TargetMode="External"/><Relationship Id="rId96" Type="http://schemas.openxmlformats.org/officeDocument/2006/relationships/hyperlink" Target="https://africanmarketingconfederation.org/wp-admin/post.php?post=34552&amp;action=elementor" TargetMode="External"/><Relationship Id="rId140" Type="http://schemas.openxmlformats.org/officeDocument/2006/relationships/hyperlink" Target="https://africanmarketingconfederation.org/wp-admin/post.php?post=9047&amp;action=elementor" TargetMode="External"/><Relationship Id="rId145" Type="http://schemas.openxmlformats.org/officeDocument/2006/relationships/hyperlink" Target="https://africanmarketingconfederation.org/speakers/" TargetMode="External"/><Relationship Id="rId161" Type="http://schemas.openxmlformats.org/officeDocument/2006/relationships/hyperlink" Target="https://africanmarketingconfederation.org/thank-you-for-the-nomination-2024/" TargetMode="External"/><Relationship Id="rId166" Type="http://schemas.openxmlformats.org/officeDocument/2006/relationships/hyperlink" Target="https://africanmarketingconfederation.org/wp-admin/post.php?post=4909&amp;action=elementor"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wp-admin/post.php?post=28165&amp;action=elementor" TargetMode="External"/><Relationship Id="rId23" Type="http://schemas.openxmlformats.org/officeDocument/2006/relationships/hyperlink" Target="https://africanmarketingconfederation.org/amc-conference-2023/book-now/" TargetMode="External"/><Relationship Id="rId28" Type="http://schemas.openxmlformats.org/officeDocument/2006/relationships/hyperlink" Target="https://africanmarketingconfederation.org/wp-admin/post.php?post=13549&amp;action=elementor" TargetMode="External"/><Relationship Id="rId49" Type="http://schemas.openxmlformats.org/officeDocument/2006/relationships/hyperlink" Target="https://africanmarketingconfederation.org/amc-conference-programme/" TargetMode="External"/><Relationship Id="rId114" Type="http://schemas.openxmlformats.org/officeDocument/2006/relationships/hyperlink" Target="https://africanmarketingconfederation.org/wp-admin/post.php?post=16472&amp;action=elementor" TargetMode="External"/><Relationship Id="rId119" Type="http://schemas.openxmlformats.org/officeDocument/2006/relationships/hyperlink" Target="https://africanmarketingconfederation.org/download-prospectus-2024/" TargetMode="External"/><Relationship Id="rId44" Type="http://schemas.openxmlformats.org/officeDocument/2006/relationships/hyperlink" Target="https://africanmarketingconfederation.org/wp-admin/post.php?post=33280&amp;action=elementor" TargetMode="External"/><Relationship Id="rId60" Type="http://schemas.openxmlformats.org/officeDocument/2006/relationships/hyperlink" Target="https://africanmarketingconfederation.org/amc-marketing-conference-2024/" TargetMode="External"/><Relationship Id="rId65" Type="http://schemas.openxmlformats.org/officeDocument/2006/relationships/hyperlink" Target="https://africanmarketingconfederation.org/wp-admin/post.php?post=25788&amp;action=elementor" TargetMode="External"/><Relationship Id="rId81" Type="http://schemas.openxmlformats.org/officeDocument/2006/relationships/hyperlink" Target="https://africanmarketingconfederation.org/amc-masterclass-thank-you/" TargetMode="External"/><Relationship Id="rId86" Type="http://schemas.openxmlformats.org/officeDocument/2006/relationships/hyperlink" Target="https://africanmarketingconfederation.org/wp-admin/post.php?post=4492&amp;action=elementor" TargetMode="External"/><Relationship Id="rId130" Type="http://schemas.openxmlformats.org/officeDocument/2006/relationships/hyperlink" Target="https://africanmarketingconfederation.org/wp-admin/post.php?post=5597&amp;action=elementor" TargetMode="External"/><Relationship Id="rId135" Type="http://schemas.openxmlformats.org/officeDocument/2006/relationships/hyperlink" Target="https://africanmarketingconfederation.org/news-articles/" TargetMode="External"/><Relationship Id="rId151" Type="http://schemas.openxmlformats.org/officeDocument/2006/relationships/hyperlink" Target="https://africanmarketingconfederation.org/test-homeslider/" TargetMode="External"/><Relationship Id="rId156" Type="http://schemas.openxmlformats.org/officeDocument/2006/relationships/hyperlink" Target="https://africanmarketingconfederation.org/wp-admin/post.php?post=21591&amp;action=elementor" TargetMode="External"/><Relationship Id="rId13" Type="http://schemas.openxmlformats.org/officeDocument/2006/relationships/hyperlink" Target="https://africanmarketingconfederation.org/amc-conference-2022/" TargetMode="External"/><Relationship Id="rId18" Type="http://schemas.openxmlformats.org/officeDocument/2006/relationships/hyperlink" Target="https://africanmarketingconfederation.org/wp-admin/post.php?post=13164&amp;action=elementor" TargetMode="External"/><Relationship Id="rId39" Type="http://schemas.openxmlformats.org/officeDocument/2006/relationships/hyperlink" Target="https://africanmarketingconfederation.org/amc-conference-2025-highlights/" TargetMode="External"/><Relationship Id="rId109" Type="http://schemas.openxmlformats.org/officeDocument/2006/relationships/hyperlink" Target="https://africanmarketingconfederation.org/checkout/" TargetMode="External"/><Relationship Id="rId34" Type="http://schemas.openxmlformats.org/officeDocument/2006/relationships/hyperlink" Target="https://africanmarketingconfederation.org/wp-admin/post.php?post=13179&amp;action=elementor" TargetMode="External"/><Relationship Id="rId50" Type="http://schemas.openxmlformats.org/officeDocument/2006/relationships/hyperlink" Target="https://africanmarketingconfederation.org/wp-admin/post.php?post=5057&amp;action=elementor" TargetMode="External"/><Relationship Id="rId55" Type="http://schemas.openxmlformats.org/officeDocument/2006/relationships/hyperlink" Target="https://africanmarketingconfederation.org/wp-admin/post.php?post=21958&amp;action=elementor" TargetMode="External"/><Relationship Id="rId76" Type="http://schemas.openxmlformats.org/officeDocument/2006/relationships/hyperlink" Target="https://africanmarketingconfederation.org/amc-marketing-conference-2024/speakers-2024/" TargetMode="External"/><Relationship Id="rId97" Type="http://schemas.openxmlformats.org/officeDocument/2006/relationships/hyperlink" Target="https://africanmarketingconfederation.org/awards-2026/" TargetMode="External"/><Relationship Id="rId104" Type="http://schemas.openxmlformats.org/officeDocument/2006/relationships/hyperlink" Target="https://africanmarketingconfederation.org/wp-admin/post.php?post=19980&amp;action=elementor" TargetMode="External"/><Relationship Id="rId120" Type="http://schemas.openxmlformats.org/officeDocument/2006/relationships/hyperlink" Target="https://africanmarketingconfederation.org/wp-admin/post.php?post=19172&amp;action=elementor" TargetMode="External"/><Relationship Id="rId125" Type="http://schemas.openxmlformats.org/officeDocument/2006/relationships/hyperlink" Target="https://africanmarketingconfederation.org/elementor-20341/" TargetMode="External"/><Relationship Id="rId141" Type="http://schemas.openxmlformats.org/officeDocument/2006/relationships/hyperlink" Target="https://africanmarketingconfederation.org/publications-2/" TargetMode="External"/><Relationship Id="rId146" Type="http://schemas.openxmlformats.org/officeDocument/2006/relationships/hyperlink" Target="https://africanmarketingconfederation.org/wp-admin/post.php?post=3252&amp;action=elementor" TargetMode="External"/><Relationship Id="rId167" Type="http://schemas.openxmlformats.org/officeDocument/2006/relationships/hyperlink" Target="https://africanmarketingconfederation.org/virtual-programme/" TargetMode="External"/><Relationship Id="rId7" Type="http://schemas.openxmlformats.org/officeDocument/2006/relationships/hyperlink" Target="https://africanmarketingconfederation.org/amc-awards-2024/" TargetMode="External"/><Relationship Id="rId71" Type="http://schemas.openxmlformats.org/officeDocument/2006/relationships/hyperlink" Target="https://africanmarketingconfederation.org/wp-admin/post.php?post=22595&amp;action=elementor" TargetMode="External"/><Relationship Id="rId92" Type="http://schemas.openxmlformats.org/officeDocument/2006/relationships/hyperlink" Target="https://africanmarketingconfederation.org/wp-admin/post.php?post=22679&amp;action=elementor" TargetMode="External"/><Relationship Id="rId162" Type="http://schemas.openxmlformats.org/officeDocument/2006/relationships/hyperlink" Target="https://africanmarketingconfederation.org/wp-admin/post.php?post=17000&amp;action=elementor" TargetMode="External"/><Relationship Id="rId2" Type="http://schemas.openxmlformats.org/officeDocument/2006/relationships/hyperlink" Target="https://africanmarketingconfederation.org/wp-admin/post.php?post=8&amp;action=elementor" TargetMode="External"/><Relationship Id="rId29" Type="http://schemas.openxmlformats.org/officeDocument/2006/relationships/hyperlink" Target="https://africanmarketingconfederation.org/amc-conference-2023/partners/" TargetMode="External"/><Relationship Id="rId24" Type="http://schemas.openxmlformats.org/officeDocument/2006/relationships/hyperlink" Target="https://africanmarketingconfederation.org/wp-admin/post.php?post=12407&amp;action=elementor" TargetMode="External"/><Relationship Id="rId40" Type="http://schemas.openxmlformats.org/officeDocument/2006/relationships/hyperlink" Target="https://africanmarketingconfederation.org/wp-admin/post.php?post=30257&amp;action=elementor" TargetMode="External"/><Relationship Id="rId45" Type="http://schemas.openxmlformats.org/officeDocument/2006/relationships/hyperlink" Target="https://africanmarketingconfederation.org/amc-conference-2026-zambia-thank-you/" TargetMode="External"/><Relationship Id="rId66" Type="http://schemas.openxmlformats.org/officeDocument/2006/relationships/hyperlink" Target="https://africanmarketingconfederation.org/amc-marketing-conference-2024/amc-preregister-2025/" TargetMode="External"/><Relationship Id="rId87" Type="http://schemas.openxmlformats.org/officeDocument/2006/relationships/hyperlink" Target="https://africanmarketingconfederation.org/amc-sign-up-now-form-2025/" TargetMode="External"/><Relationship Id="rId110" Type="http://schemas.openxmlformats.org/officeDocument/2006/relationships/hyperlink" Target="https://africanmarketingconfederation.org/wp-admin/post.php?post=17908&amp;action=elementor" TargetMode="External"/><Relationship Id="rId115" Type="http://schemas.openxmlformats.org/officeDocument/2006/relationships/hyperlink" Target="https://africanmarketingconfederation.org/contact-us/" TargetMode="External"/><Relationship Id="rId131" Type="http://schemas.openxmlformats.org/officeDocument/2006/relationships/hyperlink" Target="https://africanmarketingconfederation.org/launch-event-2026-amc-conference/" TargetMode="External"/><Relationship Id="rId136" Type="http://schemas.openxmlformats.org/officeDocument/2006/relationships/hyperlink" Target="https://africanmarketingconfederation.org/wp-admin/post.php?post=2196&amp;action=elementor" TargetMode="External"/><Relationship Id="rId157" Type="http://schemas.openxmlformats.org/officeDocument/2006/relationships/hyperlink" Target="https://africanmarketingconfederation.org/thank-you-for-registering-2024-registrations/" TargetMode="External"/><Relationship Id="rId61" Type="http://schemas.openxmlformats.org/officeDocument/2006/relationships/hyperlink" Target="https://africanmarketingconfederation.org/wp-admin/post.php?post=21958&amp;action=elementor" TargetMode="External"/><Relationship Id="rId82" Type="http://schemas.openxmlformats.org/officeDocument/2006/relationships/hyperlink" Target="https://africanmarketingconfederation.org/wp-admin/post.php?post=6822&amp;action=elementor" TargetMode="External"/><Relationship Id="rId152" Type="http://schemas.openxmlformats.org/officeDocument/2006/relationships/hyperlink" Target="https://africanmarketingconfederation.org/wp-admin/post.php?post=5490&amp;action=elementor" TargetMode="External"/><Relationship Id="rId19" Type="http://schemas.openxmlformats.org/officeDocument/2006/relationships/hyperlink" Target="https://africanmarketingconfederation.org/amc-conference-2023/amc-awards/" TargetMode="External"/><Relationship Id="rId14" Type="http://schemas.openxmlformats.org/officeDocument/2006/relationships/hyperlink" Target="https://africanmarketingconfederation.org/wp-admin/post.php?post=4494&amp;action=elementor" TargetMode="External"/><Relationship Id="rId30" Type="http://schemas.openxmlformats.org/officeDocument/2006/relationships/hyperlink" Target="https://africanmarketingconfederation.org/wp-admin/post.php?post=13282&amp;action=elementor" TargetMode="External"/><Relationship Id="rId35" Type="http://schemas.openxmlformats.org/officeDocument/2006/relationships/hyperlink" Target="https://africanmarketingconfederation.org/amc-conference-2024-recap/" TargetMode="External"/><Relationship Id="rId56" Type="http://schemas.openxmlformats.org/officeDocument/2006/relationships/hyperlink" Target="https://africanmarketingconfederation.org/amc-forum-payments/" TargetMode="External"/><Relationship Id="rId77" Type="http://schemas.openxmlformats.org/officeDocument/2006/relationships/hyperlink" Target="https://africanmarketingconfederation.org/amc-marketing-conference-2024/testimony-thank-you-page/" TargetMode="External"/><Relationship Id="rId100" Type="http://schemas.openxmlformats.org/officeDocument/2006/relationships/hyperlink" Target="https://africanmarketingconfederation.org/wp-admin/post.php?post=28742&amp;action=elementor" TargetMode="External"/><Relationship Id="rId105" Type="http://schemas.openxmlformats.org/officeDocument/2006/relationships/hyperlink" Target="https://africanmarketingconfederation.org/chartered-marketer-africa-thank-you/" TargetMode="External"/><Relationship Id="rId126" Type="http://schemas.openxmlformats.org/officeDocument/2006/relationships/hyperlink" Target="https://africanmarketingconfederation.org/wp-admin/post.php?post=20341&amp;action=elementor" TargetMode="External"/><Relationship Id="rId147" Type="http://schemas.openxmlformats.org/officeDocument/2006/relationships/hyperlink" Target="https://africanmarketingconfederation.org/sub-committees/" TargetMode="External"/><Relationship Id="rId168" Type="http://schemas.openxmlformats.org/officeDocument/2006/relationships/hyperlink" Target="https://africanmarketingconfederation.org/wp-admin/post.php?post=5290&amp;action=elementor" TargetMode="External"/><Relationship Id="rId8" Type="http://schemas.openxmlformats.org/officeDocument/2006/relationships/hyperlink" Target="https://africanmarketingconfederation.org/wp-admin/post.php?post=16125&amp;action=elementor" TargetMode="External"/><Relationship Id="rId51" Type="http://schemas.openxmlformats.org/officeDocument/2006/relationships/hyperlink" Target="https://africanmarketingconfederation.org/amc-conference-sponsors/" TargetMode="External"/><Relationship Id="rId72" Type="http://schemas.openxmlformats.org/officeDocument/2006/relationships/hyperlink" Target="https://africanmarketingconfederation.org/amc-marketing-conference-2024/awards-2025/" TargetMode="External"/><Relationship Id="rId93" Type="http://schemas.openxmlformats.org/officeDocument/2006/relationships/hyperlink" Target="https://africanmarketingconfederation.org/awards-2026-1/" TargetMode="External"/><Relationship Id="rId98" Type="http://schemas.openxmlformats.org/officeDocument/2006/relationships/hyperlink" Target="https://africanmarketingconfederation.org/wp-admin/post.php?post=34622&amp;action=elementor" TargetMode="External"/><Relationship Id="rId121" Type="http://schemas.openxmlformats.org/officeDocument/2006/relationships/hyperlink" Target="https://africanmarketingconfederation.org/education/" TargetMode="External"/><Relationship Id="rId142" Type="http://schemas.openxmlformats.org/officeDocument/2006/relationships/hyperlink" Target="https://africanmarketingconfederation.org/wp-admin/post.php?post=3686&amp;action=elementor" TargetMode="External"/><Relationship Id="rId163" Type="http://schemas.openxmlformats.org/officeDocument/2006/relationships/hyperlink" Target="https://africanmarketingconfederation.org/thank-you-for-the-submission-2024/" TargetMode="External"/><Relationship Id="rId3" Type="http://schemas.openxmlformats.org/officeDocument/2006/relationships/hyperlink" Target="https://africanmarketingconfederation.org/about-us/" TargetMode="External"/><Relationship Id="rId25" Type="http://schemas.openxmlformats.org/officeDocument/2006/relationships/hyperlink" Target="https://africanmarketingconfederation.org/amc-conference-2023/download-prospectus/" TargetMode="External"/><Relationship Id="rId46" Type="http://schemas.openxmlformats.org/officeDocument/2006/relationships/hyperlink" Target="https://africanmarketingconfederation.org/wp-admin/post.php?post=22778&amp;action=elementor" TargetMode="External"/><Relationship Id="rId67" Type="http://schemas.openxmlformats.org/officeDocument/2006/relationships/hyperlink" Target="https://africanmarketingconfederation.org/wp-admin/post.php?post=26290&amp;action=elementor" TargetMode="External"/><Relationship Id="rId116" Type="http://schemas.openxmlformats.org/officeDocument/2006/relationships/hyperlink" Target="https://africanmarketingconfederation.org/wp-admin/post.php?post=92&amp;action=elementor" TargetMode="External"/><Relationship Id="rId137" Type="http://schemas.openxmlformats.org/officeDocument/2006/relationships/hyperlink" Target="https://africanmarketingconfederation.org/privacy-policy/" TargetMode="External"/><Relationship Id="rId158" Type="http://schemas.openxmlformats.org/officeDocument/2006/relationships/hyperlink" Target="https://africanmarketingconfederation.org/wp-admin/post.php?post=17195&amp;action=elementor" TargetMode="External"/><Relationship Id="rId20" Type="http://schemas.openxmlformats.org/officeDocument/2006/relationships/hyperlink" Target="https://africanmarketingconfederation.org/wp-admin/post.php?post=12954&amp;action=elementor" TargetMode="External"/><Relationship Id="rId41" Type="http://schemas.openxmlformats.org/officeDocument/2006/relationships/hyperlink" Target="https://africanmarketingconfederation.org/amc-conference-2025/" TargetMode="External"/><Relationship Id="rId62" Type="http://schemas.openxmlformats.org/officeDocument/2006/relationships/hyperlink" Target="https://africanmarketingconfederation.org/amc-marketing-conference-2024/amc-conference-2025-ghana-sponsors/" TargetMode="External"/><Relationship Id="rId83" Type="http://schemas.openxmlformats.org/officeDocument/2006/relationships/hyperlink" Target="https://africanmarketingconfederation.org/amc-masterclass/" TargetMode="External"/><Relationship Id="rId88" Type="http://schemas.openxmlformats.org/officeDocument/2006/relationships/hyperlink" Target="https://africanmarketingconfederation.org/wp-admin/post.php?post=23001&amp;action=elementor" TargetMode="External"/><Relationship Id="rId111" Type="http://schemas.openxmlformats.org/officeDocument/2006/relationships/hyperlink" Target="https://africanmarketingconfederation.org/conference-faq-2025/" TargetMode="External"/><Relationship Id="rId132" Type="http://schemas.openxmlformats.org/officeDocument/2006/relationships/hyperlink" Target="https://africanmarketingconfederation.org/wp-admin/post.php?post=33050&amp;action=elementor" TargetMode="External"/><Relationship Id="rId153" Type="http://schemas.openxmlformats.org/officeDocument/2006/relationships/hyperlink" Target="https://africanmarketingconfederation.org/test-payment-gate/" TargetMode="External"/><Relationship Id="rId15" Type="http://schemas.openxmlformats.org/officeDocument/2006/relationships/hyperlink" Target="https://africanmarketingconfederation.org/amc-conference-2023/" TargetMode="External"/><Relationship Id="rId36" Type="http://schemas.openxmlformats.org/officeDocument/2006/relationships/hyperlink" Target="https://africanmarketingconfederation.org/wp-admin/post.php?post=22401&amp;action=elementor" TargetMode="External"/><Relationship Id="rId57" Type="http://schemas.openxmlformats.org/officeDocument/2006/relationships/hyperlink" Target="https://africanmarketingconfederation.org/wp-admin/post.php?post=21984&amp;action=elementor" TargetMode="External"/><Relationship Id="rId106" Type="http://schemas.openxmlformats.org/officeDocument/2006/relationships/hyperlink" Target="https://africanmarketingconfederation.org/wp-admin/post.php?post=10823&amp;action=elementor" TargetMode="External"/><Relationship Id="rId127" Type="http://schemas.openxmlformats.org/officeDocument/2006/relationships/hyperlink" Target="https://africanmarketingconfederation.org/elementor-31820/" TargetMode="External"/><Relationship Id="rId10" Type="http://schemas.openxmlformats.org/officeDocument/2006/relationships/hyperlink" Target="https://africanmarketingconfederation.org/wp-admin/post.php?post=5619&amp;action=elementor" TargetMode="External"/><Relationship Id="rId31" Type="http://schemas.openxmlformats.org/officeDocument/2006/relationships/hyperlink" Target="https://africanmarketingconfederation.org/amc-conference-2023/programme/" TargetMode="External"/><Relationship Id="rId52" Type="http://schemas.openxmlformats.org/officeDocument/2006/relationships/hyperlink" Target="https://africanmarketingconfederation.org/amc-conference-thank-you/" TargetMode="External"/><Relationship Id="rId73" Type="http://schemas.openxmlformats.org/officeDocument/2006/relationships/hyperlink" Target="https://africanmarketingconfederation.org/wp-admin/post.php?post=29496&amp;action=elementor" TargetMode="External"/><Relationship Id="rId78" Type="http://schemas.openxmlformats.org/officeDocument/2006/relationships/hyperlink" Target="https://africanmarketingconfederation.org/wp-admin/post.php?post=23021&amp;action=elementor" TargetMode="External"/><Relationship Id="rId94" Type="http://schemas.openxmlformats.org/officeDocument/2006/relationships/hyperlink" Target="https://africanmarketingconfederation.org/wp-admin/post.php?post=32554&amp;action=elementor" TargetMode="External"/><Relationship Id="rId99" Type="http://schemas.openxmlformats.org/officeDocument/2006/relationships/hyperlink" Target="https://africanmarketingconfederation.org/certified-professional-marketer-africa/" TargetMode="External"/><Relationship Id="rId101" Type="http://schemas.openxmlformats.org/officeDocument/2006/relationships/hyperlink" Target="https://africanmarketingconfederation.org/chartered-marketer-africa-final-submission-fee/" TargetMode="External"/><Relationship Id="rId122" Type="http://schemas.openxmlformats.org/officeDocument/2006/relationships/hyperlink" Target="https://africanmarketingconfederation.org/wp-admin/post.php?post=88&amp;action=elementor" TargetMode="External"/><Relationship Id="rId143" Type="http://schemas.openxmlformats.org/officeDocument/2006/relationships/hyperlink" Target="https://africanmarketingconfederation.org/speakers-2025/" TargetMode="External"/><Relationship Id="rId148" Type="http://schemas.openxmlformats.org/officeDocument/2006/relationships/hyperlink" Target="https://africanmarketingconfederation.org/wp-admin/post.php?post=3634&amp;action=elementor" TargetMode="External"/><Relationship Id="rId164" Type="http://schemas.openxmlformats.org/officeDocument/2006/relationships/hyperlink" Target="https://africanmarketingconfederation.org/wp-admin/post.php?post=17196&amp;action=elementor" TargetMode="External"/><Relationship Id="rId169" Type="http://schemas.openxmlformats.org/officeDocument/2006/relationships/vmlDrawing" Target="../drawings/vmlDrawing1.vml"/><Relationship Id="rId4" Type="http://schemas.openxmlformats.org/officeDocument/2006/relationships/hyperlink" Target="https://africanmarketingconfederation.org/wp-admin/post.php?post=84&amp;action=elementor" TargetMode="External"/><Relationship Id="rId9" Type="http://schemas.openxmlformats.org/officeDocument/2006/relationships/hyperlink" Target="https://africanmarketingconfederation.org/amc-conference-2022-prospectus/" TargetMode="External"/><Relationship Id="rId26" Type="http://schemas.openxmlformats.org/officeDocument/2006/relationships/hyperlink" Target="https://africanmarketingconfederation.org/wp-admin/post.php?post=13098&amp;action=elementor" TargetMode="External"/><Relationship Id="rId47" Type="http://schemas.openxmlformats.org/officeDocument/2006/relationships/hyperlink" Target="https://africanmarketingconfederation.org/amc-conference-2026/" TargetMode="External"/><Relationship Id="rId68" Type="http://schemas.openxmlformats.org/officeDocument/2006/relationships/hyperlink" Target="https://africanmarketingconfederation.org/amc-marketing-conference-2024/amc-programme-2025/" TargetMode="External"/><Relationship Id="rId89" Type="http://schemas.openxmlformats.org/officeDocument/2006/relationships/hyperlink" Target="https://africanmarketingconfederation.org/amc-sponsors-2025/" TargetMode="External"/><Relationship Id="rId112" Type="http://schemas.openxmlformats.org/officeDocument/2006/relationships/hyperlink" Target="https://africanmarketingconfederation.org/wp-admin/post.php?post=24640&amp;action=elementor" TargetMode="External"/><Relationship Id="rId133" Type="http://schemas.openxmlformats.org/officeDocument/2006/relationships/hyperlink" Target="https://africanmarketingconfederation.org/members/" TargetMode="External"/><Relationship Id="rId154" Type="http://schemas.openxmlformats.org/officeDocument/2006/relationships/hyperlink" Target="https://africanmarketingconfederation.org/wp-admin/post.php?post=27352&amp;action=elementor" TargetMode="External"/><Relationship Id="rId16" Type="http://schemas.openxmlformats.org/officeDocument/2006/relationships/hyperlink" Target="https://africanmarketingconfederation.org/wp-admin/post.php?post=12371&amp;action=elementor" TargetMode="External"/><Relationship Id="rId37" Type="http://schemas.openxmlformats.org/officeDocument/2006/relationships/hyperlink" Target="https://africanmarketingconfederation.org/amc-conference-2024-sponsors-packages/" TargetMode="External"/><Relationship Id="rId58" Type="http://schemas.openxmlformats.org/officeDocument/2006/relationships/hyperlink" Target="https://africanmarketingconfederation.org/amc-launch-event-zambia-thank-you-2026/" TargetMode="External"/><Relationship Id="rId79" Type="http://schemas.openxmlformats.org/officeDocument/2006/relationships/hyperlink" Target="https://africanmarketingconfederation.org/amc-masterclass-bookings/" TargetMode="External"/><Relationship Id="rId102" Type="http://schemas.openxmlformats.org/officeDocument/2006/relationships/hyperlink" Target="https://africanmarketingconfederation.org/wp-admin/post.php?post=20001&amp;action=elementor" TargetMode="External"/><Relationship Id="rId123" Type="http://schemas.openxmlformats.org/officeDocument/2006/relationships/hyperlink" Target="https://africanmarketingconfederation.org/elementor-16548/" TargetMode="External"/><Relationship Id="rId144" Type="http://schemas.openxmlformats.org/officeDocument/2006/relationships/hyperlink" Target="https://africanmarketingconfederation.org/wp-admin/post.php?post=21962&amp;action=elementor" TargetMode="External"/><Relationship Id="rId90" Type="http://schemas.openxmlformats.org/officeDocument/2006/relationships/hyperlink" Target="https://africanmarketingconfederation.org/wp-admin/post.php?post=21952&amp;action=elementor" TargetMode="External"/><Relationship Id="rId165" Type="http://schemas.openxmlformats.org/officeDocument/2006/relationships/hyperlink" Target="https://africanmarketingconfederation.org/upcoming-events/" TargetMode="External"/><Relationship Id="rId27" Type="http://schemas.openxmlformats.org/officeDocument/2006/relationships/hyperlink" Target="https://africanmarketingconfederation.org/amc-conference-2023/gallery/" TargetMode="External"/><Relationship Id="rId48" Type="http://schemas.openxmlformats.org/officeDocument/2006/relationships/hyperlink" Target="https://africanmarketingconfederation.org/wp-admin/post.php?post=31478&amp;action=elementor" TargetMode="External"/><Relationship Id="rId69" Type="http://schemas.openxmlformats.org/officeDocument/2006/relationships/hyperlink" Target="https://africanmarketingconfederation.org/wp-admin/post.php?post=24882&amp;action=elementor" TargetMode="External"/><Relationship Id="rId113" Type="http://schemas.openxmlformats.org/officeDocument/2006/relationships/hyperlink" Target="https://africanmarketingconfederation.org/conference-registrations-2024/" TargetMode="External"/><Relationship Id="rId134" Type="http://schemas.openxmlformats.org/officeDocument/2006/relationships/hyperlink" Target="https://africanmarketingconfederation.org/wp-admin/post.php?post=86&amp;action=elementor" TargetMode="External"/><Relationship Id="rId80" Type="http://schemas.openxmlformats.org/officeDocument/2006/relationships/hyperlink" Target="https://africanmarketingconfederation.org/wp-admin/post.php?post=6816&amp;action=elementor" TargetMode="External"/><Relationship Id="rId155" Type="http://schemas.openxmlformats.org/officeDocument/2006/relationships/hyperlink" Target="https://africanmarketingconfederation.org/thank-you-for-registering-2024-registrations-kenya/" TargetMode="External"/><Relationship Id="rId17" Type="http://schemas.openxmlformats.org/officeDocument/2006/relationships/hyperlink" Target="https://africanmarketingconfederation.org/amc-conference-2023/amc-awards-book-now/" TargetMode="External"/><Relationship Id="rId38" Type="http://schemas.openxmlformats.org/officeDocument/2006/relationships/hyperlink" Target="https://africanmarketingconfederation.org/wp-admin/post.php?post=18318&amp;action=elementor" TargetMode="External"/><Relationship Id="rId59" Type="http://schemas.openxmlformats.org/officeDocument/2006/relationships/hyperlink" Target="https://africanmarketingconfederation.org/wp-admin/post.php?post=33131&amp;action=elementor" TargetMode="External"/><Relationship Id="rId103" Type="http://schemas.openxmlformats.org/officeDocument/2006/relationships/hyperlink" Target="https://africanmarketingconfederation.org/chartered-marketer-africa-programme-fee/" TargetMode="External"/><Relationship Id="rId124" Type="http://schemas.openxmlformats.org/officeDocument/2006/relationships/hyperlink" Target="https://africanmarketingconfederation.org/wp-admin/post.php?post=16548&amp;action=elemento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mc-conference-sponsors/" TargetMode="External"/><Relationship Id="rId13" Type="http://schemas.openxmlformats.org/officeDocument/2006/relationships/hyperlink" Target="https://africanmarketingconfederation.org/publications-2/"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mc-conference-2026/" TargetMode="External"/><Relationship Id="rId12" Type="http://schemas.openxmlformats.org/officeDocument/2006/relationships/hyperlink" Target="https://africanmarketingconfederation.org/publications-2/" TargetMode="External"/><Relationship Id="rId2" Type="http://schemas.openxmlformats.org/officeDocument/2006/relationships/hyperlink" Target="https://africanmarketingconfederation.org/amc-conference-sponsors/" TargetMode="External"/><Relationship Id="rId16" Type="http://schemas.openxmlformats.org/officeDocument/2006/relationships/hyperlink" Target="https://africanmarketingconfederation.org/publications-2/" TargetMode="External"/><Relationship Id="rId1" Type="http://schemas.openxmlformats.org/officeDocument/2006/relationships/hyperlink" Target="https://africanmarketingconfederation.org/amc-conference-sponsors/" TargetMode="External"/><Relationship Id="rId6" Type="http://schemas.openxmlformats.org/officeDocument/2006/relationships/hyperlink" Target="https://africanmarketingconfederation.org/publications-2/" TargetMode="External"/><Relationship Id="rId11" Type="http://schemas.openxmlformats.org/officeDocument/2006/relationships/hyperlink" Target="https://africanmarketingconfederation.org/publications-2/" TargetMode="External"/><Relationship Id="rId5" Type="http://schemas.openxmlformats.org/officeDocument/2006/relationships/hyperlink" Target="https://africanmarketingconfederation.org/publication-download-list/" TargetMode="External"/><Relationship Id="rId15" Type="http://schemas.openxmlformats.org/officeDocument/2006/relationships/hyperlink" Target="https://africanmarketingconfederation.org/publications-2/" TargetMode="External"/><Relationship Id="rId10" Type="http://schemas.openxmlformats.org/officeDocument/2006/relationships/hyperlink" Target="https://africanmarketingconfederation.org/publications-2/" TargetMode="External"/><Relationship Id="rId4" Type="http://schemas.openxmlformats.org/officeDocument/2006/relationships/hyperlink" Target="https://africanmarketingconfederation.org/amc-conference-sponsors/" TargetMode="External"/><Relationship Id="rId9" Type="http://schemas.openxmlformats.org/officeDocument/2006/relationships/hyperlink" Target="https://africanmarketingconfederation.org/publications-2/" TargetMode="External"/><Relationship Id="rId14" Type="http://schemas.openxmlformats.org/officeDocument/2006/relationships/hyperlink" Target="https://africanmarketingconfederation.org/publications-2/"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africanmarketingconfederation.org/amc-conference-2026/" TargetMode="External"/><Relationship Id="rId21" Type="http://schemas.openxmlformats.org/officeDocument/2006/relationships/hyperlink" Target="https://africanmarketingconfederation.org/amc-conference-2024-sponsors-packages/"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gallery/" TargetMode="External"/><Relationship Id="rId11" Type="http://schemas.openxmlformats.org/officeDocument/2006/relationships/hyperlink" Target="https://africanmarketingconfederation.org/amc-conference-2023/amc-awards-book-now/" TargetMode="External"/><Relationship Id="rId32" Type="http://schemas.openxmlformats.org/officeDocument/2006/relationships/hyperlink" Target="https://africanmarketingconfederation.org/amc-marketing-conference-2024/" TargetMode="External"/><Relationship Id="rId37" Type="http://schemas.openxmlformats.org/officeDocument/2006/relationships/hyperlink" Target="https://africanmarketingconfederation.org/amc-marketing-conference-2024/amc-speakers-presentations-2024/"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frican-marketing-confederation-tourism-chapter/" TargetMode="External"/><Relationship Id="rId19" Type="http://schemas.openxmlformats.org/officeDocument/2006/relationships/hyperlink" Target="https://africanmarketingconfederation.org/amc-conference-2023/speakers/" TargetMode="External"/><Relationship Id="rId14" Type="http://schemas.openxmlformats.org/officeDocument/2006/relationships/hyperlink" Target="https://africanmarketingconfederation.org/amc-conference-2023/book-now/" TargetMode="External"/><Relationship Id="rId22" Type="http://schemas.openxmlformats.org/officeDocument/2006/relationships/hyperlink" Target="https://africanmarketingconfederation.org/amc-conference-2025-highlights/" TargetMode="External"/><Relationship Id="rId27" Type="http://schemas.openxmlformats.org/officeDocument/2006/relationships/hyperlink" Target="https://africanmarketingconfederation.org/amc-conference-programme/" TargetMode="External"/><Relationship Id="rId30" Type="http://schemas.openxmlformats.org/officeDocument/2006/relationships/hyperlink" Target="https://africanmarketingconfederation.org/amc-forum-payments/"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2-thank-you/"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 TargetMode="External"/><Relationship Id="rId12" Type="http://schemas.openxmlformats.org/officeDocument/2006/relationships/hyperlink" Target="https://africanmarketingconfederation.org/amc-conference-2023/amc-awards/" TargetMode="External"/><Relationship Id="rId17" Type="http://schemas.openxmlformats.org/officeDocument/2006/relationships/hyperlink" Target="https://africanmarketingconfederation.org/amc-conference-2023/partners/" TargetMode="External"/><Relationship Id="rId25" Type="http://schemas.openxmlformats.org/officeDocument/2006/relationships/hyperlink" Target="https://africanmarketingconfederation.org/amc-conference-2026-zambia-thank-you/" TargetMode="External"/><Relationship Id="rId33" Type="http://schemas.openxmlformats.org/officeDocument/2006/relationships/hyperlink" Target="https://africanmarketingconfederation.org/amc-marketing-conference-2024/amc-conference-2025-ghana-sponsors/" TargetMode="External"/><Relationship Id="rId38" Type="http://schemas.openxmlformats.org/officeDocument/2006/relationships/hyperlink" Target="https://africanmarketingconfederation.org/amc-marketing-conference-2024/awards-2025/"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4-recap/"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amc-conference-sponsors/" TargetMode="External"/><Relationship Id="rId6"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mc-conference-2023/download-prospectus/" TargetMode="External"/><Relationship Id="rId23" Type="http://schemas.openxmlformats.org/officeDocument/2006/relationships/hyperlink" Target="https://africanmarketingconfederation.org/amc-conference-2025/" TargetMode="External"/><Relationship Id="rId28" Type="http://schemas.openxmlformats.org/officeDocument/2006/relationships/hyperlink" Target="https://africanmarketingconfederation.org/amc-conference-thank-you/" TargetMode="External"/><Relationship Id="rId36" Type="http://schemas.openxmlformats.org/officeDocument/2006/relationships/hyperlink" Target="https://africanmarketingconfederation.org/amc-marketing-conference-2024/amc-programme-2025/"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 TargetMode="External"/><Relationship Id="rId31" Type="http://schemas.openxmlformats.org/officeDocument/2006/relationships/hyperlink" Target="https://africanmarketingconfederation.org/amc-launch-event-zambia-thank-you-2026/"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2/" TargetMode="External"/><Relationship Id="rId13" Type="http://schemas.openxmlformats.org/officeDocument/2006/relationships/hyperlink" Target="https://africanmarketingconfederation.org/amc-conference-2023/book-now-thank-you/" TargetMode="External"/><Relationship Id="rId18" Type="http://schemas.openxmlformats.org/officeDocument/2006/relationships/hyperlink" Target="https://africanmarketingconfederation.org/amc-conference-2023/programme/"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launch-event-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prospectus/"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mc-marketing-conference-2024/speakers-2024/" TargetMode="External"/><Relationship Id="rId29" Type="http://schemas.openxmlformats.org/officeDocument/2006/relationships/hyperlink" Target="https://africanmarketingconfederation.org/amc-forum-mombasa/" TargetMode="External"/><Relationship Id="rId24" Type="http://schemas.openxmlformats.org/officeDocument/2006/relationships/hyperlink" Target="https://africanmarketingconfederation.org/amc-conference-2026-awards-nominations-thank-you/"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africanmarketingconfederation.org/amc-conference-2026/" TargetMode="External"/><Relationship Id="rId21" Type="http://schemas.openxmlformats.org/officeDocument/2006/relationships/hyperlink" Target="https://africanmarketingconfederation.org/amc-conference-2024-sponsors-packages/"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gallery/" TargetMode="External"/><Relationship Id="rId11" Type="http://schemas.openxmlformats.org/officeDocument/2006/relationships/hyperlink" Target="https://africanmarketingconfederation.org/amc-conference-2023/amc-awards-book-now/" TargetMode="External"/><Relationship Id="rId32" Type="http://schemas.openxmlformats.org/officeDocument/2006/relationships/hyperlink" Target="https://africanmarketingconfederation.org/amc-marketing-conference-2024/" TargetMode="External"/><Relationship Id="rId37" Type="http://schemas.openxmlformats.org/officeDocument/2006/relationships/hyperlink" Target="https://africanmarketingconfederation.org/amc-marketing-conference-2024/amc-speakers-presentations-2024/"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frican-marketing-confederation-tourism-chapter/" TargetMode="External"/><Relationship Id="rId19" Type="http://schemas.openxmlformats.org/officeDocument/2006/relationships/hyperlink" Target="https://africanmarketingconfederation.org/amc-conference-2023/speakers/" TargetMode="External"/><Relationship Id="rId14" Type="http://schemas.openxmlformats.org/officeDocument/2006/relationships/hyperlink" Target="https://africanmarketingconfederation.org/amc-conference-2023/book-now/" TargetMode="External"/><Relationship Id="rId22" Type="http://schemas.openxmlformats.org/officeDocument/2006/relationships/hyperlink" Target="https://africanmarketingconfederation.org/amc-conference-2025-highlights/" TargetMode="External"/><Relationship Id="rId27" Type="http://schemas.openxmlformats.org/officeDocument/2006/relationships/hyperlink" Target="https://africanmarketingconfederation.org/amc-conference-programme/" TargetMode="External"/><Relationship Id="rId30" Type="http://schemas.openxmlformats.org/officeDocument/2006/relationships/hyperlink" Target="https://africanmarketingconfederation.org/amc-forum-payments/"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2-thank-you/"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 TargetMode="External"/><Relationship Id="rId12" Type="http://schemas.openxmlformats.org/officeDocument/2006/relationships/hyperlink" Target="https://africanmarketingconfederation.org/amc-conference-2023/amc-awards/" TargetMode="External"/><Relationship Id="rId17" Type="http://schemas.openxmlformats.org/officeDocument/2006/relationships/hyperlink" Target="https://africanmarketingconfederation.org/amc-conference-2023/partners/" TargetMode="External"/><Relationship Id="rId25" Type="http://schemas.openxmlformats.org/officeDocument/2006/relationships/hyperlink" Target="https://africanmarketingconfederation.org/amc-conference-2026-zambia-thank-you/" TargetMode="External"/><Relationship Id="rId33" Type="http://schemas.openxmlformats.org/officeDocument/2006/relationships/hyperlink" Target="https://africanmarketingconfederation.org/amc-marketing-conference-2024/amc-conference-2025-ghana-sponsors/" TargetMode="External"/><Relationship Id="rId38" Type="http://schemas.openxmlformats.org/officeDocument/2006/relationships/hyperlink" Target="https://africanmarketingconfederation.org/amc-marketing-conference-2024/awards-2025/"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4-recap/"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amc-conference-sponsors/" TargetMode="External"/><Relationship Id="rId6"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mc-conference-2023/download-prospectus/" TargetMode="External"/><Relationship Id="rId23" Type="http://schemas.openxmlformats.org/officeDocument/2006/relationships/hyperlink" Target="https://africanmarketingconfederation.org/amc-conference-2025/" TargetMode="External"/><Relationship Id="rId28" Type="http://schemas.openxmlformats.org/officeDocument/2006/relationships/hyperlink" Target="https://africanmarketingconfederation.org/amc-conference-thank-you/" TargetMode="External"/><Relationship Id="rId36" Type="http://schemas.openxmlformats.org/officeDocument/2006/relationships/hyperlink" Target="https://africanmarketingconfederation.org/amc-marketing-conference-2024/amc-programme-2025/"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 TargetMode="External"/><Relationship Id="rId31" Type="http://schemas.openxmlformats.org/officeDocument/2006/relationships/hyperlink" Target="https://africanmarketingconfederation.org/amc-launch-event-zambia-thank-you-2026/"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2/" TargetMode="External"/><Relationship Id="rId13" Type="http://schemas.openxmlformats.org/officeDocument/2006/relationships/hyperlink" Target="https://africanmarketingconfederation.org/amc-conference-2023/book-now-thank-you/" TargetMode="External"/><Relationship Id="rId18" Type="http://schemas.openxmlformats.org/officeDocument/2006/relationships/hyperlink" Target="https://africanmarketingconfederation.org/amc-conference-2023/programme/"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launch-event-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prospectus/"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mc-marketing-conference-2024/speakers-2024/" TargetMode="External"/><Relationship Id="rId29" Type="http://schemas.openxmlformats.org/officeDocument/2006/relationships/hyperlink" Target="https://africanmarketingconfederation.org/amc-forum-mombasa/" TargetMode="External"/><Relationship Id="rId24" Type="http://schemas.openxmlformats.org/officeDocument/2006/relationships/hyperlink" Target="https://africanmarketingconfederation.org/amc-conference-2026-awards-nominations-thank-you/"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africanmarketingconfederation.org/conference-registrations-2024/" TargetMode="External"/><Relationship Id="rId21"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mc-forum-mombasa/"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amc-conference-2023/amc-awards/"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speakers/" TargetMode="External"/><Relationship Id="rId16" Type="http://schemas.openxmlformats.org/officeDocument/2006/relationships/hyperlink" Target="https://africanmarketingconfederation.org/awards-2026-1/" TargetMode="External"/><Relationship Id="rId11" Type="http://schemas.openxmlformats.org/officeDocument/2006/relationships/hyperlink" Target="https://africanmarketingconfederation.org/news-articles/" TargetMode="External"/><Relationship Id="rId32" Type="http://schemas.openxmlformats.org/officeDocument/2006/relationships/hyperlink" Target="https://africanmarketingconfederation.org/amc-conference-2022-prospectus/" TargetMode="External"/><Relationship Id="rId37" Type="http://schemas.openxmlformats.org/officeDocument/2006/relationships/hyperlink" Target="https://africanmarketingconfederation.org/amc-marketing-conference-2024/amc-conference-2025-ghana-sponsors/" TargetMode="External"/><Relationship Id="rId53" Type="http://schemas.openxmlformats.org/officeDocument/2006/relationships/hyperlink" Target="https://africanmarketingconfederation.org/subscribe/" TargetMode="External"/><Relationship Id="rId58" Type="http://schemas.openxmlformats.org/officeDocument/2006/relationships/hyperlink" Target="https://africanmarketingconfederation.org/thank-you-for-the-nomination-2024/" TargetMode="External"/><Relationship Id="rId74" Type="http://schemas.openxmlformats.org/officeDocument/2006/relationships/hyperlink" Target="https://africanmarketingconfederation.org/thank-you-for-subscribing/" TargetMode="External"/><Relationship Id="rId79" Type="http://schemas.openxmlformats.org/officeDocument/2006/relationships/hyperlink" Target="https://africanmarketingconfederation.org/amc-conference-programme/" TargetMode="External"/><Relationship Id="rId5" Type="http://schemas.openxmlformats.org/officeDocument/2006/relationships/hyperlink" Target="https://africanmarketingconfederation.org/amc-conference-2026/" TargetMode="External"/><Relationship Id="rId19" Type="http://schemas.openxmlformats.org/officeDocument/2006/relationships/hyperlink" Target="https://africanmarketingconfederation.org/amc-conference-2026-awards-nominations-thank-you/" TargetMode="External"/><Relationship Id="rId14" Type="http://schemas.openxmlformats.org/officeDocument/2006/relationships/hyperlink" Target="https://africanmarketingconfederation.org/sub-committees/" TargetMode="External"/><Relationship Id="rId22" Type="http://schemas.openxmlformats.org/officeDocument/2006/relationships/hyperlink" Target="https://africanmarketingconfederation.org/amc-marketing-conference-2024/awards-2025/" TargetMode="External"/><Relationship Id="rId27" Type="http://schemas.openxmlformats.org/officeDocument/2006/relationships/hyperlink" Target="https://africanmarketingconfederation.org/elementor-31820/" TargetMode="External"/><Relationship Id="rId30" Type="http://schemas.openxmlformats.org/officeDocument/2006/relationships/hyperlink" Target="https://africanmarketingconfederation.org/amc-conference-2025/"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rketing-conference-2024/" TargetMode="External"/><Relationship Id="rId48" Type="http://schemas.openxmlformats.org/officeDocument/2006/relationships/hyperlink" Target="https://africanmarketingconfederation.org/amc-conference-sponsors/" TargetMode="External"/><Relationship Id="rId56" Type="http://schemas.openxmlformats.org/officeDocument/2006/relationships/hyperlink" Target="https://africanmarketingconfederation.org/chartered-marketer-africa-final-submission-fee/" TargetMode="External"/><Relationship Id="rId64" Type="http://schemas.openxmlformats.org/officeDocument/2006/relationships/hyperlink" Target="https://africanmarketingconfederation.org/amc-conference-2023/programme/" TargetMode="External"/><Relationship Id="rId69" Type="http://schemas.openxmlformats.org/officeDocument/2006/relationships/hyperlink" Target="https://africanmarketingconfederation.org/amc-conference-2023/book-now/" TargetMode="External"/><Relationship Id="rId77" Type="http://schemas.openxmlformats.org/officeDocument/2006/relationships/hyperlink" Target="https://africanmarketingconfederation.org/amc-masterclass-thank-you/" TargetMode="External"/><Relationship Id="rId8" Type="http://schemas.openxmlformats.org/officeDocument/2006/relationships/hyperlink" Target="https://africanmarketingconfederation.org/education/" TargetMode="External"/><Relationship Id="rId51" Type="http://schemas.openxmlformats.org/officeDocument/2006/relationships/hyperlink" Target="https://africanmarketingconfederation.org/download-prospectus-2024/" TargetMode="External"/><Relationship Id="rId72" Type="http://schemas.openxmlformats.org/officeDocument/2006/relationships/hyperlink" Target="https://africanmarketingconfederation.org/amc-conference-thank-you/" TargetMode="External"/><Relationship Id="rId80" Type="http://schemas.openxmlformats.org/officeDocument/2006/relationships/hyperlink" Target="https://africanmarketingconfederation.org/virtual-programme/" TargetMode="External"/><Relationship Id="rId85" Type="http://schemas.openxmlformats.org/officeDocument/2006/relationships/hyperlink" Target="https://africanmarketingconfederation.org/privacy-policy/" TargetMode="External"/><Relationship Id="rId3" Type="http://schemas.openxmlformats.org/officeDocument/2006/relationships/hyperlink" Target="https://africanmarketingconfederation.org/publication-download-list/" TargetMode="External"/><Relationship Id="rId12" Type="http://schemas.openxmlformats.org/officeDocument/2006/relationships/hyperlink" Target="https://africanmarketingconfederation.org/african-marketing-confederation-tourism-chapter/" TargetMode="External"/><Relationship Id="rId17" Type="http://schemas.openxmlformats.org/officeDocument/2006/relationships/hyperlink" Target="https://africanmarketingconfederation.org/awards-2026-test/" TargetMode="External"/><Relationship Id="rId25" Type="http://schemas.openxmlformats.org/officeDocument/2006/relationships/hyperlink" Target="https://africanmarketingconfederation.org/amc-conference-2023/gallery/" TargetMode="External"/><Relationship Id="rId33" Type="http://schemas.openxmlformats.org/officeDocument/2006/relationships/hyperlink" Target="https://africanmarketingconfederation.org/test-payment-gate/" TargetMode="External"/><Relationship Id="rId38" Type="http://schemas.openxmlformats.org/officeDocument/2006/relationships/hyperlink" Target="https://africanmarketingconfederation.org/amc-marketing-conference-2024/amc-launch-event-2025/" TargetMode="External"/><Relationship Id="rId46" Type="http://schemas.openxmlformats.org/officeDocument/2006/relationships/hyperlink" Target="https://africanmarketingconfederation.org/amc-sign-up-now-form-2025/" TargetMode="External"/><Relationship Id="rId59" Type="http://schemas.openxmlformats.org/officeDocument/2006/relationships/hyperlink" Target="https://africanmarketingconfederation.org/amc-conference-2024-sponsors-packages/" TargetMode="External"/><Relationship Id="rId67" Type="http://schemas.openxmlformats.org/officeDocument/2006/relationships/hyperlink" Target="https://africanmarketingconfederation.org/chartered-marketer-africa-thank-you/" TargetMode="External"/><Relationship Id="rId20" Type="http://schemas.openxmlformats.org/officeDocument/2006/relationships/hyperlink" Target="https://africanmarketingconfederation.org/amc-conference-2026-zambia-thank-you/" TargetMode="External"/><Relationship Id="rId41"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elementor-20341/" TargetMode="External"/><Relationship Id="rId62" Type="http://schemas.openxmlformats.org/officeDocument/2006/relationships/hyperlink" Target="https://africanmarketingconfederation.org/amc-marketing-conference-2024/programme-2024/" TargetMode="External"/><Relationship Id="rId70" Type="http://schemas.openxmlformats.org/officeDocument/2006/relationships/hyperlink" Target="https://africanmarketingconfederation.org/amc-conference-2023/download-prospectus/" TargetMode="External"/><Relationship Id="rId75" Type="http://schemas.openxmlformats.org/officeDocument/2006/relationships/hyperlink" Target="https://africanmarketingconfederation.org/amc-relaunch-programme/" TargetMode="External"/><Relationship Id="rId83" Type="http://schemas.openxmlformats.org/officeDocument/2006/relationships/hyperlink" Target="https://africanmarketingconfederation.org/amc-conference-2022-thank-you/"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15"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2024-recap/" TargetMode="External"/><Relationship Id="rId36" Type="http://schemas.openxmlformats.org/officeDocument/2006/relationships/hyperlink" Target="https://africanmarketingconfederation.org/conference-faq-2025/" TargetMode="External"/><Relationship Id="rId49" Type="http://schemas.openxmlformats.org/officeDocument/2006/relationships/hyperlink" Target="https://africanmarketingconfederation.org/amc-marketing-conference-2024/speakers-2024/" TargetMode="External"/><Relationship Id="rId57" Type="http://schemas.openxmlformats.org/officeDocument/2006/relationships/hyperlink" Target="https://africanmarketingconfederation.org/download-brochure/" TargetMode="External"/><Relationship Id="rId10" Type="http://schemas.openxmlformats.org/officeDocument/2006/relationships/hyperlink" Target="https://africanmarketingconfederation.org/contact-us/" TargetMode="External"/><Relationship Id="rId31" Type="http://schemas.openxmlformats.org/officeDocument/2006/relationships/hyperlink" Target="https://africanmarketingconfederation.org/amc-sponsors-2025/" TargetMode="External"/><Relationship Id="rId44" Type="http://schemas.openxmlformats.org/officeDocument/2006/relationships/hyperlink" Target="https://africanmarketingconfederation.org/amc-marketing-conference-2024/amc-speakers-presentations-2024/" TargetMode="External"/><Relationship Id="rId52" Type="http://schemas.openxmlformats.org/officeDocument/2006/relationships/hyperlink" Target="https://africanmarketingconfederation.org/thank-you-for-registering-2024-registrations-kenya/" TargetMode="External"/><Relationship Id="rId60" Type="http://schemas.openxmlformats.org/officeDocument/2006/relationships/hyperlink" Target="https://africanmarketingconfederation.org/thank-you-for-the-submission-2024/" TargetMode="External"/><Relationship Id="rId65" Type="http://schemas.openxmlformats.org/officeDocument/2006/relationships/hyperlink" Target="https://africanmarketingconfederation.org/amc-conference-2023/partners/" TargetMode="External"/><Relationship Id="rId73" Type="http://schemas.openxmlformats.org/officeDocument/2006/relationships/hyperlink" Target="https://africanmarketingconfederation.org/upcoming-events/" TargetMode="External"/><Relationship Id="rId78" Type="http://schemas.openxmlformats.org/officeDocument/2006/relationships/hyperlink" Target="https://africanmarketingconfederation.org/amc-masterclass-bookings/" TargetMode="External"/><Relationship Id="rId81" Type="http://schemas.openxmlformats.org/officeDocument/2006/relationships/hyperlink" Target="https://africanmarketingconfederation.org/test-homeslider/" TargetMode="External"/><Relationship Id="rId4" Type="http://schemas.openxmlformats.org/officeDocument/2006/relationships/hyperlink" Target="https://africanmarketingconfederation.org/launch-event-2026-amc-conference/" TargetMode="External"/><Relationship Id="rId9" Type="http://schemas.openxmlformats.org/officeDocument/2006/relationships/hyperlink" Target="https://africanmarketingconfederation.org/awards-2026/" TargetMode="External"/><Relationship Id="rId13" Type="http://schemas.openxmlformats.org/officeDocument/2006/relationships/hyperlink" Target="https://africanmarketingconfederation.org/members/" TargetMode="External"/><Relationship Id="rId18" Type="http://schemas.openxmlformats.org/officeDocument/2006/relationships/hyperlink" Target="https://africanmarketingconfederation.org/speakers-2025/" TargetMode="External"/><Relationship Id="rId39" Type="http://schemas.openxmlformats.org/officeDocument/2006/relationships/hyperlink" Target="https://africanmarketingconfederation.org/amc-forum-payments/" TargetMode="External"/><Relationship Id="rId34" Type="http://schemas.openxmlformats.org/officeDocument/2006/relationships/hyperlink" Target="https://africanmarketingconfederation.org/checkout/" TargetMode="External"/><Relationship Id="rId50" Type="http://schemas.openxmlformats.org/officeDocument/2006/relationships/hyperlink" Target="https://africanmarketingconfederation.org/thank-you-for-registering-2024-registrations/" TargetMode="External"/><Relationship Id="rId55"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mc-masterclass/" TargetMode="External"/><Relationship Id="rId7" Type="http://schemas.openxmlformats.org/officeDocument/2006/relationships/hyperlink" Target="https://africanmarketingconfederation.org/chartered-marketer-africa/" TargetMode="External"/><Relationship Id="rId71"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mc-marketing-conference-2024/amc-programme-2025/" TargetMode="External"/><Relationship Id="rId24" Type="http://schemas.openxmlformats.org/officeDocument/2006/relationships/hyperlink" Target="https://africanmarketingconfederation.org/amc-conference-2022/" TargetMode="External"/><Relationship Id="rId40" Type="http://schemas.openxmlformats.org/officeDocument/2006/relationships/hyperlink" Target="https://africanmarketingconfederation.org/amc-conference-2023/" TargetMode="External"/><Relationship Id="rId45" Type="http://schemas.openxmlformats.org/officeDocument/2006/relationships/hyperlink" Target="https://africanmarketingconfederation.org/amc-marketing-conference-2024/testimony-thank-you-page/" TargetMode="External"/><Relationship Id="rId66" Type="http://schemas.openxmlformats.org/officeDocument/2006/relationships/hyperlink" Target="https://africanmarketingconfederation.org/amc-conference-2023/speakers/" TargetMode="External"/><Relationship Id="rId61" Type="http://schemas.openxmlformats.org/officeDocument/2006/relationships/hyperlink" Target="https://africanmarketingconfederation.org/elementor-16548/" TargetMode="External"/><Relationship Id="rId82" Type="http://schemas.openxmlformats.org/officeDocument/2006/relationships/hyperlink" Target="https://africanmarketingconfederation.org/general-enquiry-form-thank-you/"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africanmarketingconfederation.org/conference-registrations-2024/" TargetMode="External"/><Relationship Id="rId21"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mc-forum-mombasa/"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amc-conference-2023/amc-awards/"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speakers/" TargetMode="External"/><Relationship Id="rId16" Type="http://schemas.openxmlformats.org/officeDocument/2006/relationships/hyperlink" Target="https://africanmarketingconfederation.org/awards-2026-1/" TargetMode="External"/><Relationship Id="rId11" Type="http://schemas.openxmlformats.org/officeDocument/2006/relationships/hyperlink" Target="https://africanmarketingconfederation.org/news-articles/" TargetMode="External"/><Relationship Id="rId32" Type="http://schemas.openxmlformats.org/officeDocument/2006/relationships/hyperlink" Target="https://africanmarketingconfederation.org/amc-conference-2022-prospectus/" TargetMode="External"/><Relationship Id="rId37" Type="http://schemas.openxmlformats.org/officeDocument/2006/relationships/hyperlink" Target="https://africanmarketingconfederation.org/amc-marketing-conference-2024/amc-conference-2025-ghana-sponsors/" TargetMode="External"/><Relationship Id="rId53" Type="http://schemas.openxmlformats.org/officeDocument/2006/relationships/hyperlink" Target="https://africanmarketingconfederation.org/subscribe/" TargetMode="External"/><Relationship Id="rId58" Type="http://schemas.openxmlformats.org/officeDocument/2006/relationships/hyperlink" Target="https://africanmarketingconfederation.org/thank-you-for-the-nomination-2024/" TargetMode="External"/><Relationship Id="rId74" Type="http://schemas.openxmlformats.org/officeDocument/2006/relationships/hyperlink" Target="https://africanmarketingconfederation.org/thank-you-for-subscribing/" TargetMode="External"/><Relationship Id="rId79" Type="http://schemas.openxmlformats.org/officeDocument/2006/relationships/hyperlink" Target="https://africanmarketingconfederation.org/amc-conference-programme/" TargetMode="External"/><Relationship Id="rId5" Type="http://schemas.openxmlformats.org/officeDocument/2006/relationships/hyperlink" Target="https://africanmarketingconfederation.org/amc-conference-2026/" TargetMode="External"/><Relationship Id="rId19" Type="http://schemas.openxmlformats.org/officeDocument/2006/relationships/hyperlink" Target="https://africanmarketingconfederation.org/amc-conference-2026-awards-nominations-thank-you/" TargetMode="External"/><Relationship Id="rId14" Type="http://schemas.openxmlformats.org/officeDocument/2006/relationships/hyperlink" Target="https://africanmarketingconfederation.org/sub-committees/" TargetMode="External"/><Relationship Id="rId22" Type="http://schemas.openxmlformats.org/officeDocument/2006/relationships/hyperlink" Target="https://africanmarketingconfederation.org/amc-marketing-conference-2024/awards-2025/" TargetMode="External"/><Relationship Id="rId27" Type="http://schemas.openxmlformats.org/officeDocument/2006/relationships/hyperlink" Target="https://africanmarketingconfederation.org/elementor-31820/" TargetMode="External"/><Relationship Id="rId30" Type="http://schemas.openxmlformats.org/officeDocument/2006/relationships/hyperlink" Target="https://africanmarketingconfederation.org/amc-conference-2025/"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rketing-conference-2024/" TargetMode="External"/><Relationship Id="rId48" Type="http://schemas.openxmlformats.org/officeDocument/2006/relationships/hyperlink" Target="https://africanmarketingconfederation.org/amc-conference-sponsors/" TargetMode="External"/><Relationship Id="rId56" Type="http://schemas.openxmlformats.org/officeDocument/2006/relationships/hyperlink" Target="https://africanmarketingconfederation.org/chartered-marketer-africa-final-submission-fee/" TargetMode="External"/><Relationship Id="rId64" Type="http://schemas.openxmlformats.org/officeDocument/2006/relationships/hyperlink" Target="https://africanmarketingconfederation.org/amc-conference-2023/programme/" TargetMode="External"/><Relationship Id="rId69" Type="http://schemas.openxmlformats.org/officeDocument/2006/relationships/hyperlink" Target="https://africanmarketingconfederation.org/amc-conference-2023/book-now/" TargetMode="External"/><Relationship Id="rId77" Type="http://schemas.openxmlformats.org/officeDocument/2006/relationships/hyperlink" Target="https://africanmarketingconfederation.org/amc-masterclass-thank-you/" TargetMode="External"/><Relationship Id="rId8" Type="http://schemas.openxmlformats.org/officeDocument/2006/relationships/hyperlink" Target="https://africanmarketingconfederation.org/education/" TargetMode="External"/><Relationship Id="rId51" Type="http://schemas.openxmlformats.org/officeDocument/2006/relationships/hyperlink" Target="https://africanmarketingconfederation.org/download-prospectus-2024/" TargetMode="External"/><Relationship Id="rId72" Type="http://schemas.openxmlformats.org/officeDocument/2006/relationships/hyperlink" Target="https://africanmarketingconfederation.org/amc-conference-thank-you/" TargetMode="External"/><Relationship Id="rId80" Type="http://schemas.openxmlformats.org/officeDocument/2006/relationships/hyperlink" Target="https://africanmarketingconfederation.org/virtual-programme/" TargetMode="External"/><Relationship Id="rId85" Type="http://schemas.openxmlformats.org/officeDocument/2006/relationships/hyperlink" Target="https://africanmarketingconfederation.org/privacy-policy/" TargetMode="External"/><Relationship Id="rId3" Type="http://schemas.openxmlformats.org/officeDocument/2006/relationships/hyperlink" Target="https://africanmarketingconfederation.org/publication-download-list/" TargetMode="External"/><Relationship Id="rId12" Type="http://schemas.openxmlformats.org/officeDocument/2006/relationships/hyperlink" Target="https://africanmarketingconfederation.org/african-marketing-confederation-tourism-chapter/" TargetMode="External"/><Relationship Id="rId17" Type="http://schemas.openxmlformats.org/officeDocument/2006/relationships/hyperlink" Target="https://africanmarketingconfederation.org/awards-2026-test/" TargetMode="External"/><Relationship Id="rId25" Type="http://schemas.openxmlformats.org/officeDocument/2006/relationships/hyperlink" Target="https://africanmarketingconfederation.org/amc-conference-2023/gallery/" TargetMode="External"/><Relationship Id="rId33" Type="http://schemas.openxmlformats.org/officeDocument/2006/relationships/hyperlink" Target="https://africanmarketingconfederation.org/test-payment-gate/" TargetMode="External"/><Relationship Id="rId38" Type="http://schemas.openxmlformats.org/officeDocument/2006/relationships/hyperlink" Target="https://africanmarketingconfederation.org/amc-marketing-conference-2024/amc-launch-event-2025/" TargetMode="External"/><Relationship Id="rId46" Type="http://schemas.openxmlformats.org/officeDocument/2006/relationships/hyperlink" Target="https://africanmarketingconfederation.org/amc-sign-up-now-form-2025/" TargetMode="External"/><Relationship Id="rId59" Type="http://schemas.openxmlformats.org/officeDocument/2006/relationships/hyperlink" Target="https://africanmarketingconfederation.org/amc-conference-2024-sponsors-packages/" TargetMode="External"/><Relationship Id="rId67" Type="http://schemas.openxmlformats.org/officeDocument/2006/relationships/hyperlink" Target="https://africanmarketingconfederation.org/chartered-marketer-africa-thank-you/" TargetMode="External"/><Relationship Id="rId20" Type="http://schemas.openxmlformats.org/officeDocument/2006/relationships/hyperlink" Target="https://africanmarketingconfederation.org/amc-conference-2026-zambia-thank-you/" TargetMode="External"/><Relationship Id="rId41"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elementor-20341/" TargetMode="External"/><Relationship Id="rId62" Type="http://schemas.openxmlformats.org/officeDocument/2006/relationships/hyperlink" Target="https://africanmarketingconfederation.org/amc-marketing-conference-2024/programme-2024/" TargetMode="External"/><Relationship Id="rId70" Type="http://schemas.openxmlformats.org/officeDocument/2006/relationships/hyperlink" Target="https://africanmarketingconfederation.org/amc-conference-2023/download-prospectus/" TargetMode="External"/><Relationship Id="rId75" Type="http://schemas.openxmlformats.org/officeDocument/2006/relationships/hyperlink" Target="https://africanmarketingconfederation.org/amc-relaunch-programme/" TargetMode="External"/><Relationship Id="rId83" Type="http://schemas.openxmlformats.org/officeDocument/2006/relationships/hyperlink" Target="https://africanmarketingconfederation.org/amc-conference-2022-thank-you/"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15"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2024-recap/" TargetMode="External"/><Relationship Id="rId36" Type="http://schemas.openxmlformats.org/officeDocument/2006/relationships/hyperlink" Target="https://africanmarketingconfederation.org/conference-faq-2025/" TargetMode="External"/><Relationship Id="rId49" Type="http://schemas.openxmlformats.org/officeDocument/2006/relationships/hyperlink" Target="https://africanmarketingconfederation.org/amc-marketing-conference-2024/speakers-2024/" TargetMode="External"/><Relationship Id="rId57" Type="http://schemas.openxmlformats.org/officeDocument/2006/relationships/hyperlink" Target="https://africanmarketingconfederation.org/download-brochure/" TargetMode="External"/><Relationship Id="rId10" Type="http://schemas.openxmlformats.org/officeDocument/2006/relationships/hyperlink" Target="https://africanmarketingconfederation.org/contact-us/" TargetMode="External"/><Relationship Id="rId31" Type="http://schemas.openxmlformats.org/officeDocument/2006/relationships/hyperlink" Target="https://africanmarketingconfederation.org/amc-sponsors-2025/" TargetMode="External"/><Relationship Id="rId44" Type="http://schemas.openxmlformats.org/officeDocument/2006/relationships/hyperlink" Target="https://africanmarketingconfederation.org/amc-marketing-conference-2024/amc-speakers-presentations-2024/" TargetMode="External"/><Relationship Id="rId52" Type="http://schemas.openxmlformats.org/officeDocument/2006/relationships/hyperlink" Target="https://africanmarketingconfederation.org/thank-you-for-registering-2024-registrations-kenya/" TargetMode="External"/><Relationship Id="rId60" Type="http://schemas.openxmlformats.org/officeDocument/2006/relationships/hyperlink" Target="https://africanmarketingconfederation.org/thank-you-for-the-submission-2024/" TargetMode="External"/><Relationship Id="rId65" Type="http://schemas.openxmlformats.org/officeDocument/2006/relationships/hyperlink" Target="https://africanmarketingconfederation.org/amc-conference-2023/partners/" TargetMode="External"/><Relationship Id="rId73" Type="http://schemas.openxmlformats.org/officeDocument/2006/relationships/hyperlink" Target="https://africanmarketingconfederation.org/upcoming-events/" TargetMode="External"/><Relationship Id="rId78" Type="http://schemas.openxmlformats.org/officeDocument/2006/relationships/hyperlink" Target="https://africanmarketingconfederation.org/amc-masterclass-bookings/" TargetMode="External"/><Relationship Id="rId81" Type="http://schemas.openxmlformats.org/officeDocument/2006/relationships/hyperlink" Target="https://africanmarketingconfederation.org/test-homeslider/" TargetMode="External"/><Relationship Id="rId4" Type="http://schemas.openxmlformats.org/officeDocument/2006/relationships/hyperlink" Target="https://africanmarketingconfederation.org/launch-event-2026-amc-conference/" TargetMode="External"/><Relationship Id="rId9" Type="http://schemas.openxmlformats.org/officeDocument/2006/relationships/hyperlink" Target="https://africanmarketingconfederation.org/awards-2026/" TargetMode="External"/><Relationship Id="rId13" Type="http://schemas.openxmlformats.org/officeDocument/2006/relationships/hyperlink" Target="https://africanmarketingconfederation.org/members/" TargetMode="External"/><Relationship Id="rId18" Type="http://schemas.openxmlformats.org/officeDocument/2006/relationships/hyperlink" Target="https://africanmarketingconfederation.org/speakers-2025/" TargetMode="External"/><Relationship Id="rId39" Type="http://schemas.openxmlformats.org/officeDocument/2006/relationships/hyperlink" Target="https://africanmarketingconfederation.org/amc-forum-payments/" TargetMode="External"/><Relationship Id="rId34" Type="http://schemas.openxmlformats.org/officeDocument/2006/relationships/hyperlink" Target="https://africanmarketingconfederation.org/checkout/" TargetMode="External"/><Relationship Id="rId50" Type="http://schemas.openxmlformats.org/officeDocument/2006/relationships/hyperlink" Target="https://africanmarketingconfederation.org/thank-you-for-registering-2024-registrations/" TargetMode="External"/><Relationship Id="rId55"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mc-masterclass/" TargetMode="External"/><Relationship Id="rId7" Type="http://schemas.openxmlformats.org/officeDocument/2006/relationships/hyperlink" Target="https://africanmarketingconfederation.org/chartered-marketer-africa/" TargetMode="External"/><Relationship Id="rId71"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mc-marketing-conference-2024/amc-programme-2025/" TargetMode="External"/><Relationship Id="rId24" Type="http://schemas.openxmlformats.org/officeDocument/2006/relationships/hyperlink" Target="https://africanmarketingconfederation.org/amc-conference-2022/" TargetMode="External"/><Relationship Id="rId40" Type="http://schemas.openxmlformats.org/officeDocument/2006/relationships/hyperlink" Target="https://africanmarketingconfederation.org/amc-conference-2023/" TargetMode="External"/><Relationship Id="rId45" Type="http://schemas.openxmlformats.org/officeDocument/2006/relationships/hyperlink" Target="https://africanmarketingconfederation.org/amc-marketing-conference-2024/testimony-thank-you-page/" TargetMode="External"/><Relationship Id="rId66" Type="http://schemas.openxmlformats.org/officeDocument/2006/relationships/hyperlink" Target="https://africanmarketingconfederation.org/amc-conference-2023/speakers/" TargetMode="External"/><Relationship Id="rId61" Type="http://schemas.openxmlformats.org/officeDocument/2006/relationships/hyperlink" Target="https://africanmarketingconfederation.org/elementor-16548/" TargetMode="External"/><Relationship Id="rId82" Type="http://schemas.openxmlformats.org/officeDocument/2006/relationships/hyperlink" Target="https://africanmarketingconfederation.org/general-enquiry-form-thank-you/"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africanmarketingconfederation.org/conference-registrations-2024/" TargetMode="External"/><Relationship Id="rId21"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mc-forum-mombasa/"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amc-conference-2023/amc-awards/"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speakers/" TargetMode="External"/><Relationship Id="rId16" Type="http://schemas.openxmlformats.org/officeDocument/2006/relationships/hyperlink" Target="https://africanmarketingconfederation.org/awards-2026-1/" TargetMode="External"/><Relationship Id="rId11" Type="http://schemas.openxmlformats.org/officeDocument/2006/relationships/hyperlink" Target="https://africanmarketingconfederation.org/news-articles/" TargetMode="External"/><Relationship Id="rId32" Type="http://schemas.openxmlformats.org/officeDocument/2006/relationships/hyperlink" Target="https://africanmarketingconfederation.org/amc-conference-2022-prospectus/" TargetMode="External"/><Relationship Id="rId37" Type="http://schemas.openxmlformats.org/officeDocument/2006/relationships/hyperlink" Target="https://africanmarketingconfederation.org/amc-marketing-conference-2024/amc-conference-2025-ghana-sponsors/" TargetMode="External"/><Relationship Id="rId53" Type="http://schemas.openxmlformats.org/officeDocument/2006/relationships/hyperlink" Target="https://africanmarketingconfederation.org/subscribe/" TargetMode="External"/><Relationship Id="rId58" Type="http://schemas.openxmlformats.org/officeDocument/2006/relationships/hyperlink" Target="https://africanmarketingconfederation.org/thank-you-for-the-nomination-2024/" TargetMode="External"/><Relationship Id="rId74" Type="http://schemas.openxmlformats.org/officeDocument/2006/relationships/hyperlink" Target="https://africanmarketingconfederation.org/thank-you-for-subscribing/" TargetMode="External"/><Relationship Id="rId79" Type="http://schemas.openxmlformats.org/officeDocument/2006/relationships/hyperlink" Target="https://africanmarketingconfederation.org/amc-conference-programme/" TargetMode="External"/><Relationship Id="rId5" Type="http://schemas.openxmlformats.org/officeDocument/2006/relationships/hyperlink" Target="https://africanmarketingconfederation.org/amc-conference-2026/" TargetMode="External"/><Relationship Id="rId19" Type="http://schemas.openxmlformats.org/officeDocument/2006/relationships/hyperlink" Target="https://africanmarketingconfederation.org/amc-conference-2026-awards-nominations-thank-you/" TargetMode="External"/><Relationship Id="rId14" Type="http://schemas.openxmlformats.org/officeDocument/2006/relationships/hyperlink" Target="https://africanmarketingconfederation.org/sub-committees/" TargetMode="External"/><Relationship Id="rId22" Type="http://schemas.openxmlformats.org/officeDocument/2006/relationships/hyperlink" Target="https://africanmarketingconfederation.org/amc-marketing-conference-2024/awards-2025/" TargetMode="External"/><Relationship Id="rId27" Type="http://schemas.openxmlformats.org/officeDocument/2006/relationships/hyperlink" Target="https://africanmarketingconfederation.org/elementor-31820/" TargetMode="External"/><Relationship Id="rId30" Type="http://schemas.openxmlformats.org/officeDocument/2006/relationships/hyperlink" Target="https://africanmarketingconfederation.org/amc-conference-2025/"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rketing-conference-2024/" TargetMode="External"/><Relationship Id="rId48" Type="http://schemas.openxmlformats.org/officeDocument/2006/relationships/hyperlink" Target="https://africanmarketingconfederation.org/amc-conference-sponsors/" TargetMode="External"/><Relationship Id="rId56" Type="http://schemas.openxmlformats.org/officeDocument/2006/relationships/hyperlink" Target="https://africanmarketingconfederation.org/chartered-marketer-africa-final-submission-fee/" TargetMode="External"/><Relationship Id="rId64" Type="http://schemas.openxmlformats.org/officeDocument/2006/relationships/hyperlink" Target="https://africanmarketingconfederation.org/amc-conference-2023/programme/" TargetMode="External"/><Relationship Id="rId69" Type="http://schemas.openxmlformats.org/officeDocument/2006/relationships/hyperlink" Target="https://africanmarketingconfederation.org/amc-conference-2023/book-now/" TargetMode="External"/><Relationship Id="rId77" Type="http://schemas.openxmlformats.org/officeDocument/2006/relationships/hyperlink" Target="https://africanmarketingconfederation.org/amc-masterclass-thank-you/" TargetMode="External"/><Relationship Id="rId8" Type="http://schemas.openxmlformats.org/officeDocument/2006/relationships/hyperlink" Target="https://africanmarketingconfederation.org/education/" TargetMode="External"/><Relationship Id="rId51" Type="http://schemas.openxmlformats.org/officeDocument/2006/relationships/hyperlink" Target="https://africanmarketingconfederation.org/download-prospectus-2024/" TargetMode="External"/><Relationship Id="rId72" Type="http://schemas.openxmlformats.org/officeDocument/2006/relationships/hyperlink" Target="https://africanmarketingconfederation.org/amc-conference-thank-you/" TargetMode="External"/><Relationship Id="rId80" Type="http://schemas.openxmlformats.org/officeDocument/2006/relationships/hyperlink" Target="https://africanmarketingconfederation.org/virtual-programme/" TargetMode="External"/><Relationship Id="rId85" Type="http://schemas.openxmlformats.org/officeDocument/2006/relationships/hyperlink" Target="https://africanmarketingconfederation.org/privacy-policy/" TargetMode="External"/><Relationship Id="rId3" Type="http://schemas.openxmlformats.org/officeDocument/2006/relationships/hyperlink" Target="https://africanmarketingconfederation.org/publication-download-list/" TargetMode="External"/><Relationship Id="rId12" Type="http://schemas.openxmlformats.org/officeDocument/2006/relationships/hyperlink" Target="https://africanmarketingconfederation.org/african-marketing-confederation-tourism-chapter/" TargetMode="External"/><Relationship Id="rId17" Type="http://schemas.openxmlformats.org/officeDocument/2006/relationships/hyperlink" Target="https://africanmarketingconfederation.org/awards-2026-test/" TargetMode="External"/><Relationship Id="rId25" Type="http://schemas.openxmlformats.org/officeDocument/2006/relationships/hyperlink" Target="https://africanmarketingconfederation.org/amc-conference-2023/gallery/" TargetMode="External"/><Relationship Id="rId33" Type="http://schemas.openxmlformats.org/officeDocument/2006/relationships/hyperlink" Target="https://africanmarketingconfederation.org/test-payment-gate/" TargetMode="External"/><Relationship Id="rId38" Type="http://schemas.openxmlformats.org/officeDocument/2006/relationships/hyperlink" Target="https://africanmarketingconfederation.org/amc-marketing-conference-2024/amc-launch-event-2025/" TargetMode="External"/><Relationship Id="rId46" Type="http://schemas.openxmlformats.org/officeDocument/2006/relationships/hyperlink" Target="https://africanmarketingconfederation.org/amc-sign-up-now-form-2025/" TargetMode="External"/><Relationship Id="rId59" Type="http://schemas.openxmlformats.org/officeDocument/2006/relationships/hyperlink" Target="https://africanmarketingconfederation.org/amc-conference-2024-sponsors-packages/" TargetMode="External"/><Relationship Id="rId67" Type="http://schemas.openxmlformats.org/officeDocument/2006/relationships/hyperlink" Target="https://africanmarketingconfederation.org/chartered-marketer-africa-thank-you/" TargetMode="External"/><Relationship Id="rId20" Type="http://schemas.openxmlformats.org/officeDocument/2006/relationships/hyperlink" Target="https://africanmarketingconfederation.org/amc-conference-2026-zambia-thank-you/" TargetMode="External"/><Relationship Id="rId41"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elementor-20341/" TargetMode="External"/><Relationship Id="rId62" Type="http://schemas.openxmlformats.org/officeDocument/2006/relationships/hyperlink" Target="https://africanmarketingconfederation.org/amc-marketing-conference-2024/programme-2024/" TargetMode="External"/><Relationship Id="rId70" Type="http://schemas.openxmlformats.org/officeDocument/2006/relationships/hyperlink" Target="https://africanmarketingconfederation.org/amc-conference-2023/download-prospectus/" TargetMode="External"/><Relationship Id="rId75" Type="http://schemas.openxmlformats.org/officeDocument/2006/relationships/hyperlink" Target="https://africanmarketingconfederation.org/amc-relaunch-programme/" TargetMode="External"/><Relationship Id="rId83" Type="http://schemas.openxmlformats.org/officeDocument/2006/relationships/hyperlink" Target="https://africanmarketingconfederation.org/amc-conference-2022-thank-you/"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15"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2024-recap/" TargetMode="External"/><Relationship Id="rId36" Type="http://schemas.openxmlformats.org/officeDocument/2006/relationships/hyperlink" Target="https://africanmarketingconfederation.org/conference-faq-2025/" TargetMode="External"/><Relationship Id="rId49" Type="http://schemas.openxmlformats.org/officeDocument/2006/relationships/hyperlink" Target="https://africanmarketingconfederation.org/amc-marketing-conference-2024/speakers-2024/" TargetMode="External"/><Relationship Id="rId57" Type="http://schemas.openxmlformats.org/officeDocument/2006/relationships/hyperlink" Target="https://africanmarketingconfederation.org/download-brochure/" TargetMode="External"/><Relationship Id="rId10" Type="http://schemas.openxmlformats.org/officeDocument/2006/relationships/hyperlink" Target="https://africanmarketingconfederation.org/contact-us/" TargetMode="External"/><Relationship Id="rId31" Type="http://schemas.openxmlformats.org/officeDocument/2006/relationships/hyperlink" Target="https://africanmarketingconfederation.org/amc-sponsors-2025/" TargetMode="External"/><Relationship Id="rId44" Type="http://schemas.openxmlformats.org/officeDocument/2006/relationships/hyperlink" Target="https://africanmarketingconfederation.org/amc-marketing-conference-2024/amc-speakers-presentations-2024/" TargetMode="External"/><Relationship Id="rId52" Type="http://schemas.openxmlformats.org/officeDocument/2006/relationships/hyperlink" Target="https://africanmarketingconfederation.org/thank-you-for-registering-2024-registrations-kenya/" TargetMode="External"/><Relationship Id="rId60" Type="http://schemas.openxmlformats.org/officeDocument/2006/relationships/hyperlink" Target="https://africanmarketingconfederation.org/thank-you-for-the-submission-2024/" TargetMode="External"/><Relationship Id="rId65" Type="http://schemas.openxmlformats.org/officeDocument/2006/relationships/hyperlink" Target="https://africanmarketingconfederation.org/amc-conference-2023/partners/" TargetMode="External"/><Relationship Id="rId73" Type="http://schemas.openxmlformats.org/officeDocument/2006/relationships/hyperlink" Target="https://africanmarketingconfederation.org/upcoming-events/" TargetMode="External"/><Relationship Id="rId78" Type="http://schemas.openxmlformats.org/officeDocument/2006/relationships/hyperlink" Target="https://africanmarketingconfederation.org/amc-masterclass-bookings/" TargetMode="External"/><Relationship Id="rId81" Type="http://schemas.openxmlformats.org/officeDocument/2006/relationships/hyperlink" Target="https://africanmarketingconfederation.org/test-homeslider/" TargetMode="External"/><Relationship Id="rId4" Type="http://schemas.openxmlformats.org/officeDocument/2006/relationships/hyperlink" Target="https://africanmarketingconfederation.org/launch-event-2026-amc-conference/" TargetMode="External"/><Relationship Id="rId9" Type="http://schemas.openxmlformats.org/officeDocument/2006/relationships/hyperlink" Target="https://africanmarketingconfederation.org/awards-2026/" TargetMode="External"/><Relationship Id="rId13" Type="http://schemas.openxmlformats.org/officeDocument/2006/relationships/hyperlink" Target="https://africanmarketingconfederation.org/members/" TargetMode="External"/><Relationship Id="rId18" Type="http://schemas.openxmlformats.org/officeDocument/2006/relationships/hyperlink" Target="https://africanmarketingconfederation.org/speakers-2025/" TargetMode="External"/><Relationship Id="rId39" Type="http://schemas.openxmlformats.org/officeDocument/2006/relationships/hyperlink" Target="https://africanmarketingconfederation.org/amc-forum-payments/" TargetMode="External"/><Relationship Id="rId34" Type="http://schemas.openxmlformats.org/officeDocument/2006/relationships/hyperlink" Target="https://africanmarketingconfederation.org/checkout/" TargetMode="External"/><Relationship Id="rId50" Type="http://schemas.openxmlformats.org/officeDocument/2006/relationships/hyperlink" Target="https://africanmarketingconfederation.org/thank-you-for-registering-2024-registrations/" TargetMode="External"/><Relationship Id="rId55"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mc-masterclass/" TargetMode="External"/><Relationship Id="rId7" Type="http://schemas.openxmlformats.org/officeDocument/2006/relationships/hyperlink" Target="https://africanmarketingconfederation.org/chartered-marketer-africa/" TargetMode="External"/><Relationship Id="rId71"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mc-marketing-conference-2024/amc-programme-2025/" TargetMode="External"/><Relationship Id="rId24" Type="http://schemas.openxmlformats.org/officeDocument/2006/relationships/hyperlink" Target="https://africanmarketingconfederation.org/amc-conference-2022/" TargetMode="External"/><Relationship Id="rId40" Type="http://schemas.openxmlformats.org/officeDocument/2006/relationships/hyperlink" Target="https://africanmarketingconfederation.org/amc-conference-2023/" TargetMode="External"/><Relationship Id="rId45" Type="http://schemas.openxmlformats.org/officeDocument/2006/relationships/hyperlink" Target="https://africanmarketingconfederation.org/amc-marketing-conference-2024/testimony-thank-you-page/" TargetMode="External"/><Relationship Id="rId66" Type="http://schemas.openxmlformats.org/officeDocument/2006/relationships/hyperlink" Target="https://africanmarketingconfederation.org/amc-conference-2023/speakers/" TargetMode="External"/><Relationship Id="rId61" Type="http://schemas.openxmlformats.org/officeDocument/2006/relationships/hyperlink" Target="https://africanmarketingconfederation.org/elementor-16548/" TargetMode="External"/><Relationship Id="rId82" Type="http://schemas.openxmlformats.org/officeDocument/2006/relationships/hyperlink" Target="https://africanmarketingconfederation.org/general-enquiry-form-thank-you/"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africanmarketingconfederation.org/conference-registrations-2024/" TargetMode="External"/><Relationship Id="rId21"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mc-forum-mombasa/"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amc-conference-2023/amc-awards/"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speakers/" TargetMode="External"/><Relationship Id="rId16" Type="http://schemas.openxmlformats.org/officeDocument/2006/relationships/hyperlink" Target="https://africanmarketingconfederation.org/awards-2026-1/" TargetMode="External"/><Relationship Id="rId11" Type="http://schemas.openxmlformats.org/officeDocument/2006/relationships/hyperlink" Target="https://africanmarketingconfederation.org/news-articles/" TargetMode="External"/><Relationship Id="rId32" Type="http://schemas.openxmlformats.org/officeDocument/2006/relationships/hyperlink" Target="https://africanmarketingconfederation.org/amc-conference-2022-prospectus/" TargetMode="External"/><Relationship Id="rId37" Type="http://schemas.openxmlformats.org/officeDocument/2006/relationships/hyperlink" Target="https://africanmarketingconfederation.org/amc-marketing-conference-2024/amc-conference-2025-ghana-sponsors/" TargetMode="External"/><Relationship Id="rId53" Type="http://schemas.openxmlformats.org/officeDocument/2006/relationships/hyperlink" Target="https://africanmarketingconfederation.org/subscribe/" TargetMode="External"/><Relationship Id="rId58" Type="http://schemas.openxmlformats.org/officeDocument/2006/relationships/hyperlink" Target="https://africanmarketingconfederation.org/thank-you-for-the-nomination-2024/" TargetMode="External"/><Relationship Id="rId74" Type="http://schemas.openxmlformats.org/officeDocument/2006/relationships/hyperlink" Target="https://africanmarketingconfederation.org/thank-you-for-subscribing/" TargetMode="External"/><Relationship Id="rId79" Type="http://schemas.openxmlformats.org/officeDocument/2006/relationships/hyperlink" Target="https://africanmarketingconfederation.org/amc-conference-programme/" TargetMode="External"/><Relationship Id="rId5" Type="http://schemas.openxmlformats.org/officeDocument/2006/relationships/hyperlink" Target="https://africanmarketingconfederation.org/amc-conference-2026/" TargetMode="External"/><Relationship Id="rId19" Type="http://schemas.openxmlformats.org/officeDocument/2006/relationships/hyperlink" Target="https://africanmarketingconfederation.org/amc-conference-2026-awards-nominations-thank-you/" TargetMode="External"/><Relationship Id="rId14" Type="http://schemas.openxmlformats.org/officeDocument/2006/relationships/hyperlink" Target="https://africanmarketingconfederation.org/sub-committees/" TargetMode="External"/><Relationship Id="rId22" Type="http://schemas.openxmlformats.org/officeDocument/2006/relationships/hyperlink" Target="https://africanmarketingconfederation.org/amc-marketing-conference-2024/awards-2025/" TargetMode="External"/><Relationship Id="rId27" Type="http://schemas.openxmlformats.org/officeDocument/2006/relationships/hyperlink" Target="https://africanmarketingconfederation.org/elementor-31820/" TargetMode="External"/><Relationship Id="rId30" Type="http://schemas.openxmlformats.org/officeDocument/2006/relationships/hyperlink" Target="https://africanmarketingconfederation.org/amc-conference-2025/"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rketing-conference-2024/" TargetMode="External"/><Relationship Id="rId48" Type="http://schemas.openxmlformats.org/officeDocument/2006/relationships/hyperlink" Target="https://africanmarketingconfederation.org/amc-conference-sponsors/" TargetMode="External"/><Relationship Id="rId56" Type="http://schemas.openxmlformats.org/officeDocument/2006/relationships/hyperlink" Target="https://africanmarketingconfederation.org/chartered-marketer-africa-final-submission-fee/" TargetMode="External"/><Relationship Id="rId64" Type="http://schemas.openxmlformats.org/officeDocument/2006/relationships/hyperlink" Target="https://africanmarketingconfederation.org/amc-conference-2023/programme/" TargetMode="External"/><Relationship Id="rId69" Type="http://schemas.openxmlformats.org/officeDocument/2006/relationships/hyperlink" Target="https://africanmarketingconfederation.org/amc-conference-2023/book-now/" TargetMode="External"/><Relationship Id="rId77" Type="http://schemas.openxmlformats.org/officeDocument/2006/relationships/hyperlink" Target="https://africanmarketingconfederation.org/amc-masterclass-thank-you/" TargetMode="External"/><Relationship Id="rId8" Type="http://schemas.openxmlformats.org/officeDocument/2006/relationships/hyperlink" Target="https://africanmarketingconfederation.org/education/" TargetMode="External"/><Relationship Id="rId51" Type="http://schemas.openxmlformats.org/officeDocument/2006/relationships/hyperlink" Target="https://africanmarketingconfederation.org/download-prospectus-2024/" TargetMode="External"/><Relationship Id="rId72" Type="http://schemas.openxmlformats.org/officeDocument/2006/relationships/hyperlink" Target="https://africanmarketingconfederation.org/amc-conference-thank-you/" TargetMode="External"/><Relationship Id="rId80" Type="http://schemas.openxmlformats.org/officeDocument/2006/relationships/hyperlink" Target="https://africanmarketingconfederation.org/virtual-programme/" TargetMode="External"/><Relationship Id="rId85" Type="http://schemas.openxmlformats.org/officeDocument/2006/relationships/hyperlink" Target="https://africanmarketingconfederation.org/privacy-policy/" TargetMode="External"/><Relationship Id="rId3" Type="http://schemas.openxmlformats.org/officeDocument/2006/relationships/hyperlink" Target="https://africanmarketingconfederation.org/publication-download-list/" TargetMode="External"/><Relationship Id="rId12" Type="http://schemas.openxmlformats.org/officeDocument/2006/relationships/hyperlink" Target="https://africanmarketingconfederation.org/african-marketing-confederation-tourism-chapter/" TargetMode="External"/><Relationship Id="rId17" Type="http://schemas.openxmlformats.org/officeDocument/2006/relationships/hyperlink" Target="https://africanmarketingconfederation.org/awards-2026-test/" TargetMode="External"/><Relationship Id="rId25" Type="http://schemas.openxmlformats.org/officeDocument/2006/relationships/hyperlink" Target="https://africanmarketingconfederation.org/amc-conference-2023/gallery/" TargetMode="External"/><Relationship Id="rId33" Type="http://schemas.openxmlformats.org/officeDocument/2006/relationships/hyperlink" Target="https://africanmarketingconfederation.org/test-payment-gate/" TargetMode="External"/><Relationship Id="rId38" Type="http://schemas.openxmlformats.org/officeDocument/2006/relationships/hyperlink" Target="https://africanmarketingconfederation.org/amc-marketing-conference-2024/amc-launch-event-2025/" TargetMode="External"/><Relationship Id="rId46" Type="http://schemas.openxmlformats.org/officeDocument/2006/relationships/hyperlink" Target="https://africanmarketingconfederation.org/amc-sign-up-now-form-2025/" TargetMode="External"/><Relationship Id="rId59" Type="http://schemas.openxmlformats.org/officeDocument/2006/relationships/hyperlink" Target="https://africanmarketingconfederation.org/amc-conference-2024-sponsors-packages/" TargetMode="External"/><Relationship Id="rId67" Type="http://schemas.openxmlformats.org/officeDocument/2006/relationships/hyperlink" Target="https://africanmarketingconfederation.org/chartered-marketer-africa-thank-you/" TargetMode="External"/><Relationship Id="rId20" Type="http://schemas.openxmlformats.org/officeDocument/2006/relationships/hyperlink" Target="https://africanmarketingconfederation.org/amc-conference-2026-zambia-thank-you/" TargetMode="External"/><Relationship Id="rId41"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elementor-20341/" TargetMode="External"/><Relationship Id="rId62" Type="http://schemas.openxmlformats.org/officeDocument/2006/relationships/hyperlink" Target="https://africanmarketingconfederation.org/amc-marketing-conference-2024/programme-2024/" TargetMode="External"/><Relationship Id="rId70" Type="http://schemas.openxmlformats.org/officeDocument/2006/relationships/hyperlink" Target="https://africanmarketingconfederation.org/amc-conference-2023/download-prospectus/" TargetMode="External"/><Relationship Id="rId75" Type="http://schemas.openxmlformats.org/officeDocument/2006/relationships/hyperlink" Target="https://africanmarketingconfederation.org/amc-relaunch-programme/" TargetMode="External"/><Relationship Id="rId83" Type="http://schemas.openxmlformats.org/officeDocument/2006/relationships/hyperlink" Target="https://africanmarketingconfederation.org/amc-conference-2022-thank-you/"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15"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2024-recap/" TargetMode="External"/><Relationship Id="rId36" Type="http://schemas.openxmlformats.org/officeDocument/2006/relationships/hyperlink" Target="https://africanmarketingconfederation.org/conference-faq-2025/" TargetMode="External"/><Relationship Id="rId49" Type="http://schemas.openxmlformats.org/officeDocument/2006/relationships/hyperlink" Target="https://africanmarketingconfederation.org/amc-marketing-conference-2024/speakers-2024/" TargetMode="External"/><Relationship Id="rId57" Type="http://schemas.openxmlformats.org/officeDocument/2006/relationships/hyperlink" Target="https://africanmarketingconfederation.org/download-brochure/" TargetMode="External"/><Relationship Id="rId10" Type="http://schemas.openxmlformats.org/officeDocument/2006/relationships/hyperlink" Target="https://africanmarketingconfederation.org/contact-us/" TargetMode="External"/><Relationship Id="rId31" Type="http://schemas.openxmlformats.org/officeDocument/2006/relationships/hyperlink" Target="https://africanmarketingconfederation.org/amc-sponsors-2025/" TargetMode="External"/><Relationship Id="rId44" Type="http://schemas.openxmlformats.org/officeDocument/2006/relationships/hyperlink" Target="https://africanmarketingconfederation.org/amc-marketing-conference-2024/amc-speakers-presentations-2024/" TargetMode="External"/><Relationship Id="rId52" Type="http://schemas.openxmlformats.org/officeDocument/2006/relationships/hyperlink" Target="https://africanmarketingconfederation.org/thank-you-for-registering-2024-registrations-kenya/" TargetMode="External"/><Relationship Id="rId60" Type="http://schemas.openxmlformats.org/officeDocument/2006/relationships/hyperlink" Target="https://africanmarketingconfederation.org/thank-you-for-the-submission-2024/" TargetMode="External"/><Relationship Id="rId65" Type="http://schemas.openxmlformats.org/officeDocument/2006/relationships/hyperlink" Target="https://africanmarketingconfederation.org/amc-conference-2023/partners/" TargetMode="External"/><Relationship Id="rId73" Type="http://schemas.openxmlformats.org/officeDocument/2006/relationships/hyperlink" Target="https://africanmarketingconfederation.org/upcoming-events/" TargetMode="External"/><Relationship Id="rId78" Type="http://schemas.openxmlformats.org/officeDocument/2006/relationships/hyperlink" Target="https://africanmarketingconfederation.org/amc-masterclass-bookings/" TargetMode="External"/><Relationship Id="rId81" Type="http://schemas.openxmlformats.org/officeDocument/2006/relationships/hyperlink" Target="https://africanmarketingconfederation.org/test-homeslider/" TargetMode="External"/><Relationship Id="rId4" Type="http://schemas.openxmlformats.org/officeDocument/2006/relationships/hyperlink" Target="https://africanmarketingconfederation.org/launch-event-2026-amc-conference/" TargetMode="External"/><Relationship Id="rId9" Type="http://schemas.openxmlformats.org/officeDocument/2006/relationships/hyperlink" Target="https://africanmarketingconfederation.org/awards-2026/" TargetMode="External"/><Relationship Id="rId13" Type="http://schemas.openxmlformats.org/officeDocument/2006/relationships/hyperlink" Target="https://africanmarketingconfederation.org/members/" TargetMode="External"/><Relationship Id="rId18" Type="http://schemas.openxmlformats.org/officeDocument/2006/relationships/hyperlink" Target="https://africanmarketingconfederation.org/speakers-2025/" TargetMode="External"/><Relationship Id="rId39" Type="http://schemas.openxmlformats.org/officeDocument/2006/relationships/hyperlink" Target="https://africanmarketingconfederation.org/amc-forum-payments/" TargetMode="External"/><Relationship Id="rId34" Type="http://schemas.openxmlformats.org/officeDocument/2006/relationships/hyperlink" Target="https://africanmarketingconfederation.org/checkout/" TargetMode="External"/><Relationship Id="rId50" Type="http://schemas.openxmlformats.org/officeDocument/2006/relationships/hyperlink" Target="https://africanmarketingconfederation.org/thank-you-for-registering-2024-registrations/" TargetMode="External"/><Relationship Id="rId55"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mc-masterclass/" TargetMode="External"/><Relationship Id="rId7" Type="http://schemas.openxmlformats.org/officeDocument/2006/relationships/hyperlink" Target="https://africanmarketingconfederation.org/chartered-marketer-africa/" TargetMode="External"/><Relationship Id="rId71"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mc-marketing-conference-2024/amc-programme-2025/" TargetMode="External"/><Relationship Id="rId24" Type="http://schemas.openxmlformats.org/officeDocument/2006/relationships/hyperlink" Target="https://africanmarketingconfederation.org/amc-conference-2022/" TargetMode="External"/><Relationship Id="rId40" Type="http://schemas.openxmlformats.org/officeDocument/2006/relationships/hyperlink" Target="https://africanmarketingconfederation.org/amc-conference-2023/" TargetMode="External"/><Relationship Id="rId45" Type="http://schemas.openxmlformats.org/officeDocument/2006/relationships/hyperlink" Target="https://africanmarketingconfederation.org/amc-marketing-conference-2024/testimony-thank-you-page/" TargetMode="External"/><Relationship Id="rId66" Type="http://schemas.openxmlformats.org/officeDocument/2006/relationships/hyperlink" Target="https://africanmarketingconfederation.org/amc-conference-2023/speakers/" TargetMode="External"/><Relationship Id="rId61" Type="http://schemas.openxmlformats.org/officeDocument/2006/relationships/hyperlink" Target="https://africanmarketingconfederation.org/elementor-16548/" TargetMode="External"/><Relationship Id="rId82" Type="http://schemas.openxmlformats.org/officeDocument/2006/relationships/hyperlink" Target="https://africanmarketingconfederation.org/general-enquiry-form-thank-you/"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africanmarketingconfederation.org/conference-registrations-2024/" TargetMode="External"/><Relationship Id="rId21"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mc-forum-mombasa/"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amc-conference-2023/amc-awards/"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speakers/" TargetMode="External"/><Relationship Id="rId16" Type="http://schemas.openxmlformats.org/officeDocument/2006/relationships/hyperlink" Target="https://africanmarketingconfederation.org/awards-2026-1/" TargetMode="External"/><Relationship Id="rId11" Type="http://schemas.openxmlformats.org/officeDocument/2006/relationships/hyperlink" Target="https://africanmarketingconfederation.org/news-articles/" TargetMode="External"/><Relationship Id="rId32" Type="http://schemas.openxmlformats.org/officeDocument/2006/relationships/hyperlink" Target="https://africanmarketingconfederation.org/amc-conference-2022-prospectus/" TargetMode="External"/><Relationship Id="rId37" Type="http://schemas.openxmlformats.org/officeDocument/2006/relationships/hyperlink" Target="https://africanmarketingconfederation.org/amc-marketing-conference-2024/amc-conference-2025-ghana-sponsors/" TargetMode="External"/><Relationship Id="rId53" Type="http://schemas.openxmlformats.org/officeDocument/2006/relationships/hyperlink" Target="https://africanmarketingconfederation.org/subscribe/" TargetMode="External"/><Relationship Id="rId58" Type="http://schemas.openxmlformats.org/officeDocument/2006/relationships/hyperlink" Target="https://africanmarketingconfederation.org/thank-you-for-the-nomination-2024/" TargetMode="External"/><Relationship Id="rId74" Type="http://schemas.openxmlformats.org/officeDocument/2006/relationships/hyperlink" Target="https://africanmarketingconfederation.org/thank-you-for-subscribing/" TargetMode="External"/><Relationship Id="rId79" Type="http://schemas.openxmlformats.org/officeDocument/2006/relationships/hyperlink" Target="https://africanmarketingconfederation.org/amc-conference-programme/" TargetMode="External"/><Relationship Id="rId5" Type="http://schemas.openxmlformats.org/officeDocument/2006/relationships/hyperlink" Target="https://africanmarketingconfederation.org/amc-conference-2026/" TargetMode="External"/><Relationship Id="rId19" Type="http://schemas.openxmlformats.org/officeDocument/2006/relationships/hyperlink" Target="https://africanmarketingconfederation.org/amc-conference-2026-awards-nominations-thank-you/" TargetMode="External"/><Relationship Id="rId14" Type="http://schemas.openxmlformats.org/officeDocument/2006/relationships/hyperlink" Target="https://africanmarketingconfederation.org/sub-committees/" TargetMode="External"/><Relationship Id="rId22" Type="http://schemas.openxmlformats.org/officeDocument/2006/relationships/hyperlink" Target="https://africanmarketingconfederation.org/amc-marketing-conference-2024/awards-2025/" TargetMode="External"/><Relationship Id="rId27" Type="http://schemas.openxmlformats.org/officeDocument/2006/relationships/hyperlink" Target="https://africanmarketingconfederation.org/elementor-31820/" TargetMode="External"/><Relationship Id="rId30" Type="http://schemas.openxmlformats.org/officeDocument/2006/relationships/hyperlink" Target="https://africanmarketingconfederation.org/amc-conference-2025/"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rketing-conference-2024/" TargetMode="External"/><Relationship Id="rId48" Type="http://schemas.openxmlformats.org/officeDocument/2006/relationships/hyperlink" Target="https://africanmarketingconfederation.org/amc-conference-sponsors/" TargetMode="External"/><Relationship Id="rId56" Type="http://schemas.openxmlformats.org/officeDocument/2006/relationships/hyperlink" Target="https://africanmarketingconfederation.org/chartered-marketer-africa-final-submission-fee/" TargetMode="External"/><Relationship Id="rId64" Type="http://schemas.openxmlformats.org/officeDocument/2006/relationships/hyperlink" Target="https://africanmarketingconfederation.org/amc-conference-2023/programme/" TargetMode="External"/><Relationship Id="rId69" Type="http://schemas.openxmlformats.org/officeDocument/2006/relationships/hyperlink" Target="https://africanmarketingconfederation.org/amc-conference-2023/book-now/" TargetMode="External"/><Relationship Id="rId77" Type="http://schemas.openxmlformats.org/officeDocument/2006/relationships/hyperlink" Target="https://africanmarketingconfederation.org/amc-masterclass-thank-you/" TargetMode="External"/><Relationship Id="rId8" Type="http://schemas.openxmlformats.org/officeDocument/2006/relationships/hyperlink" Target="https://africanmarketingconfederation.org/education/" TargetMode="External"/><Relationship Id="rId51" Type="http://schemas.openxmlformats.org/officeDocument/2006/relationships/hyperlink" Target="https://africanmarketingconfederation.org/download-prospectus-2024/" TargetMode="External"/><Relationship Id="rId72" Type="http://schemas.openxmlformats.org/officeDocument/2006/relationships/hyperlink" Target="https://africanmarketingconfederation.org/amc-conference-thank-you/" TargetMode="External"/><Relationship Id="rId80" Type="http://schemas.openxmlformats.org/officeDocument/2006/relationships/hyperlink" Target="https://africanmarketingconfederation.org/virtual-programme/" TargetMode="External"/><Relationship Id="rId85" Type="http://schemas.openxmlformats.org/officeDocument/2006/relationships/hyperlink" Target="https://africanmarketingconfederation.org/privacy-policy/" TargetMode="External"/><Relationship Id="rId3" Type="http://schemas.openxmlformats.org/officeDocument/2006/relationships/hyperlink" Target="https://africanmarketingconfederation.org/publication-download-list/" TargetMode="External"/><Relationship Id="rId12" Type="http://schemas.openxmlformats.org/officeDocument/2006/relationships/hyperlink" Target="https://africanmarketingconfederation.org/african-marketing-confederation-tourism-chapter/" TargetMode="External"/><Relationship Id="rId17" Type="http://schemas.openxmlformats.org/officeDocument/2006/relationships/hyperlink" Target="https://africanmarketingconfederation.org/awards-2026-test/" TargetMode="External"/><Relationship Id="rId25" Type="http://schemas.openxmlformats.org/officeDocument/2006/relationships/hyperlink" Target="https://africanmarketingconfederation.org/amc-conference-2023/gallery/" TargetMode="External"/><Relationship Id="rId33" Type="http://schemas.openxmlformats.org/officeDocument/2006/relationships/hyperlink" Target="https://africanmarketingconfederation.org/test-payment-gate/" TargetMode="External"/><Relationship Id="rId38" Type="http://schemas.openxmlformats.org/officeDocument/2006/relationships/hyperlink" Target="https://africanmarketingconfederation.org/amc-marketing-conference-2024/amc-launch-event-2025/" TargetMode="External"/><Relationship Id="rId46" Type="http://schemas.openxmlformats.org/officeDocument/2006/relationships/hyperlink" Target="https://africanmarketingconfederation.org/amc-sign-up-now-form-2025/" TargetMode="External"/><Relationship Id="rId59" Type="http://schemas.openxmlformats.org/officeDocument/2006/relationships/hyperlink" Target="https://africanmarketingconfederation.org/amc-conference-2024-sponsors-packages/" TargetMode="External"/><Relationship Id="rId67" Type="http://schemas.openxmlformats.org/officeDocument/2006/relationships/hyperlink" Target="https://africanmarketingconfederation.org/chartered-marketer-africa-thank-you/" TargetMode="External"/><Relationship Id="rId20" Type="http://schemas.openxmlformats.org/officeDocument/2006/relationships/hyperlink" Target="https://africanmarketingconfederation.org/amc-conference-2026-zambia-thank-you/" TargetMode="External"/><Relationship Id="rId41"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elementor-20341/" TargetMode="External"/><Relationship Id="rId62" Type="http://schemas.openxmlformats.org/officeDocument/2006/relationships/hyperlink" Target="https://africanmarketingconfederation.org/amc-marketing-conference-2024/programme-2024/" TargetMode="External"/><Relationship Id="rId70" Type="http://schemas.openxmlformats.org/officeDocument/2006/relationships/hyperlink" Target="https://africanmarketingconfederation.org/amc-conference-2023/download-prospectus/" TargetMode="External"/><Relationship Id="rId75" Type="http://schemas.openxmlformats.org/officeDocument/2006/relationships/hyperlink" Target="https://africanmarketingconfederation.org/amc-relaunch-programme/" TargetMode="External"/><Relationship Id="rId83" Type="http://schemas.openxmlformats.org/officeDocument/2006/relationships/hyperlink" Target="https://africanmarketingconfederation.org/amc-conference-2022-thank-you/"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15"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2024-recap/" TargetMode="External"/><Relationship Id="rId36" Type="http://schemas.openxmlformats.org/officeDocument/2006/relationships/hyperlink" Target="https://africanmarketingconfederation.org/conference-faq-2025/" TargetMode="External"/><Relationship Id="rId49" Type="http://schemas.openxmlformats.org/officeDocument/2006/relationships/hyperlink" Target="https://africanmarketingconfederation.org/amc-marketing-conference-2024/speakers-2024/" TargetMode="External"/><Relationship Id="rId57" Type="http://schemas.openxmlformats.org/officeDocument/2006/relationships/hyperlink" Target="https://africanmarketingconfederation.org/download-brochure/" TargetMode="External"/><Relationship Id="rId10" Type="http://schemas.openxmlformats.org/officeDocument/2006/relationships/hyperlink" Target="https://africanmarketingconfederation.org/contact-us/" TargetMode="External"/><Relationship Id="rId31" Type="http://schemas.openxmlformats.org/officeDocument/2006/relationships/hyperlink" Target="https://africanmarketingconfederation.org/amc-sponsors-2025/" TargetMode="External"/><Relationship Id="rId44" Type="http://schemas.openxmlformats.org/officeDocument/2006/relationships/hyperlink" Target="https://africanmarketingconfederation.org/amc-marketing-conference-2024/amc-speakers-presentations-2024/" TargetMode="External"/><Relationship Id="rId52" Type="http://schemas.openxmlformats.org/officeDocument/2006/relationships/hyperlink" Target="https://africanmarketingconfederation.org/thank-you-for-registering-2024-registrations-kenya/" TargetMode="External"/><Relationship Id="rId60" Type="http://schemas.openxmlformats.org/officeDocument/2006/relationships/hyperlink" Target="https://africanmarketingconfederation.org/thank-you-for-the-submission-2024/" TargetMode="External"/><Relationship Id="rId65" Type="http://schemas.openxmlformats.org/officeDocument/2006/relationships/hyperlink" Target="https://africanmarketingconfederation.org/amc-conference-2023/partners/" TargetMode="External"/><Relationship Id="rId73" Type="http://schemas.openxmlformats.org/officeDocument/2006/relationships/hyperlink" Target="https://africanmarketingconfederation.org/upcoming-events/" TargetMode="External"/><Relationship Id="rId78" Type="http://schemas.openxmlformats.org/officeDocument/2006/relationships/hyperlink" Target="https://africanmarketingconfederation.org/amc-masterclass-bookings/" TargetMode="External"/><Relationship Id="rId81" Type="http://schemas.openxmlformats.org/officeDocument/2006/relationships/hyperlink" Target="https://africanmarketingconfederation.org/test-homeslider/" TargetMode="External"/><Relationship Id="rId4" Type="http://schemas.openxmlformats.org/officeDocument/2006/relationships/hyperlink" Target="https://africanmarketingconfederation.org/launch-event-2026-amc-conference/" TargetMode="External"/><Relationship Id="rId9" Type="http://schemas.openxmlformats.org/officeDocument/2006/relationships/hyperlink" Target="https://africanmarketingconfederation.org/awards-2026/" TargetMode="External"/><Relationship Id="rId13" Type="http://schemas.openxmlformats.org/officeDocument/2006/relationships/hyperlink" Target="https://africanmarketingconfederation.org/members/" TargetMode="External"/><Relationship Id="rId18" Type="http://schemas.openxmlformats.org/officeDocument/2006/relationships/hyperlink" Target="https://africanmarketingconfederation.org/speakers-2025/" TargetMode="External"/><Relationship Id="rId39" Type="http://schemas.openxmlformats.org/officeDocument/2006/relationships/hyperlink" Target="https://africanmarketingconfederation.org/amc-forum-payments/" TargetMode="External"/><Relationship Id="rId34" Type="http://schemas.openxmlformats.org/officeDocument/2006/relationships/hyperlink" Target="https://africanmarketingconfederation.org/checkout/" TargetMode="External"/><Relationship Id="rId50" Type="http://schemas.openxmlformats.org/officeDocument/2006/relationships/hyperlink" Target="https://africanmarketingconfederation.org/thank-you-for-registering-2024-registrations/" TargetMode="External"/><Relationship Id="rId55"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mc-masterclass/" TargetMode="External"/><Relationship Id="rId7" Type="http://schemas.openxmlformats.org/officeDocument/2006/relationships/hyperlink" Target="https://africanmarketingconfederation.org/chartered-marketer-africa/" TargetMode="External"/><Relationship Id="rId71"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mc-marketing-conference-2024/amc-programme-2025/" TargetMode="External"/><Relationship Id="rId24" Type="http://schemas.openxmlformats.org/officeDocument/2006/relationships/hyperlink" Target="https://africanmarketingconfederation.org/amc-conference-2022/" TargetMode="External"/><Relationship Id="rId40" Type="http://schemas.openxmlformats.org/officeDocument/2006/relationships/hyperlink" Target="https://africanmarketingconfederation.org/amc-conference-2023/" TargetMode="External"/><Relationship Id="rId45" Type="http://schemas.openxmlformats.org/officeDocument/2006/relationships/hyperlink" Target="https://africanmarketingconfederation.org/amc-marketing-conference-2024/testimony-thank-you-page/" TargetMode="External"/><Relationship Id="rId66" Type="http://schemas.openxmlformats.org/officeDocument/2006/relationships/hyperlink" Target="https://africanmarketingconfederation.org/amc-conference-2023/speakers/" TargetMode="External"/><Relationship Id="rId61" Type="http://schemas.openxmlformats.org/officeDocument/2006/relationships/hyperlink" Target="https://africanmarketingconfederation.org/elementor-16548/" TargetMode="External"/><Relationship Id="rId82" Type="http://schemas.openxmlformats.org/officeDocument/2006/relationships/hyperlink" Target="https://africanmarketingconfederation.org/general-enquiry-form-thank-you/"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africanmarketingconfederation.org/conference-registrations-2024/" TargetMode="External"/><Relationship Id="rId21"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mc-forum-mombasa/"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amc-conference-2023/amc-awards/"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speakers/" TargetMode="External"/><Relationship Id="rId16" Type="http://schemas.openxmlformats.org/officeDocument/2006/relationships/hyperlink" Target="https://africanmarketingconfederation.org/awards-2026-1/" TargetMode="External"/><Relationship Id="rId11" Type="http://schemas.openxmlformats.org/officeDocument/2006/relationships/hyperlink" Target="https://africanmarketingconfederation.org/news-articles/" TargetMode="External"/><Relationship Id="rId32" Type="http://schemas.openxmlformats.org/officeDocument/2006/relationships/hyperlink" Target="https://africanmarketingconfederation.org/amc-conference-2022-prospectus/" TargetMode="External"/><Relationship Id="rId37" Type="http://schemas.openxmlformats.org/officeDocument/2006/relationships/hyperlink" Target="https://africanmarketingconfederation.org/amc-marketing-conference-2024/amc-conference-2025-ghana-sponsors/" TargetMode="External"/><Relationship Id="rId53" Type="http://schemas.openxmlformats.org/officeDocument/2006/relationships/hyperlink" Target="https://africanmarketingconfederation.org/subscribe/" TargetMode="External"/><Relationship Id="rId58" Type="http://schemas.openxmlformats.org/officeDocument/2006/relationships/hyperlink" Target="https://africanmarketingconfederation.org/thank-you-for-the-nomination-2024/" TargetMode="External"/><Relationship Id="rId74" Type="http://schemas.openxmlformats.org/officeDocument/2006/relationships/hyperlink" Target="https://africanmarketingconfederation.org/thank-you-for-subscribing/" TargetMode="External"/><Relationship Id="rId79" Type="http://schemas.openxmlformats.org/officeDocument/2006/relationships/hyperlink" Target="https://africanmarketingconfederation.org/amc-conference-programme/" TargetMode="External"/><Relationship Id="rId5" Type="http://schemas.openxmlformats.org/officeDocument/2006/relationships/hyperlink" Target="https://africanmarketingconfederation.org/amc-conference-2026/" TargetMode="External"/><Relationship Id="rId19" Type="http://schemas.openxmlformats.org/officeDocument/2006/relationships/hyperlink" Target="https://africanmarketingconfederation.org/amc-conference-2026-awards-nominations-thank-you/" TargetMode="External"/><Relationship Id="rId14" Type="http://schemas.openxmlformats.org/officeDocument/2006/relationships/hyperlink" Target="https://africanmarketingconfederation.org/sub-committees/" TargetMode="External"/><Relationship Id="rId22" Type="http://schemas.openxmlformats.org/officeDocument/2006/relationships/hyperlink" Target="https://africanmarketingconfederation.org/amc-marketing-conference-2024/awards-2025/" TargetMode="External"/><Relationship Id="rId27" Type="http://schemas.openxmlformats.org/officeDocument/2006/relationships/hyperlink" Target="https://africanmarketingconfederation.org/elementor-31820/" TargetMode="External"/><Relationship Id="rId30" Type="http://schemas.openxmlformats.org/officeDocument/2006/relationships/hyperlink" Target="https://africanmarketingconfederation.org/amc-conference-2025/"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rketing-conference-2024/" TargetMode="External"/><Relationship Id="rId48" Type="http://schemas.openxmlformats.org/officeDocument/2006/relationships/hyperlink" Target="https://africanmarketingconfederation.org/amc-conference-sponsors/" TargetMode="External"/><Relationship Id="rId56" Type="http://schemas.openxmlformats.org/officeDocument/2006/relationships/hyperlink" Target="https://africanmarketingconfederation.org/chartered-marketer-africa-final-submission-fee/" TargetMode="External"/><Relationship Id="rId64" Type="http://schemas.openxmlformats.org/officeDocument/2006/relationships/hyperlink" Target="https://africanmarketingconfederation.org/amc-conference-2023/programme/" TargetMode="External"/><Relationship Id="rId69" Type="http://schemas.openxmlformats.org/officeDocument/2006/relationships/hyperlink" Target="https://africanmarketingconfederation.org/amc-conference-2023/book-now/" TargetMode="External"/><Relationship Id="rId77" Type="http://schemas.openxmlformats.org/officeDocument/2006/relationships/hyperlink" Target="https://africanmarketingconfederation.org/amc-masterclass-thank-you/" TargetMode="External"/><Relationship Id="rId8" Type="http://schemas.openxmlformats.org/officeDocument/2006/relationships/hyperlink" Target="https://africanmarketingconfederation.org/education/" TargetMode="External"/><Relationship Id="rId51" Type="http://schemas.openxmlformats.org/officeDocument/2006/relationships/hyperlink" Target="https://africanmarketingconfederation.org/download-prospectus-2024/" TargetMode="External"/><Relationship Id="rId72" Type="http://schemas.openxmlformats.org/officeDocument/2006/relationships/hyperlink" Target="https://africanmarketingconfederation.org/amc-conference-thank-you/" TargetMode="External"/><Relationship Id="rId80" Type="http://schemas.openxmlformats.org/officeDocument/2006/relationships/hyperlink" Target="https://africanmarketingconfederation.org/virtual-programme/" TargetMode="External"/><Relationship Id="rId85" Type="http://schemas.openxmlformats.org/officeDocument/2006/relationships/hyperlink" Target="https://africanmarketingconfederation.org/privacy-policy/" TargetMode="External"/><Relationship Id="rId3" Type="http://schemas.openxmlformats.org/officeDocument/2006/relationships/hyperlink" Target="https://africanmarketingconfederation.org/publication-download-list/" TargetMode="External"/><Relationship Id="rId12" Type="http://schemas.openxmlformats.org/officeDocument/2006/relationships/hyperlink" Target="https://africanmarketingconfederation.org/african-marketing-confederation-tourism-chapter/" TargetMode="External"/><Relationship Id="rId17" Type="http://schemas.openxmlformats.org/officeDocument/2006/relationships/hyperlink" Target="https://africanmarketingconfederation.org/awards-2026-test/" TargetMode="External"/><Relationship Id="rId25" Type="http://schemas.openxmlformats.org/officeDocument/2006/relationships/hyperlink" Target="https://africanmarketingconfederation.org/amc-conference-2023/gallery/" TargetMode="External"/><Relationship Id="rId33" Type="http://schemas.openxmlformats.org/officeDocument/2006/relationships/hyperlink" Target="https://africanmarketingconfederation.org/test-payment-gate/" TargetMode="External"/><Relationship Id="rId38" Type="http://schemas.openxmlformats.org/officeDocument/2006/relationships/hyperlink" Target="https://africanmarketingconfederation.org/amc-marketing-conference-2024/amc-launch-event-2025/" TargetMode="External"/><Relationship Id="rId46" Type="http://schemas.openxmlformats.org/officeDocument/2006/relationships/hyperlink" Target="https://africanmarketingconfederation.org/amc-sign-up-now-form-2025/" TargetMode="External"/><Relationship Id="rId59" Type="http://schemas.openxmlformats.org/officeDocument/2006/relationships/hyperlink" Target="https://africanmarketingconfederation.org/amc-conference-2024-sponsors-packages/" TargetMode="External"/><Relationship Id="rId67" Type="http://schemas.openxmlformats.org/officeDocument/2006/relationships/hyperlink" Target="https://africanmarketingconfederation.org/chartered-marketer-africa-thank-you/" TargetMode="External"/><Relationship Id="rId20" Type="http://schemas.openxmlformats.org/officeDocument/2006/relationships/hyperlink" Target="https://africanmarketingconfederation.org/amc-conference-2026-zambia-thank-you/" TargetMode="External"/><Relationship Id="rId41"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elementor-20341/" TargetMode="External"/><Relationship Id="rId62" Type="http://schemas.openxmlformats.org/officeDocument/2006/relationships/hyperlink" Target="https://africanmarketingconfederation.org/amc-marketing-conference-2024/programme-2024/" TargetMode="External"/><Relationship Id="rId70" Type="http://schemas.openxmlformats.org/officeDocument/2006/relationships/hyperlink" Target="https://africanmarketingconfederation.org/amc-conference-2023/download-prospectus/" TargetMode="External"/><Relationship Id="rId75" Type="http://schemas.openxmlformats.org/officeDocument/2006/relationships/hyperlink" Target="https://africanmarketingconfederation.org/amc-relaunch-programme/" TargetMode="External"/><Relationship Id="rId83" Type="http://schemas.openxmlformats.org/officeDocument/2006/relationships/hyperlink" Target="https://africanmarketingconfederation.org/amc-conference-2022-thank-you/"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15"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2024-recap/" TargetMode="External"/><Relationship Id="rId36" Type="http://schemas.openxmlformats.org/officeDocument/2006/relationships/hyperlink" Target="https://africanmarketingconfederation.org/conference-faq-2025/" TargetMode="External"/><Relationship Id="rId49" Type="http://schemas.openxmlformats.org/officeDocument/2006/relationships/hyperlink" Target="https://africanmarketingconfederation.org/amc-marketing-conference-2024/speakers-2024/" TargetMode="External"/><Relationship Id="rId57" Type="http://schemas.openxmlformats.org/officeDocument/2006/relationships/hyperlink" Target="https://africanmarketingconfederation.org/download-brochure/" TargetMode="External"/><Relationship Id="rId10" Type="http://schemas.openxmlformats.org/officeDocument/2006/relationships/hyperlink" Target="https://africanmarketingconfederation.org/contact-us/" TargetMode="External"/><Relationship Id="rId31" Type="http://schemas.openxmlformats.org/officeDocument/2006/relationships/hyperlink" Target="https://africanmarketingconfederation.org/amc-sponsors-2025/" TargetMode="External"/><Relationship Id="rId44" Type="http://schemas.openxmlformats.org/officeDocument/2006/relationships/hyperlink" Target="https://africanmarketingconfederation.org/amc-marketing-conference-2024/amc-speakers-presentations-2024/" TargetMode="External"/><Relationship Id="rId52" Type="http://schemas.openxmlformats.org/officeDocument/2006/relationships/hyperlink" Target="https://africanmarketingconfederation.org/thank-you-for-registering-2024-registrations-kenya/" TargetMode="External"/><Relationship Id="rId60" Type="http://schemas.openxmlformats.org/officeDocument/2006/relationships/hyperlink" Target="https://africanmarketingconfederation.org/thank-you-for-the-submission-2024/" TargetMode="External"/><Relationship Id="rId65" Type="http://schemas.openxmlformats.org/officeDocument/2006/relationships/hyperlink" Target="https://africanmarketingconfederation.org/amc-conference-2023/partners/" TargetMode="External"/><Relationship Id="rId73" Type="http://schemas.openxmlformats.org/officeDocument/2006/relationships/hyperlink" Target="https://africanmarketingconfederation.org/upcoming-events/" TargetMode="External"/><Relationship Id="rId78" Type="http://schemas.openxmlformats.org/officeDocument/2006/relationships/hyperlink" Target="https://africanmarketingconfederation.org/amc-masterclass-bookings/" TargetMode="External"/><Relationship Id="rId81" Type="http://schemas.openxmlformats.org/officeDocument/2006/relationships/hyperlink" Target="https://africanmarketingconfederation.org/test-homeslider/" TargetMode="External"/><Relationship Id="rId4" Type="http://schemas.openxmlformats.org/officeDocument/2006/relationships/hyperlink" Target="https://africanmarketingconfederation.org/launch-event-2026-amc-conference/" TargetMode="External"/><Relationship Id="rId9" Type="http://schemas.openxmlformats.org/officeDocument/2006/relationships/hyperlink" Target="https://africanmarketingconfederation.org/awards-2026/" TargetMode="External"/><Relationship Id="rId13" Type="http://schemas.openxmlformats.org/officeDocument/2006/relationships/hyperlink" Target="https://africanmarketingconfederation.org/members/" TargetMode="External"/><Relationship Id="rId18" Type="http://schemas.openxmlformats.org/officeDocument/2006/relationships/hyperlink" Target="https://africanmarketingconfederation.org/speakers-2025/" TargetMode="External"/><Relationship Id="rId39" Type="http://schemas.openxmlformats.org/officeDocument/2006/relationships/hyperlink" Target="https://africanmarketingconfederation.org/amc-forum-payments/" TargetMode="External"/><Relationship Id="rId34" Type="http://schemas.openxmlformats.org/officeDocument/2006/relationships/hyperlink" Target="https://africanmarketingconfederation.org/checkout/" TargetMode="External"/><Relationship Id="rId50" Type="http://schemas.openxmlformats.org/officeDocument/2006/relationships/hyperlink" Target="https://africanmarketingconfederation.org/thank-you-for-registering-2024-registrations/" TargetMode="External"/><Relationship Id="rId55"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mc-masterclass/" TargetMode="External"/><Relationship Id="rId7" Type="http://schemas.openxmlformats.org/officeDocument/2006/relationships/hyperlink" Target="https://africanmarketingconfederation.org/chartered-marketer-africa/" TargetMode="External"/><Relationship Id="rId71"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mc-marketing-conference-2024/amc-programme-2025/" TargetMode="External"/><Relationship Id="rId24" Type="http://schemas.openxmlformats.org/officeDocument/2006/relationships/hyperlink" Target="https://africanmarketingconfederation.org/amc-conference-2022/" TargetMode="External"/><Relationship Id="rId40" Type="http://schemas.openxmlformats.org/officeDocument/2006/relationships/hyperlink" Target="https://africanmarketingconfederation.org/amc-conference-2023/" TargetMode="External"/><Relationship Id="rId45" Type="http://schemas.openxmlformats.org/officeDocument/2006/relationships/hyperlink" Target="https://africanmarketingconfederation.org/amc-marketing-conference-2024/testimony-thank-you-page/" TargetMode="External"/><Relationship Id="rId66" Type="http://schemas.openxmlformats.org/officeDocument/2006/relationships/hyperlink" Target="https://africanmarketingconfederation.org/amc-conference-2023/speakers/" TargetMode="External"/><Relationship Id="rId61" Type="http://schemas.openxmlformats.org/officeDocument/2006/relationships/hyperlink" Target="https://africanmarketingconfederation.org/elementor-16548/" TargetMode="External"/><Relationship Id="rId82" Type="http://schemas.openxmlformats.org/officeDocument/2006/relationships/hyperlink" Target="https://africanmarketingconfederation.org/general-enquiry-form-thank-you/"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africanmarketingconfederation.org/elementor-16548/" TargetMode="External"/><Relationship Id="rId21" Type="http://schemas.openxmlformats.org/officeDocument/2006/relationships/hyperlink" Target="https://africanmarketingconfederation.org/download-prospectus-2024/" TargetMode="External"/><Relationship Id="rId42" Type="http://schemas.openxmlformats.org/officeDocument/2006/relationships/hyperlink" Target="https://africanmarketingconfederation.org/awards-2026-test/" TargetMode="External"/><Relationship Id="rId47" Type="http://schemas.openxmlformats.org/officeDocument/2006/relationships/hyperlink" Target="https://africanmarketingconfederation.org/subscribe/" TargetMode="External"/><Relationship Id="rId63" Type="http://schemas.openxmlformats.org/officeDocument/2006/relationships/hyperlink" Target="https://africanmarketingconfederation.org/amc-conference-2023/partners/" TargetMode="External"/><Relationship Id="rId68" Type="http://schemas.openxmlformats.org/officeDocument/2006/relationships/hyperlink" Target="https://africanmarketingconfederation.org/sub-committees/" TargetMode="External"/><Relationship Id="rId84" Type="http://schemas.openxmlformats.org/officeDocument/2006/relationships/hyperlink" Target="https://africanmarketingconfederation.org/amc-conference-2023/speakers/" TargetMode="External"/><Relationship Id="rId16" Type="http://schemas.openxmlformats.org/officeDocument/2006/relationships/hyperlink" Target="https://africanmarketingconfederation.org/checkout/" TargetMode="External"/><Relationship Id="rId11" Type="http://schemas.openxmlformats.org/officeDocument/2006/relationships/hyperlink" Target="https://africanmarketingconfederation.org/amc-conference-2025-highlights/" TargetMode="External"/><Relationship Id="rId32" Type="http://schemas.openxmlformats.org/officeDocument/2006/relationships/hyperlink" Target="https://africanmarketingconfederation.org/amc-masterclass-thank-you/" TargetMode="External"/><Relationship Id="rId37" Type="http://schemas.openxmlformats.org/officeDocument/2006/relationships/hyperlink" Target="https://africanmarketingconfederation.org/education/" TargetMode="External"/><Relationship Id="rId53" Type="http://schemas.openxmlformats.org/officeDocument/2006/relationships/hyperlink" Target="https://africanmarketingconfederation.org/publications-2/" TargetMode="External"/><Relationship Id="rId58" Type="http://schemas.openxmlformats.org/officeDocument/2006/relationships/hyperlink" Target="https://africanmarketingconfederation.org/amc-conference-2023/gallery/" TargetMode="External"/><Relationship Id="rId74" Type="http://schemas.openxmlformats.org/officeDocument/2006/relationships/hyperlink" Target="https://africanmarketingconfederation.org/conference-faq-2025/" TargetMode="External"/><Relationship Id="rId79" Type="http://schemas.openxmlformats.org/officeDocument/2006/relationships/hyperlink" Target="https://africanmarketingconfederation.org/amc-sign-up-now-form-2025/" TargetMode="External"/><Relationship Id="rId5" Type="http://schemas.openxmlformats.org/officeDocument/2006/relationships/hyperlink" Target="https://africanmarketingconfederation.org/amc-masterclass-bookings/" TargetMode="External"/><Relationship Id="rId19" Type="http://schemas.openxmlformats.org/officeDocument/2006/relationships/hyperlink" Target="https://africanmarketingconfederation.org/amc-marketing-conference-2024/testimony-thank-you-page/" TargetMode="External"/><Relationship Id="rId14" Type="http://schemas.openxmlformats.org/officeDocument/2006/relationships/hyperlink" Target="https://africanmarketingconfederation.org/amc-conference-2022-prospectus/" TargetMode="External"/><Relationship Id="rId22" Type="http://schemas.openxmlformats.org/officeDocument/2006/relationships/hyperlink" Target="https://africanmarketingconfederation.org/thank-you-for-registering-2024-registrations-kenya/" TargetMode="External"/><Relationship Id="rId27" Type="http://schemas.openxmlformats.org/officeDocument/2006/relationships/hyperlink" Target="https://africanmarketingconfederation.org/chartered-marketer-africa-thank-you/" TargetMode="External"/><Relationship Id="rId30" Type="http://schemas.openxmlformats.org/officeDocument/2006/relationships/hyperlink" Target="https://africanmarketingconfederation.org/thank-you-for-subscribing/" TargetMode="External"/><Relationship Id="rId35" Type="http://schemas.openxmlformats.org/officeDocument/2006/relationships/hyperlink" Target="https://africanmarketingconfederation.org/speakers/" TargetMode="External"/><Relationship Id="rId43" Type="http://schemas.openxmlformats.org/officeDocument/2006/relationships/hyperlink" Target="https://africanmarketingconfederation.org/speakers-2025/" TargetMode="External"/><Relationship Id="rId48" Type="http://schemas.openxmlformats.org/officeDocument/2006/relationships/hyperlink" Target="https://africanmarketingconfederation.org/amc-relaunch-programme/" TargetMode="External"/><Relationship Id="rId56" Type="http://schemas.openxmlformats.org/officeDocument/2006/relationships/hyperlink" Target="https://africanmarketingconfederation.org/news-articles/" TargetMode="External"/><Relationship Id="rId64" Type="http://schemas.openxmlformats.org/officeDocument/2006/relationships/hyperlink" Target="https://africanmarketingconfederation.org/amc-conference-2023/book-now/" TargetMode="External"/><Relationship Id="rId69" Type="http://schemas.openxmlformats.org/officeDocument/2006/relationships/hyperlink" Target="https://africanmarketingconfederation.org/amc-marketing-conference-2024/awards-2025/" TargetMode="External"/><Relationship Id="rId77" Type="http://schemas.openxmlformats.org/officeDocument/2006/relationships/hyperlink" Target="https://africanmarketingconfederation.org/amc-forum-mombasa/" TargetMode="External"/><Relationship Id="rId8" Type="http://schemas.openxmlformats.org/officeDocument/2006/relationships/hyperlink" Target="https://africanmarketingconfederation.org/amc-conference-2026-awards-nominations-thank-you/" TargetMode="External"/><Relationship Id="rId51" Type="http://schemas.openxmlformats.org/officeDocument/2006/relationships/hyperlink" Target="https://africanmarketingconfederation.org/amc-conference-2022-thank-you/" TargetMode="External"/><Relationship Id="rId72" Type="http://schemas.openxmlformats.org/officeDocument/2006/relationships/hyperlink" Target="https://africanmarketingconfederation.org/amc-sponsors-2025/" TargetMode="External"/><Relationship Id="rId80" Type="http://schemas.openxmlformats.org/officeDocument/2006/relationships/hyperlink" Target="https://africanmarketingconfederation.org/amc-testimony-page-2024/" TargetMode="External"/><Relationship Id="rId85" Type="http://schemas.openxmlformats.org/officeDocument/2006/relationships/hyperlink" Target="https://africanmarketingconfederation.org/amc-conference-thank-you/" TargetMode="External"/><Relationship Id="rId3" Type="http://schemas.openxmlformats.org/officeDocument/2006/relationships/hyperlink" Target="https://africanmarketingconfederation.org/elementor-20341/" TargetMode="External"/><Relationship Id="rId12" Type="http://schemas.openxmlformats.org/officeDocument/2006/relationships/hyperlink" Target="https://africanmarketingconfederation.org/amc-conference-2022/" TargetMode="External"/><Relationship Id="rId17" Type="http://schemas.openxmlformats.org/officeDocument/2006/relationships/hyperlink" Target="https://africanmarketingconfederation.org/amc-forum-payments/" TargetMode="External"/><Relationship Id="rId25" Type="http://schemas.openxmlformats.org/officeDocument/2006/relationships/hyperlink" Target="https://africanmarketingconfederation.org/thank-you-for-the-submission-2024/" TargetMode="External"/><Relationship Id="rId33" Type="http://schemas.openxmlformats.org/officeDocument/2006/relationships/hyperlink" Target="https://africanmarketingconfederation.org/test-homeslider/" TargetMode="External"/><Relationship Id="rId38" Type="http://schemas.openxmlformats.org/officeDocument/2006/relationships/hyperlink" Target="https://africanmarketingconfederation.org/awards-2026/" TargetMode="External"/><Relationship Id="rId46" Type="http://schemas.openxmlformats.org/officeDocument/2006/relationships/hyperlink" Target="https://africanmarketingconfederation.org/amc-awards-2024/" TargetMode="External"/><Relationship Id="rId59" Type="http://schemas.openxmlformats.org/officeDocument/2006/relationships/hyperlink" Target="https://africanmarketingconfederation.org/amc-marketing-conference-2024/amc-conference-2025-ghana-sponsors/" TargetMode="External"/><Relationship Id="rId67" Type="http://schemas.openxmlformats.org/officeDocument/2006/relationships/hyperlink" Target="https://africanmarketingconfederation.org/members/" TargetMode="External"/><Relationship Id="rId20" Type="http://schemas.openxmlformats.org/officeDocument/2006/relationships/hyperlink" Target="https://africanmarketingconfederation.org/thank-you-for-registering-2024-registrations/" TargetMode="External"/><Relationship Id="rId41" Type="http://schemas.openxmlformats.org/officeDocument/2006/relationships/hyperlink" Target="https://africanmarketingconfederation.org/awards-2026-1/" TargetMode="External"/><Relationship Id="rId54" Type="http://schemas.openxmlformats.org/officeDocument/2006/relationships/hyperlink" Target="https://africanmarketingconfederation.org/launch-event-2026-amc-conference/" TargetMode="External"/><Relationship Id="rId62" Type="http://schemas.openxmlformats.org/officeDocument/2006/relationships/hyperlink" Target="https://africanmarketingconfederation.org/amc-conference-2024-sponsors-packages/" TargetMode="External"/><Relationship Id="rId70" Type="http://schemas.openxmlformats.org/officeDocument/2006/relationships/hyperlink" Target="https://africanmarketingconfederation.org/conference-registrations-2024/" TargetMode="External"/><Relationship Id="rId75" Type="http://schemas.openxmlformats.org/officeDocument/2006/relationships/hyperlink" Target="https://africanmarketingconfederation.org/amc-marketing-conference-2024/amc-launch-event-2025/" TargetMode="External"/><Relationship Id="rId83" Type="http://schemas.openxmlformats.org/officeDocument/2006/relationships/hyperlink" Target="https://africanmarketingconfederation.org/amc-conference-2023/programme/" TargetMode="External"/><Relationship Id="rId1" Type="http://schemas.openxmlformats.org/officeDocument/2006/relationships/hyperlink" Target="https://africanmarketingconfederation.org/amc-conference-sponsors/" TargetMode="External"/><Relationship Id="rId6" Type="http://schemas.openxmlformats.org/officeDocument/2006/relationships/hyperlink" Target="https://africanmarketingconfederation.org/" TargetMode="External"/><Relationship Id="rId15" Type="http://schemas.openxmlformats.org/officeDocument/2006/relationships/hyperlink" Target="https://africanmarketingconfederation.org/test-payment-gate/" TargetMode="External"/><Relationship Id="rId23" Type="http://schemas.openxmlformats.org/officeDocument/2006/relationships/hyperlink" Target="https://africanmarketingconfederation.org/download-brochure/" TargetMode="External"/><Relationship Id="rId28" Type="http://schemas.openxmlformats.org/officeDocument/2006/relationships/hyperlink" Target="https://africanmarketingconfederation.org/amc-conference-2023/book-now-thank-you/" TargetMode="External"/><Relationship Id="rId36" Type="http://schemas.openxmlformats.org/officeDocument/2006/relationships/hyperlink" Target="https://africanmarketingconfederation.org/certified-professional-marketer-africa/" TargetMode="External"/><Relationship Id="rId49" Type="http://schemas.openxmlformats.org/officeDocument/2006/relationships/hyperlink" Target="https://africanmarketingconfederation.org/amc-conference-programme/" TargetMode="External"/><Relationship Id="rId57" Type="http://schemas.openxmlformats.org/officeDocument/2006/relationships/hyperlink" Target="https://africanmarketingconfederation.org/about-us/" TargetMode="External"/><Relationship Id="rId10" Type="http://schemas.openxmlformats.org/officeDocument/2006/relationships/hyperlink" Target="https://africanmarketingconfederation.org/amc-launch-event-zambia-thank-you-2026/" TargetMode="External"/><Relationship Id="rId31" Type="http://schemas.openxmlformats.org/officeDocument/2006/relationships/hyperlink" Target="https://africanmarketingconfederation.org/amc-masterclass/" TargetMode="External"/><Relationship Id="rId44" Type="http://schemas.openxmlformats.org/officeDocument/2006/relationships/hyperlink" Target="https://africanmarketingconfederation.org/amc-conference-2024-recap/" TargetMode="External"/><Relationship Id="rId52" Type="http://schemas.openxmlformats.org/officeDocument/2006/relationships/hyperlink" Target="https://africanmarketingconfederation.org/privacy-policy/" TargetMode="External"/><Relationship Id="rId60" Type="http://schemas.openxmlformats.org/officeDocument/2006/relationships/hyperlink" Target="https://africanmarketingconfederation.org/chartered-marketer-africa-programme-fee/" TargetMode="External"/><Relationship Id="rId65" Type="http://schemas.openxmlformats.org/officeDocument/2006/relationships/hyperlink" Target="https://africanmarketingconfederation.org/amc-conference-2023/download-prospectus/" TargetMode="External"/><Relationship Id="rId73" Type="http://schemas.openxmlformats.org/officeDocument/2006/relationships/hyperlink" Target="https://africanmarketingconfederation.org/amc-marketing-conference-2024/amc-preregister-2025/" TargetMode="External"/><Relationship Id="rId78" Type="http://schemas.openxmlformats.org/officeDocument/2006/relationships/hyperlink" Target="https://africanmarketingconfederation.org/amc-marketing-conference-2024/" TargetMode="External"/><Relationship Id="rId81" Type="http://schemas.openxmlformats.org/officeDocument/2006/relationships/hyperlink" Target="https://africanmarketingconfederation.org/amc-marketing-conference-2024/programme-2024/" TargetMode="External"/><Relationship Id="rId4" Type="http://schemas.openxmlformats.org/officeDocument/2006/relationships/hyperlink" Target="https://africanmarketingconfederation.org/amc-conference-2023/amc-awards-book-now/" TargetMode="External"/><Relationship Id="rId9" Type="http://schemas.openxmlformats.org/officeDocument/2006/relationships/hyperlink" Target="https://africanmarketingconfederation.org/amc-conference-2026-zambia-thank-you/" TargetMode="External"/><Relationship Id="rId13" Type="http://schemas.openxmlformats.org/officeDocument/2006/relationships/hyperlink" Target="https://africanmarketingconfederation.org/amc-marketing-conference-2024/amc-programme-2025/" TargetMode="External"/><Relationship Id="rId18" Type="http://schemas.openxmlformats.org/officeDocument/2006/relationships/hyperlink" Target="https://africanmarketingconfederation.org/amc-marketing-conference-2024/amc-speakers-presentations-2024/" TargetMode="External"/><Relationship Id="rId39" Type="http://schemas.openxmlformats.org/officeDocument/2006/relationships/hyperlink" Target="https://africanmarketingconfederation.org/contact-us/" TargetMode="External"/><Relationship Id="rId34" Type="http://schemas.openxmlformats.org/officeDocument/2006/relationships/hyperlink" Target="https://africanmarketingconfederation.org/general-enquiry-form-thank-you/" TargetMode="External"/><Relationship Id="rId50" Type="http://schemas.openxmlformats.org/officeDocument/2006/relationships/hyperlink" Target="https://africanmarketingconfederation.org/virtual-programme/" TargetMode="External"/><Relationship Id="rId55" Type="http://schemas.openxmlformats.org/officeDocument/2006/relationships/hyperlink" Target="https://africanmarketingconfederation.org/amc-conference-2026/" TargetMode="External"/><Relationship Id="rId76" Type="http://schemas.openxmlformats.org/officeDocument/2006/relationships/hyperlink" Target="https://africanmarketingconfederation.org/amc-conference-2023/" TargetMode="External"/><Relationship Id="rId7" Type="http://schemas.openxmlformats.org/officeDocument/2006/relationships/hyperlink" Target="https://africanmarketingconfederation.org/publication-download-list/" TargetMode="External"/><Relationship Id="rId71" Type="http://schemas.openxmlformats.org/officeDocument/2006/relationships/hyperlink" Target="https://africanmarketingconfederation.org/elementor-31820/" TargetMode="External"/><Relationship Id="rId2" Type="http://schemas.openxmlformats.org/officeDocument/2006/relationships/hyperlink" Target="https://africanmarketingconfederation.org/amc-marketing-conference-2024/speakers-2024/" TargetMode="External"/><Relationship Id="rId29" Type="http://schemas.openxmlformats.org/officeDocument/2006/relationships/hyperlink" Target="https://africanmarketingconfederation.org/upcoming-events/" TargetMode="External"/><Relationship Id="rId24" Type="http://schemas.openxmlformats.org/officeDocument/2006/relationships/hyperlink" Target="https://africanmarketingconfederation.org/thank-you-for-the-nomination-2024/" TargetMode="External"/><Relationship Id="rId40" Type="http://schemas.openxmlformats.org/officeDocument/2006/relationships/hyperlink" Target="https://africanmarketingconfederation.org/african-marketing-confederation-tourism-chapter/" TargetMode="External"/><Relationship Id="rId45" Type="http://schemas.openxmlformats.org/officeDocument/2006/relationships/hyperlink" Target="https://africanmarketingconfederation.org/amc-conference-2025/" TargetMode="External"/><Relationship Id="rId66" Type="http://schemas.openxmlformats.org/officeDocument/2006/relationships/hyperlink" Target="https://africanmarketingconfederation.org/chartered-marketer-africa/" TargetMode="External"/><Relationship Id="rId61" Type="http://schemas.openxmlformats.org/officeDocument/2006/relationships/hyperlink" Target="https://africanmarketingconfederation.org/chartered-marketer-africa-final-submission-fee/" TargetMode="External"/><Relationship Id="rId82" Type="http://schemas.openxmlformats.org/officeDocument/2006/relationships/hyperlink" Target="https://africanmarketingconfederation.org/amc-conference-2023/amc-awards/" TargetMode="External"/></Relationships>
</file>

<file path=xl/worksheets/_rels/sheet14.xml.rels><?xml version="1.0" encoding="UTF-8" standalone="yes"?>
<Relationships xmlns="http://schemas.openxmlformats.org/package/2006/relationships"><Relationship Id="rId21" Type="http://schemas.openxmlformats.org/officeDocument/2006/relationships/hyperlink" Target="https://africanmarketingconfederation.org/amc-conference-2022-thank-you/" TargetMode="External"/><Relationship Id="rId170" Type="http://schemas.openxmlformats.org/officeDocument/2006/relationships/hyperlink" Target="https://africanmarketingconfederation.org/wp-admin/post.php?post=7916&amp;action=edit" TargetMode="External"/><Relationship Id="rId268" Type="http://schemas.openxmlformats.org/officeDocument/2006/relationships/hyperlink" Target="https://africanmarketingconfederation.org/wp-admin/post.php?post=19172&amp;action=edit" TargetMode="External"/><Relationship Id="rId475" Type="http://schemas.openxmlformats.org/officeDocument/2006/relationships/hyperlink" Target="https://africanmarketingconfederation.org/speakers-2025/" TargetMode="External"/><Relationship Id="rId682" Type="http://schemas.openxmlformats.org/officeDocument/2006/relationships/hyperlink" Target="https://africanmarketingconfederation.org/wp-admin/post.php?post=34622&amp;action=edit" TargetMode="External"/><Relationship Id="rId128" Type="http://schemas.openxmlformats.org/officeDocument/2006/relationships/hyperlink" Target="https://africanmarketingconfederation.org/wp-admin/post.php?post=18478&amp;action=edit" TargetMode="External"/><Relationship Id="rId335" Type="http://schemas.openxmlformats.org/officeDocument/2006/relationships/hyperlink" Target="https://africanmarketingconfederation.org/about-us/" TargetMode="External"/><Relationship Id="rId542" Type="http://schemas.openxmlformats.org/officeDocument/2006/relationships/hyperlink" Target="https://africanmarketingconfederation.org/wp-admin/post.php?post=12497&amp;action=edit" TargetMode="External"/><Relationship Id="rId987" Type="http://schemas.openxmlformats.org/officeDocument/2006/relationships/hyperlink" Target="https://africanmarketingconfederation.org/amc-awards-2024/" TargetMode="External"/><Relationship Id="rId1172" Type="http://schemas.openxmlformats.org/officeDocument/2006/relationships/hyperlink" Target="https://africanmarketingconfederation.org/wp-admin/post.php?post=17195&amp;action=edit" TargetMode="External"/><Relationship Id="rId402" Type="http://schemas.openxmlformats.org/officeDocument/2006/relationships/hyperlink" Target="https://africanmarketingconfederation.org/amc-marketing-conference-2024/amc-speakers-presentations-2024/" TargetMode="External"/><Relationship Id="rId847" Type="http://schemas.openxmlformats.org/officeDocument/2006/relationships/hyperlink" Target="https://africanmarketingconfederation.org/amc-conference-2025-highlights/" TargetMode="External"/><Relationship Id="rId1032" Type="http://schemas.openxmlformats.org/officeDocument/2006/relationships/hyperlink" Target="https://africanmarketingconfederation.org/wp-admin/post.php?post=23710&amp;action=edit" TargetMode="External"/><Relationship Id="rId707" Type="http://schemas.openxmlformats.org/officeDocument/2006/relationships/hyperlink" Target="https://africanmarketingconfederation.org/conference-registrations-2024/" TargetMode="External"/><Relationship Id="rId914" Type="http://schemas.openxmlformats.org/officeDocument/2006/relationships/hyperlink" Target="https://africanmarketingconfederation.org/wp-admin/post.php?post=10823&amp;action=edit" TargetMode="External"/><Relationship Id="rId1337" Type="http://schemas.openxmlformats.org/officeDocument/2006/relationships/hyperlink" Target="https://africanmarketingconfederation.org/thank-you-for-registering-2024-registrations-kenya/" TargetMode="External"/><Relationship Id="rId43" Type="http://schemas.openxmlformats.org/officeDocument/2006/relationships/hyperlink" Target="https://africanmarketingconfederation.org/amc-conference-2023/speakers/" TargetMode="External"/><Relationship Id="rId1404" Type="http://schemas.openxmlformats.org/officeDocument/2006/relationships/hyperlink" Target="https://africanmarketingconfederation.org/wp-admin/post.php?post=17195&amp;action=edit" TargetMode="External"/><Relationship Id="rId192" Type="http://schemas.openxmlformats.org/officeDocument/2006/relationships/hyperlink" Target="https://africanmarketingconfederation.org/wp-admin/post.php?post=4494&amp;action=edit" TargetMode="External"/><Relationship Id="rId497" Type="http://schemas.openxmlformats.org/officeDocument/2006/relationships/hyperlink" Target="https://africanmarketingconfederation.org/upcoming-events/" TargetMode="External"/><Relationship Id="rId357" Type="http://schemas.openxmlformats.org/officeDocument/2006/relationships/hyperlink" Target="https://africanmarketingconfederation.org/amc-conference-2023/download-prospectus/" TargetMode="External"/><Relationship Id="rId1194" Type="http://schemas.openxmlformats.org/officeDocument/2006/relationships/hyperlink" Target="https://africanmarketingconfederation.org/wp-admin/post.php?post=4941&amp;action=edit" TargetMode="External"/><Relationship Id="rId217" Type="http://schemas.openxmlformats.org/officeDocument/2006/relationships/hyperlink" Target="https://africanmarketingconfederation.org/amc-conference-sponsors/" TargetMode="External"/><Relationship Id="rId564" Type="http://schemas.openxmlformats.org/officeDocument/2006/relationships/hyperlink" Target="https://africanmarketingconfederation.org/wp-admin/post.php?post=13179&amp;action=edit" TargetMode="External"/><Relationship Id="rId771" Type="http://schemas.openxmlformats.org/officeDocument/2006/relationships/hyperlink" Target="https://africanmarketingconfederation.org/subscribe/" TargetMode="External"/><Relationship Id="rId869" Type="http://schemas.openxmlformats.org/officeDocument/2006/relationships/hyperlink" Target="https://africanmarketingconfederation.org/wp-admin/post.php?post=21958&amp;action=edit" TargetMode="External"/><Relationship Id="rId424" Type="http://schemas.openxmlformats.org/officeDocument/2006/relationships/hyperlink" Target="https://africanmarketingconfederation.org/wp-admin/post.php?post=22679&amp;action=edit" TargetMode="External"/><Relationship Id="rId631" Type="http://schemas.openxmlformats.org/officeDocument/2006/relationships/hyperlink" Target="https://africanmarketingconfederation.org/wp-admin/post.php?post=24882&amp;action=edit" TargetMode="External"/><Relationship Id="rId729" Type="http://schemas.openxmlformats.org/officeDocument/2006/relationships/hyperlink" Target="https://africanmarketingconfederation.org/elementor-16548/" TargetMode="External"/><Relationship Id="rId1054" Type="http://schemas.openxmlformats.org/officeDocument/2006/relationships/hyperlink" Target="https://africanmarketingconfederation.org/amc-launch-event-zambia-thank-you-2026/" TargetMode="External"/><Relationship Id="rId1261" Type="http://schemas.openxmlformats.org/officeDocument/2006/relationships/hyperlink" Target="https://africanmarketingconfederation.org/amc-masterclass-bookings/" TargetMode="External"/><Relationship Id="rId1359" Type="http://schemas.openxmlformats.org/officeDocument/2006/relationships/hyperlink" Target="https://africanmarketingconfederation.org/amc-conference-2022-thank-you/" TargetMode="External"/><Relationship Id="rId936" Type="http://schemas.openxmlformats.org/officeDocument/2006/relationships/hyperlink" Target="https://africanmarketingconfederation.org/wp-admin/post.php?post=31820&amp;action=edit" TargetMode="External"/><Relationship Id="rId1121" Type="http://schemas.openxmlformats.org/officeDocument/2006/relationships/hyperlink" Target="https://africanmarketingconfederation.org/conference-registrations-2024/" TargetMode="External"/><Relationship Id="rId1219" Type="http://schemas.openxmlformats.org/officeDocument/2006/relationships/hyperlink" Target="https://africanmarketingconfederation.org/amc-conference-2024-sponsors-packages/" TargetMode="External"/><Relationship Id="rId65" Type="http://schemas.openxmlformats.org/officeDocument/2006/relationships/hyperlink" Target="https://africanmarketingconfederation.org/wp-admin/post.php?post=21958&amp;action=edit" TargetMode="External"/><Relationship Id="rId281" Type="http://schemas.openxmlformats.org/officeDocument/2006/relationships/hyperlink" Target="https://africanmarketingconfederation.org/general-enquiry-form-thank-you/" TargetMode="External"/><Relationship Id="rId141" Type="http://schemas.openxmlformats.org/officeDocument/2006/relationships/hyperlink" Target="https://africanmarketingconfederation.org/launch-event-2026-amc-conference/" TargetMode="External"/><Relationship Id="rId379" Type="http://schemas.openxmlformats.org/officeDocument/2006/relationships/hyperlink" Target="https://africanmarketingconfederation.org/amc-conference-2026/" TargetMode="External"/><Relationship Id="rId586" Type="http://schemas.openxmlformats.org/officeDocument/2006/relationships/hyperlink" Target="https://africanmarketingconfederation.org/wp-admin/post.php?post=22778&amp;action=edit" TargetMode="External"/><Relationship Id="rId793" Type="http://schemas.openxmlformats.org/officeDocument/2006/relationships/hyperlink" Target="https://africanmarketingconfederation.org/thank-you-for-the-nomination-2024/" TargetMode="External"/><Relationship Id="rId7" Type="http://schemas.openxmlformats.org/officeDocument/2006/relationships/hyperlink" Target="https://africanmarketingconfederation.org/amc-masterclass-bookings/" TargetMode="External"/><Relationship Id="rId239" Type="http://schemas.openxmlformats.org/officeDocument/2006/relationships/hyperlink" Target="https://africanmarketingconfederation.org/amc-masterclass-thank-you/" TargetMode="External"/><Relationship Id="rId446" Type="http://schemas.openxmlformats.org/officeDocument/2006/relationships/hyperlink" Target="https://africanmarketingconfederation.org/wp-admin/post.php?post=16472&amp;action=edit" TargetMode="External"/><Relationship Id="rId653" Type="http://schemas.openxmlformats.org/officeDocument/2006/relationships/hyperlink" Target="https://africanmarketingconfederation.org/amc-masterclass-thank-you/" TargetMode="External"/><Relationship Id="rId1076" Type="http://schemas.openxmlformats.org/officeDocument/2006/relationships/hyperlink" Target="https://africanmarketingconfederation.org/amc-marketing-conference-2024/speakers-2024/" TargetMode="External"/><Relationship Id="rId1283" Type="http://schemas.openxmlformats.org/officeDocument/2006/relationships/hyperlink" Target="https://africanmarketingconfederation.org/chartered-marketer-africa-final-submission-fee/" TargetMode="External"/><Relationship Id="rId306" Type="http://schemas.openxmlformats.org/officeDocument/2006/relationships/hyperlink" Target="https://africanmarketingconfederation.org/wp-admin/post.php?post=27352&amp;action=edit" TargetMode="External"/><Relationship Id="rId860" Type="http://schemas.openxmlformats.org/officeDocument/2006/relationships/hyperlink" Target="https://africanmarketingconfederation.org/amc-conference-thank-you/" TargetMode="External"/><Relationship Id="rId958" Type="http://schemas.openxmlformats.org/officeDocument/2006/relationships/hyperlink" Target="https://africanmarketingconfederation.org/wp-admin/post.php?post=7781&amp;action=edit" TargetMode="External"/><Relationship Id="rId1143" Type="http://schemas.openxmlformats.org/officeDocument/2006/relationships/hyperlink" Target="https://africanmarketingconfederation.org/members/" TargetMode="External"/><Relationship Id="rId87" Type="http://schemas.openxmlformats.org/officeDocument/2006/relationships/hyperlink" Target="https://africanmarketingconfederation.org/amc-marketing-conference-2024/testimony-thank-you-page/" TargetMode="External"/><Relationship Id="rId513" Type="http://schemas.openxmlformats.org/officeDocument/2006/relationships/hyperlink" Target="https://africanmarketingconfederation.org/amc-awards-2024/" TargetMode="External"/><Relationship Id="rId720" Type="http://schemas.openxmlformats.org/officeDocument/2006/relationships/hyperlink" Target="https://africanmarketingconfederation.org/wp-admin/post.php?post=19172&amp;action=edit" TargetMode="External"/><Relationship Id="rId818" Type="http://schemas.openxmlformats.org/officeDocument/2006/relationships/hyperlink" Target="https://africanmarketingconfederation.org/wp-admin/post.php?post=5619&amp;action=edit" TargetMode="External"/><Relationship Id="rId1350" Type="http://schemas.openxmlformats.org/officeDocument/2006/relationships/hyperlink" Target="https://africanmarketingconfederation.org/wp-admin/post.php?post=5290&amp;action=edit" TargetMode="External"/><Relationship Id="rId1003" Type="http://schemas.openxmlformats.org/officeDocument/2006/relationships/hyperlink" Target="https://africanmarketingconfederation.org/amc-conference-2023/book-now-thank-you/" TargetMode="External"/><Relationship Id="rId1210" Type="http://schemas.openxmlformats.org/officeDocument/2006/relationships/hyperlink" Target="https://africanmarketingconfederation.org/wp-admin/post.php?post=13549&amp;action=edit" TargetMode="External"/><Relationship Id="rId1308" Type="http://schemas.openxmlformats.org/officeDocument/2006/relationships/hyperlink" Target="https://africanmarketingconfederation.org/wp-admin/post.php?post=20341&amp;action=edit" TargetMode="External"/><Relationship Id="rId14" Type="http://schemas.openxmlformats.org/officeDocument/2006/relationships/hyperlink" Target="https://africanmarketingconfederation.org/wp-admin/post.php?post=84&amp;action=edit" TargetMode="External"/><Relationship Id="rId163" Type="http://schemas.openxmlformats.org/officeDocument/2006/relationships/hyperlink" Target="https://africanmarketingconfederation.org/test-payment-gate/" TargetMode="External"/><Relationship Id="rId370" Type="http://schemas.openxmlformats.org/officeDocument/2006/relationships/hyperlink" Target="https://africanmarketingconfederation.org/wp-admin/post.php?post=18318&amp;action=edit" TargetMode="External"/><Relationship Id="rId230" Type="http://schemas.openxmlformats.org/officeDocument/2006/relationships/hyperlink" Target="https://africanmarketingconfederation.org/amc-marketing-conference-2024/speakers-2024/" TargetMode="External"/><Relationship Id="rId468" Type="http://schemas.openxmlformats.org/officeDocument/2006/relationships/hyperlink" Target="https://africanmarketingconfederation.org/wp-admin/post.php?post=2196&amp;action=edit" TargetMode="External"/><Relationship Id="rId675" Type="http://schemas.openxmlformats.org/officeDocument/2006/relationships/hyperlink" Target="https://africanmarketingconfederation.org/awards-2026-1/" TargetMode="External"/><Relationship Id="rId882" Type="http://schemas.openxmlformats.org/officeDocument/2006/relationships/hyperlink" Target="https://africanmarketingconfederation.org/amc-marketing-conference-2024/programme-2024/" TargetMode="External"/><Relationship Id="rId1098" Type="http://schemas.openxmlformats.org/officeDocument/2006/relationships/hyperlink" Target="https://africanmarketingconfederation.org/wp-admin/post.php?post=32554&amp;action=edit" TargetMode="External"/><Relationship Id="rId328" Type="http://schemas.openxmlformats.org/officeDocument/2006/relationships/hyperlink" Target="https://africanmarketingconfederation.org/wp-admin/post.php?post=4909&amp;action=edit" TargetMode="External"/><Relationship Id="rId535" Type="http://schemas.openxmlformats.org/officeDocument/2006/relationships/hyperlink" Target="https://africanmarketingconfederation.org/amc-conference-2023/amc-awards/" TargetMode="External"/><Relationship Id="rId742" Type="http://schemas.openxmlformats.org/officeDocument/2006/relationships/hyperlink" Target="https://africanmarketingconfederation.org/wp-admin/post.php?post=33050&amp;action=edit" TargetMode="External"/><Relationship Id="rId1165" Type="http://schemas.openxmlformats.org/officeDocument/2006/relationships/hyperlink" Target="https://africanmarketingconfederation.org/test-homeslider/" TargetMode="External"/><Relationship Id="rId1372" Type="http://schemas.openxmlformats.org/officeDocument/2006/relationships/hyperlink" Target="https://africanmarketingconfederation.org/wp-admin/post.php?post=25857&amp;action=edit" TargetMode="External"/><Relationship Id="rId602" Type="http://schemas.openxmlformats.org/officeDocument/2006/relationships/hyperlink" Target="https://africanmarketingconfederation.org/amc-forum-mombasa/" TargetMode="External"/><Relationship Id="rId1025" Type="http://schemas.openxmlformats.org/officeDocument/2006/relationships/hyperlink" Target="https://africanmarketingconfederation.org/amc-conference-2025-highlights/" TargetMode="External"/><Relationship Id="rId1232" Type="http://schemas.openxmlformats.org/officeDocument/2006/relationships/hyperlink" Target="https://africanmarketingconfederation.org/wp-admin/post.php?post=5057&amp;action=edit" TargetMode="External"/><Relationship Id="rId907" Type="http://schemas.openxmlformats.org/officeDocument/2006/relationships/hyperlink" Target="https://africanmarketingconfederation.org/certified-professional-marketer-africa/" TargetMode="External"/><Relationship Id="rId36" Type="http://schemas.openxmlformats.org/officeDocument/2006/relationships/hyperlink" Target="https://africanmarketingconfederation.org/wp-admin/post.php?post=13098&amp;action=edit" TargetMode="External"/><Relationship Id="rId185" Type="http://schemas.openxmlformats.org/officeDocument/2006/relationships/hyperlink" Target="https://africanmarketingconfederation.org/amc-conference-2022-prospectus/" TargetMode="External"/><Relationship Id="rId392" Type="http://schemas.openxmlformats.org/officeDocument/2006/relationships/hyperlink" Target="https://africanmarketingconfederation.org/amc-marketing-conference-2024/" TargetMode="External"/><Relationship Id="rId697" Type="http://schemas.openxmlformats.org/officeDocument/2006/relationships/hyperlink" Target="https://africanmarketingconfederation.org/chartered-marketer-africa-thank-you/" TargetMode="External"/><Relationship Id="rId252" Type="http://schemas.openxmlformats.org/officeDocument/2006/relationships/hyperlink" Target="https://africanmarketingconfederation.org/wp-admin/post.php?post=19980&amp;action=edit" TargetMode="External"/><Relationship Id="rId1187" Type="http://schemas.openxmlformats.org/officeDocument/2006/relationships/hyperlink" Target="https://africanmarketingconfederation.org/african-marketing-confederation-tourism-chapter/" TargetMode="External"/><Relationship Id="rId112" Type="http://schemas.openxmlformats.org/officeDocument/2006/relationships/hyperlink" Target="https://africanmarketingconfederation.org/wp-admin/post.php?post=20001&amp;action=edit" TargetMode="External"/><Relationship Id="rId557" Type="http://schemas.openxmlformats.org/officeDocument/2006/relationships/hyperlink" Target="https://africanmarketingconfederation.org/amc-conference-2023/partners/" TargetMode="External"/><Relationship Id="rId764" Type="http://schemas.openxmlformats.org/officeDocument/2006/relationships/hyperlink" Target="https://africanmarketingconfederation.org/wp-admin/post.php?post=3252&amp;action=edit" TargetMode="External"/><Relationship Id="rId971" Type="http://schemas.openxmlformats.org/officeDocument/2006/relationships/hyperlink" Target="https://africanmarketingconfederation.org/thank-you-for-the-submission-2024/" TargetMode="External"/><Relationship Id="rId1394" Type="http://schemas.openxmlformats.org/officeDocument/2006/relationships/hyperlink" Target="https://africanmarketingconfederation.org/wp-admin/post.php?post=16472&amp;action=edit" TargetMode="External"/><Relationship Id="rId417" Type="http://schemas.openxmlformats.org/officeDocument/2006/relationships/hyperlink" Target="https://africanmarketingconfederation.org/amc-relaunch-programme/" TargetMode="External"/><Relationship Id="rId624" Type="http://schemas.openxmlformats.org/officeDocument/2006/relationships/hyperlink" Target="https://africanmarketingconfederation.org/amc-marketing-conference-2024/amc-launch-event-2025/" TargetMode="External"/><Relationship Id="rId831" Type="http://schemas.openxmlformats.org/officeDocument/2006/relationships/hyperlink" Target="https://africanmarketingconfederation.org/amc-conference-2023/book-now/" TargetMode="External"/><Relationship Id="rId1047" Type="http://schemas.openxmlformats.org/officeDocument/2006/relationships/hyperlink" Target="https://africanmarketingconfederation.org/wp-admin/post.php?post=12477&amp;action=edit" TargetMode="External"/><Relationship Id="rId1254" Type="http://schemas.openxmlformats.org/officeDocument/2006/relationships/hyperlink" Target="https://africanmarketingconfederation.org/amc-marketing-conference-2024/awards-2025/" TargetMode="External"/><Relationship Id="rId929" Type="http://schemas.openxmlformats.org/officeDocument/2006/relationships/hyperlink" Target="https://africanmarketingconfederation.org/education/" TargetMode="External"/><Relationship Id="rId1114" Type="http://schemas.openxmlformats.org/officeDocument/2006/relationships/hyperlink" Target="https://africanmarketingconfederation.org/wp-admin/post.php?post=10823&amp;action=edit" TargetMode="External"/><Relationship Id="rId1321" Type="http://schemas.openxmlformats.org/officeDocument/2006/relationships/hyperlink" Target="https://africanmarketingconfederation.org/publication-download-list/" TargetMode="External"/><Relationship Id="rId58" Type="http://schemas.openxmlformats.org/officeDocument/2006/relationships/hyperlink" Target="https://africanmarketingconfederation.org/wp-admin/post.php?post=31478&amp;action=edit" TargetMode="External"/><Relationship Id="rId274" Type="http://schemas.openxmlformats.org/officeDocument/2006/relationships/hyperlink" Target="https://africanmarketingconfederation.org/wp-admin/post.php?post=16548&amp;action=edit" TargetMode="External"/><Relationship Id="rId481" Type="http://schemas.openxmlformats.org/officeDocument/2006/relationships/hyperlink" Target="https://africanmarketingconfederation.org/subscribe/" TargetMode="External"/><Relationship Id="rId134" Type="http://schemas.openxmlformats.org/officeDocument/2006/relationships/hyperlink" Target="https://africanmarketingconfederation.org/wp-admin/post.php?post=16548&amp;action=edit" TargetMode="External"/><Relationship Id="rId579" Type="http://schemas.openxmlformats.org/officeDocument/2006/relationships/hyperlink" Target="https://africanmarketingconfederation.org/amc-conference-2025/" TargetMode="External"/><Relationship Id="rId786" Type="http://schemas.openxmlformats.org/officeDocument/2006/relationships/hyperlink" Target="https://africanmarketingconfederation.org/wp-admin/post.php?post=17195&amp;action=edit" TargetMode="External"/><Relationship Id="rId993" Type="http://schemas.openxmlformats.org/officeDocument/2006/relationships/hyperlink" Target="https://africanmarketingconfederation.org/amc-conference-2022-thank-you/" TargetMode="External"/><Relationship Id="rId341" Type="http://schemas.openxmlformats.org/officeDocument/2006/relationships/hyperlink" Target="https://africanmarketingconfederation.org/amc-conference-2022-prospectus/" TargetMode="External"/><Relationship Id="rId439" Type="http://schemas.openxmlformats.org/officeDocument/2006/relationships/hyperlink" Target="https://africanmarketingconfederation.org/chartered-marketer-africa/" TargetMode="External"/><Relationship Id="rId646" Type="http://schemas.openxmlformats.org/officeDocument/2006/relationships/hyperlink" Target="https://africanmarketingconfederation.org/wp-admin/post.php?post=23021&amp;action=edit" TargetMode="External"/><Relationship Id="rId1069" Type="http://schemas.openxmlformats.org/officeDocument/2006/relationships/hyperlink" Target="https://africanmarketingconfederation.org/wp-admin/post.php?post=22595&amp;action=edit" TargetMode="External"/><Relationship Id="rId1276" Type="http://schemas.openxmlformats.org/officeDocument/2006/relationships/hyperlink" Target="https://africanmarketingconfederation.org/wp-admin/post.php?post=32554&amp;action=edit" TargetMode="External"/><Relationship Id="rId201" Type="http://schemas.openxmlformats.org/officeDocument/2006/relationships/hyperlink" Target="https://africanmarketingconfederation.org/amc-conference-2023/book-now/" TargetMode="External"/><Relationship Id="rId506" Type="http://schemas.openxmlformats.org/officeDocument/2006/relationships/hyperlink" Target="https://africanmarketingconfederation.org/wp-admin/post.php?post=84&amp;action=edit" TargetMode="External"/><Relationship Id="rId853" Type="http://schemas.openxmlformats.org/officeDocument/2006/relationships/hyperlink" Target="https://africanmarketingconfederation.org/amc-conference-2026-zambia-thank-you/" TargetMode="External"/><Relationship Id="rId1136" Type="http://schemas.openxmlformats.org/officeDocument/2006/relationships/hyperlink" Target="https://africanmarketingconfederation.org/wp-admin/post.php?post=20341&amp;action=edit" TargetMode="External"/><Relationship Id="rId713" Type="http://schemas.openxmlformats.org/officeDocument/2006/relationships/hyperlink" Target="https://africanmarketingconfederation.org/contact-us/" TargetMode="External"/><Relationship Id="rId920" Type="http://schemas.openxmlformats.org/officeDocument/2006/relationships/hyperlink" Target="https://africanmarketingconfederation.org/wp-admin/post.php?post=24640&amp;action=edit" TargetMode="External"/><Relationship Id="rId1343" Type="http://schemas.openxmlformats.org/officeDocument/2006/relationships/hyperlink" Target="https://africanmarketingconfederation.org/thank-you-for-the-nomination-2024/" TargetMode="External"/><Relationship Id="rId1203" Type="http://schemas.openxmlformats.org/officeDocument/2006/relationships/hyperlink" Target="https://africanmarketingconfederation.org/amc-conference-2023/book-now-thank-you/" TargetMode="External"/><Relationship Id="rId296" Type="http://schemas.openxmlformats.org/officeDocument/2006/relationships/hyperlink" Target="https://africanmarketingconfederation.org/wp-admin/post.php?post=3252&amp;action=edit" TargetMode="External"/><Relationship Id="rId156" Type="http://schemas.openxmlformats.org/officeDocument/2006/relationships/hyperlink" Target="https://africanmarketingconfederation.org/wp-admin/post.php?post=3252&amp;action=edit" TargetMode="External"/><Relationship Id="rId363" Type="http://schemas.openxmlformats.org/officeDocument/2006/relationships/hyperlink" Target="https://africanmarketingconfederation.org/amc-conference-2023/programme/" TargetMode="External"/><Relationship Id="rId570" Type="http://schemas.openxmlformats.org/officeDocument/2006/relationships/hyperlink" Target="https://africanmarketingconfederation.org/wp-admin/post.php?post=22401&amp;action=edit" TargetMode="External"/><Relationship Id="rId223" Type="http://schemas.openxmlformats.org/officeDocument/2006/relationships/hyperlink" Target="https://africanmarketingconfederation.org/wp-admin/post.php?post=33131&amp;action=edit" TargetMode="External"/><Relationship Id="rId430" Type="http://schemas.openxmlformats.org/officeDocument/2006/relationships/hyperlink" Target="https://africanmarketingconfederation.org/wp-admin/post.php?post=34622&amp;action=edit" TargetMode="External"/><Relationship Id="rId668" Type="http://schemas.openxmlformats.org/officeDocument/2006/relationships/hyperlink" Target="https://africanmarketingconfederation.org/wp-admin/post.php?post=21952&amp;action=edit" TargetMode="External"/><Relationship Id="rId875" Type="http://schemas.openxmlformats.org/officeDocument/2006/relationships/hyperlink" Target="https://africanmarketingconfederation.org/wp-admin/post.php?post=26290&amp;action=edit" TargetMode="External"/><Relationship Id="rId1060" Type="http://schemas.openxmlformats.org/officeDocument/2006/relationships/hyperlink" Target="https://africanmarketingconfederation.org/amc-marketing-conference-2024/amc-launch-event-2025/" TargetMode="External"/><Relationship Id="rId1298" Type="http://schemas.openxmlformats.org/officeDocument/2006/relationships/hyperlink" Target="https://africanmarketingconfederation.org/wp-admin/post.php?post=92&amp;action=edit" TargetMode="External"/><Relationship Id="rId528" Type="http://schemas.openxmlformats.org/officeDocument/2006/relationships/hyperlink" Target="https://africanmarketingconfederation.org/wp-admin/post.php?post=4494&amp;action=edit" TargetMode="External"/><Relationship Id="rId735" Type="http://schemas.openxmlformats.org/officeDocument/2006/relationships/hyperlink" Target="https://africanmarketingconfederation.org/elementor-31820/" TargetMode="External"/><Relationship Id="rId942" Type="http://schemas.openxmlformats.org/officeDocument/2006/relationships/hyperlink" Target="https://africanmarketingconfederation.org/wp-admin/post.php?post=86&amp;action=edit" TargetMode="External"/><Relationship Id="rId1158" Type="http://schemas.openxmlformats.org/officeDocument/2006/relationships/hyperlink" Target="https://africanmarketingconfederation.org/wp-admin/post.php?post=21962&amp;action=edit" TargetMode="External"/><Relationship Id="rId1365" Type="http://schemas.openxmlformats.org/officeDocument/2006/relationships/hyperlink" Target="https://africanmarketingconfederation.org/amc-conference-2026-awards-nominations-thank-you/" TargetMode="External"/><Relationship Id="rId1018" Type="http://schemas.openxmlformats.org/officeDocument/2006/relationships/hyperlink" Target="https://africanmarketingconfederation.org/wp-admin/post.php?post=13179&amp;action=edit" TargetMode="External"/><Relationship Id="rId1225" Type="http://schemas.openxmlformats.org/officeDocument/2006/relationships/hyperlink" Target="https://africanmarketingconfederation.org/amc-conference-2026-awards-nominations-thank-you/" TargetMode="External"/><Relationship Id="rId71" Type="http://schemas.openxmlformats.org/officeDocument/2006/relationships/hyperlink" Target="https://africanmarketingconfederation.org/wp-admin/post.php?post=21958&amp;action=edit" TargetMode="External"/><Relationship Id="rId802" Type="http://schemas.openxmlformats.org/officeDocument/2006/relationships/hyperlink" Target="https://africanmarketingconfederation.org/wp-admin/post.php?post=4909&amp;action=edit" TargetMode="External"/><Relationship Id="rId29" Type="http://schemas.openxmlformats.org/officeDocument/2006/relationships/hyperlink" Target="https://africanmarketingconfederation.org/amc-conference-2023/amc-awards/" TargetMode="External"/><Relationship Id="rId178" Type="http://schemas.openxmlformats.org/officeDocument/2006/relationships/hyperlink" Target="https://africanmarketingconfederation.org/wp-admin/post.php?post=5290&amp;action=edit" TargetMode="External"/><Relationship Id="rId385" Type="http://schemas.openxmlformats.org/officeDocument/2006/relationships/hyperlink" Target="https://africanmarketingconfederation.org/wp-admin/post.php?post=12477&amp;action=edit" TargetMode="External"/><Relationship Id="rId592" Type="http://schemas.openxmlformats.org/officeDocument/2006/relationships/hyperlink" Target="https://africanmarketingconfederation.org/wp-admin/post.php?post=31478&amp;action=edit" TargetMode="External"/><Relationship Id="rId245" Type="http://schemas.openxmlformats.org/officeDocument/2006/relationships/hyperlink" Target="https://africanmarketingconfederation.org/amc-relaunch-programme/" TargetMode="External"/><Relationship Id="rId452" Type="http://schemas.openxmlformats.org/officeDocument/2006/relationships/hyperlink" Target="https://africanmarketingconfederation.org/wp-admin/post.php?post=19172&amp;action=edit" TargetMode="External"/><Relationship Id="rId897" Type="http://schemas.openxmlformats.org/officeDocument/2006/relationships/hyperlink" Target="https://africanmarketingconfederation.org/amc-sponsors-2025/" TargetMode="External"/><Relationship Id="rId1082" Type="http://schemas.openxmlformats.org/officeDocument/2006/relationships/hyperlink" Target="https://africanmarketingconfederation.org/wp-admin/post.php?post=6816&amp;action=edit" TargetMode="External"/><Relationship Id="rId105" Type="http://schemas.openxmlformats.org/officeDocument/2006/relationships/hyperlink" Target="https://africanmarketingconfederation.org/awards-2026-test/" TargetMode="External"/><Relationship Id="rId312" Type="http://schemas.openxmlformats.org/officeDocument/2006/relationships/hyperlink" Target="https://africanmarketingconfederation.org/wp-admin/post.php?post=17195&amp;action=edit" TargetMode="External"/><Relationship Id="rId757" Type="http://schemas.openxmlformats.org/officeDocument/2006/relationships/hyperlink" Target="https://africanmarketingconfederation.org/publications-2/" TargetMode="External"/><Relationship Id="rId964" Type="http://schemas.openxmlformats.org/officeDocument/2006/relationships/hyperlink" Target="https://africanmarketingconfederation.org/wp-admin/post.php?post=21591&amp;action=edit" TargetMode="External"/><Relationship Id="rId1387" Type="http://schemas.openxmlformats.org/officeDocument/2006/relationships/hyperlink" Target="https://africanmarketingconfederation.org/chartered-marketer-africa/" TargetMode="External"/><Relationship Id="rId93" Type="http://schemas.openxmlformats.org/officeDocument/2006/relationships/hyperlink" Target="https://africanmarketingconfederation.org/amc-masterclass/" TargetMode="External"/><Relationship Id="rId617" Type="http://schemas.openxmlformats.org/officeDocument/2006/relationships/hyperlink" Target="https://africanmarketingconfederation.org/wp-admin/post.php?post=21958&amp;action=edit" TargetMode="External"/><Relationship Id="rId824" Type="http://schemas.openxmlformats.org/officeDocument/2006/relationships/hyperlink" Target="https://africanmarketingconfederation.org/wp-admin/post.php?post=12371&amp;action=edit" TargetMode="External"/><Relationship Id="rId1247" Type="http://schemas.openxmlformats.org/officeDocument/2006/relationships/hyperlink" Target="https://africanmarketingconfederation.org/wp-admin/post.php?post=25788&amp;action=edit" TargetMode="External"/><Relationship Id="rId1107" Type="http://schemas.openxmlformats.org/officeDocument/2006/relationships/hyperlink" Target="https://africanmarketingconfederation.org/certified-professional-marketer-africa/" TargetMode="External"/><Relationship Id="rId1314" Type="http://schemas.openxmlformats.org/officeDocument/2006/relationships/hyperlink" Target="https://africanmarketingconfederation.org/wp-admin/post.php?post=33050&amp;action=edit" TargetMode="External"/><Relationship Id="rId20" Type="http://schemas.openxmlformats.org/officeDocument/2006/relationships/hyperlink" Target="https://africanmarketingconfederation.org/wp-admin/post.php?post=5619&amp;action=edit" TargetMode="External"/><Relationship Id="rId267" Type="http://schemas.openxmlformats.org/officeDocument/2006/relationships/hyperlink" Target="https://africanmarketingconfederation.org/download-prospectus-2024/" TargetMode="External"/><Relationship Id="rId474" Type="http://schemas.openxmlformats.org/officeDocument/2006/relationships/hyperlink" Target="https://africanmarketingconfederation.org/wp-admin/post.php?post=3686&amp;action=edit" TargetMode="External"/><Relationship Id="rId127" Type="http://schemas.openxmlformats.org/officeDocument/2006/relationships/hyperlink" Target="https://africanmarketingconfederation.org/download-brochure/" TargetMode="External"/><Relationship Id="rId681" Type="http://schemas.openxmlformats.org/officeDocument/2006/relationships/hyperlink" Target="https://africanmarketingconfederation.org/awards-2026/" TargetMode="External"/><Relationship Id="rId779" Type="http://schemas.openxmlformats.org/officeDocument/2006/relationships/hyperlink" Target="https://africanmarketingconfederation.org/test-payment-gate/" TargetMode="External"/><Relationship Id="rId986" Type="http://schemas.openxmlformats.org/officeDocument/2006/relationships/hyperlink" Target="https://africanmarketingconfederation.org/wp-admin/post.php?post=28165&amp;action=edit" TargetMode="External"/><Relationship Id="rId334" Type="http://schemas.openxmlformats.org/officeDocument/2006/relationships/hyperlink" Target="https://africanmarketingconfederation.org/wp-admin/post.php?post=8&amp;action=edit" TargetMode="External"/><Relationship Id="rId541" Type="http://schemas.openxmlformats.org/officeDocument/2006/relationships/hyperlink" Target="https://africanmarketingconfederation.org/amc-conference-2023/book-now-thank-you/" TargetMode="External"/><Relationship Id="rId639" Type="http://schemas.openxmlformats.org/officeDocument/2006/relationships/hyperlink" Target="https://africanmarketingconfederation.org/wp-admin/post.php?post=29496&amp;action=edit" TargetMode="External"/><Relationship Id="rId1171" Type="http://schemas.openxmlformats.org/officeDocument/2006/relationships/hyperlink" Target="https://africanmarketingconfederation.org/thank-you-for-registering-2024-registrations/" TargetMode="External"/><Relationship Id="rId1269" Type="http://schemas.openxmlformats.org/officeDocument/2006/relationships/hyperlink" Target="https://africanmarketingconfederation.org/amc-sign-up-now-form-2025/" TargetMode="External"/><Relationship Id="rId401" Type="http://schemas.openxmlformats.org/officeDocument/2006/relationships/hyperlink" Target="https://africanmarketingconfederation.org/wp-admin/post.php?post=24882&amp;action=edit" TargetMode="External"/><Relationship Id="rId846" Type="http://schemas.openxmlformats.org/officeDocument/2006/relationships/hyperlink" Target="https://africanmarketingconfederation.org/wp-admin/post.php?post=18318&amp;action=edit" TargetMode="External"/><Relationship Id="rId1031" Type="http://schemas.openxmlformats.org/officeDocument/2006/relationships/hyperlink" Target="https://africanmarketingconfederation.org/amc-conference-2025/" TargetMode="External"/><Relationship Id="rId1129" Type="http://schemas.openxmlformats.org/officeDocument/2006/relationships/hyperlink" Target="https://africanmarketingconfederation.org/download-prospectus-2024/" TargetMode="External"/><Relationship Id="rId706" Type="http://schemas.openxmlformats.org/officeDocument/2006/relationships/hyperlink" Target="https://africanmarketingconfederation.org/wp-admin/post.php?post=24640&amp;action=edit" TargetMode="External"/><Relationship Id="rId913" Type="http://schemas.openxmlformats.org/officeDocument/2006/relationships/hyperlink" Target="https://africanmarketingconfederation.org/chartered-marketer-africa-thank-you/" TargetMode="External"/><Relationship Id="rId1336" Type="http://schemas.openxmlformats.org/officeDocument/2006/relationships/hyperlink" Target="https://africanmarketingconfederation.org/wp-admin/post.php?post=27352&amp;action=edit" TargetMode="External"/><Relationship Id="rId42" Type="http://schemas.openxmlformats.org/officeDocument/2006/relationships/hyperlink" Target="https://africanmarketingconfederation.org/wp-admin/post.php?post=12945&amp;action=edit" TargetMode="External"/><Relationship Id="rId1403" Type="http://schemas.openxmlformats.org/officeDocument/2006/relationships/hyperlink" Target="https://africanmarketingconfederation.org/thank-you-for-registering-2024-registrations/" TargetMode="External"/><Relationship Id="rId191" Type="http://schemas.openxmlformats.org/officeDocument/2006/relationships/hyperlink" Target="https://africanmarketingconfederation.org/amc-conference-2022/" TargetMode="External"/><Relationship Id="rId289" Type="http://schemas.openxmlformats.org/officeDocument/2006/relationships/hyperlink" Target="https://africanmarketingconfederation.org/publication-download-list/" TargetMode="External"/><Relationship Id="rId496" Type="http://schemas.openxmlformats.org/officeDocument/2006/relationships/hyperlink" Target="https://africanmarketingconfederation.org/wp-admin/post.php?post=17196&amp;action=edit" TargetMode="External"/><Relationship Id="rId149" Type="http://schemas.openxmlformats.org/officeDocument/2006/relationships/hyperlink" Target="https://africanmarketingconfederation.org/publication-download-list/" TargetMode="External"/><Relationship Id="rId356" Type="http://schemas.openxmlformats.org/officeDocument/2006/relationships/hyperlink" Target="https://africanmarketingconfederation.org/wp-admin/post.php?post=12407&amp;action=edit" TargetMode="External"/><Relationship Id="rId563" Type="http://schemas.openxmlformats.org/officeDocument/2006/relationships/hyperlink" Target="https://africanmarketingconfederation.org/amc-conference-2023/speakers/" TargetMode="External"/><Relationship Id="rId770" Type="http://schemas.openxmlformats.org/officeDocument/2006/relationships/hyperlink" Target="https://africanmarketingconfederation.org/wp-admin/post.php?post=7781&amp;action=edit" TargetMode="External"/><Relationship Id="rId1193" Type="http://schemas.openxmlformats.org/officeDocument/2006/relationships/hyperlink" Target="https://africanmarketingconfederation.org/amc-conference-2022-thank-you/" TargetMode="External"/><Relationship Id="rId216" Type="http://schemas.openxmlformats.org/officeDocument/2006/relationships/hyperlink" Target="https://africanmarketingconfederation.org/wp-admin/post.php?post=5057&amp;action=edit" TargetMode="External"/><Relationship Id="rId423" Type="http://schemas.openxmlformats.org/officeDocument/2006/relationships/hyperlink" Target="https://africanmarketingconfederation.org/amc-testimony-page-2024/" TargetMode="External"/><Relationship Id="rId868" Type="http://schemas.openxmlformats.org/officeDocument/2006/relationships/hyperlink" Target="https://africanmarketingconfederation.org/amc-marketing-conference-2024/" TargetMode="External"/><Relationship Id="rId1053" Type="http://schemas.openxmlformats.org/officeDocument/2006/relationships/hyperlink" Target="https://africanmarketingconfederation.org/wp-admin/post.php?post=33131&amp;action=edit" TargetMode="External"/><Relationship Id="rId1260" Type="http://schemas.openxmlformats.org/officeDocument/2006/relationships/hyperlink" Target="https://africanmarketingconfederation.org/wp-admin/post.php?post=23021&amp;action=edit" TargetMode="External"/><Relationship Id="rId630" Type="http://schemas.openxmlformats.org/officeDocument/2006/relationships/hyperlink" Target="https://africanmarketingconfederation.org/amc-marketing-conference-2024/amc-programme-2025/" TargetMode="External"/><Relationship Id="rId728" Type="http://schemas.openxmlformats.org/officeDocument/2006/relationships/hyperlink" Target="https://africanmarketingconfederation.org/wp-admin/post.php?post=16548&amp;action=edit" TargetMode="External"/><Relationship Id="rId935" Type="http://schemas.openxmlformats.org/officeDocument/2006/relationships/hyperlink" Target="https://africanmarketingconfederation.org/elementor-31820/" TargetMode="External"/><Relationship Id="rId1358" Type="http://schemas.openxmlformats.org/officeDocument/2006/relationships/hyperlink" Target="https://africanmarketingconfederation.org/wp-admin/post.php?post=5619&amp;action=edit" TargetMode="External"/><Relationship Id="rId64" Type="http://schemas.openxmlformats.org/officeDocument/2006/relationships/hyperlink" Target="https://africanmarketingconfederation.org/amc-forum-mombasa/" TargetMode="External"/><Relationship Id="rId1120" Type="http://schemas.openxmlformats.org/officeDocument/2006/relationships/hyperlink" Target="https://africanmarketingconfederation.org/wp-admin/post.php?post=24640&amp;action=edit" TargetMode="External"/><Relationship Id="rId1218" Type="http://schemas.openxmlformats.org/officeDocument/2006/relationships/hyperlink" Target="https://africanmarketingconfederation.org/wp-admin/post.php?post=22401&amp;action=edit" TargetMode="External"/><Relationship Id="rId280" Type="http://schemas.openxmlformats.org/officeDocument/2006/relationships/hyperlink" Target="https://africanmarketingconfederation.org/wp-admin/post.php?post=5597&amp;action=edit" TargetMode="External"/><Relationship Id="rId140" Type="http://schemas.openxmlformats.org/officeDocument/2006/relationships/hyperlink" Target="https://africanmarketingconfederation.org/wp-admin/post.php?post=5597&amp;action=edit" TargetMode="External"/><Relationship Id="rId378" Type="http://schemas.openxmlformats.org/officeDocument/2006/relationships/hyperlink" Target="https://africanmarketingconfederation.org/wp-admin/post.php?post=22778&amp;action=edit" TargetMode="External"/><Relationship Id="rId585" Type="http://schemas.openxmlformats.org/officeDocument/2006/relationships/hyperlink" Target="https://africanmarketingconfederation.org/amc-conference-2026-zambia-thank-you/" TargetMode="External"/><Relationship Id="rId792" Type="http://schemas.openxmlformats.org/officeDocument/2006/relationships/hyperlink" Target="https://africanmarketingconfederation.org/wp-admin/post.php?post=7916&amp;action=edit" TargetMode="External"/><Relationship Id="rId6" Type="http://schemas.openxmlformats.org/officeDocument/2006/relationships/hyperlink" Target="https://africanmarketingconfederation.org/amc-marketing-conference-2024/speakers-2024/" TargetMode="External"/><Relationship Id="rId238" Type="http://schemas.openxmlformats.org/officeDocument/2006/relationships/hyperlink" Target="https://africanmarketingconfederation.org/wp-admin/post.php?post=6822&amp;action=edit" TargetMode="External"/><Relationship Id="rId445" Type="http://schemas.openxmlformats.org/officeDocument/2006/relationships/hyperlink" Target="https://africanmarketingconfederation.org/conference-registrations-2024/" TargetMode="External"/><Relationship Id="rId652" Type="http://schemas.openxmlformats.org/officeDocument/2006/relationships/hyperlink" Target="https://africanmarketingconfederation.org/wp-admin/post.php?post=6822&amp;action=edit" TargetMode="External"/><Relationship Id="rId1075" Type="http://schemas.openxmlformats.org/officeDocument/2006/relationships/hyperlink" Target="https://africanmarketingconfederation.org/wp-admin/post.php?post=16104&amp;action=edit" TargetMode="External"/><Relationship Id="rId1282" Type="http://schemas.openxmlformats.org/officeDocument/2006/relationships/hyperlink" Target="https://africanmarketingconfederation.org/wp-admin/post.php?post=28742&amp;action=edit" TargetMode="External"/><Relationship Id="rId305" Type="http://schemas.openxmlformats.org/officeDocument/2006/relationships/hyperlink" Target="https://africanmarketingconfederation.org/test-payment-gate/" TargetMode="External"/><Relationship Id="rId512" Type="http://schemas.openxmlformats.org/officeDocument/2006/relationships/hyperlink" Target="https://africanmarketingconfederation.org/wp-admin/post.php?post=28165&amp;action=edit" TargetMode="External"/><Relationship Id="rId957" Type="http://schemas.openxmlformats.org/officeDocument/2006/relationships/hyperlink" Target="https://africanmarketingconfederation.org/subscribe/" TargetMode="External"/><Relationship Id="rId1142" Type="http://schemas.openxmlformats.org/officeDocument/2006/relationships/hyperlink" Target="https://africanmarketingconfederation.org/wp-admin/post.php?post=33050&amp;action=edit" TargetMode="External"/><Relationship Id="rId86" Type="http://schemas.openxmlformats.org/officeDocument/2006/relationships/hyperlink" Target="https://africanmarketingconfederation.org/amc-marketing-conference-2024/speakers-2024/" TargetMode="External"/><Relationship Id="rId817" Type="http://schemas.openxmlformats.org/officeDocument/2006/relationships/hyperlink" Target="https://africanmarketingconfederation.org/amc-conference-2022-prospectus/" TargetMode="External"/><Relationship Id="rId1002" Type="http://schemas.openxmlformats.org/officeDocument/2006/relationships/hyperlink" Target="https://africanmarketingconfederation.org/wp-admin/post.php?post=12954&amp;action=edit" TargetMode="External"/><Relationship Id="rId1307" Type="http://schemas.openxmlformats.org/officeDocument/2006/relationships/hyperlink" Target="https://africanmarketingconfederation.org/elementor-20341/" TargetMode="External"/><Relationship Id="rId13" Type="http://schemas.openxmlformats.org/officeDocument/2006/relationships/hyperlink" Target="https://africanmarketingconfederation.org/about-us/" TargetMode="External"/><Relationship Id="rId162" Type="http://schemas.openxmlformats.org/officeDocument/2006/relationships/hyperlink" Target="https://africanmarketingconfederation.org/wp-admin/post.php?post=5490&amp;action=edit" TargetMode="External"/><Relationship Id="rId467" Type="http://schemas.openxmlformats.org/officeDocument/2006/relationships/hyperlink" Target="https://africanmarketingconfederation.org/news-articles/" TargetMode="External"/><Relationship Id="rId1097" Type="http://schemas.openxmlformats.org/officeDocument/2006/relationships/hyperlink" Target="https://africanmarketingconfederation.org/awards-2026-1/" TargetMode="External"/><Relationship Id="rId674" Type="http://schemas.openxmlformats.org/officeDocument/2006/relationships/hyperlink" Target="https://africanmarketingconfederation.org/wp-admin/post.php?post=22679&amp;action=edit" TargetMode="External"/><Relationship Id="rId881" Type="http://schemas.openxmlformats.org/officeDocument/2006/relationships/hyperlink" Target="https://africanmarketingconfederation.org/wp-admin/post.php?post=29496&amp;action=edit" TargetMode="External"/><Relationship Id="rId979" Type="http://schemas.openxmlformats.org/officeDocument/2006/relationships/hyperlink" Target="https://africanmarketingconfederation.org/" TargetMode="External"/><Relationship Id="rId327" Type="http://schemas.openxmlformats.org/officeDocument/2006/relationships/hyperlink" Target="https://africanmarketingconfederation.org/upcoming-events/" TargetMode="External"/><Relationship Id="rId534" Type="http://schemas.openxmlformats.org/officeDocument/2006/relationships/hyperlink" Target="https://africanmarketingconfederation.org/wp-admin/post.php?post=13164&amp;action=edit" TargetMode="External"/><Relationship Id="rId741" Type="http://schemas.openxmlformats.org/officeDocument/2006/relationships/hyperlink" Target="https://africanmarketingconfederation.org/launch-event-2026-amc-conference/" TargetMode="External"/><Relationship Id="rId839" Type="http://schemas.openxmlformats.org/officeDocument/2006/relationships/hyperlink" Target="https://africanmarketingconfederation.org/amc-conference-2023/programme/" TargetMode="External"/><Relationship Id="rId1164" Type="http://schemas.openxmlformats.org/officeDocument/2006/relationships/hyperlink" Target="https://africanmarketingconfederation.org/wp-admin/post.php?post=7781&amp;action=edit" TargetMode="External"/><Relationship Id="rId1371" Type="http://schemas.openxmlformats.org/officeDocument/2006/relationships/hyperlink" Target="https://africanmarketingconfederation.org/amc-marketing-conference-2024/amc-conference-2025-ghana-sponsors/" TargetMode="External"/><Relationship Id="rId601" Type="http://schemas.openxmlformats.org/officeDocument/2006/relationships/hyperlink" Target="https://africanmarketingconfederation.org/wp-admin/post.php?post=12477&amp;action=edit" TargetMode="External"/><Relationship Id="rId1024" Type="http://schemas.openxmlformats.org/officeDocument/2006/relationships/hyperlink" Target="https://africanmarketingconfederation.org/wp-admin/post.php?post=18318&amp;action=edit" TargetMode="External"/><Relationship Id="rId1231" Type="http://schemas.openxmlformats.org/officeDocument/2006/relationships/hyperlink" Target="https://africanmarketingconfederation.org/amc-conference-programme/" TargetMode="External"/><Relationship Id="rId906" Type="http://schemas.openxmlformats.org/officeDocument/2006/relationships/hyperlink" Target="https://africanmarketingconfederation.org/wp-admin/post.php?post=34622&amp;action=edit" TargetMode="External"/><Relationship Id="rId1329" Type="http://schemas.openxmlformats.org/officeDocument/2006/relationships/hyperlink" Target="https://africanmarketingconfederation.org/sub-committees/" TargetMode="External"/><Relationship Id="rId35" Type="http://schemas.openxmlformats.org/officeDocument/2006/relationships/hyperlink" Target="https://africanmarketingconfederation.org/amc-conference-2023/download-prospectus/" TargetMode="External"/><Relationship Id="rId184" Type="http://schemas.openxmlformats.org/officeDocument/2006/relationships/hyperlink" Target="https://africanmarketingconfederation.org/wp-admin/post.php?post=5619&amp;action=edit" TargetMode="External"/><Relationship Id="rId391" Type="http://schemas.openxmlformats.org/officeDocument/2006/relationships/hyperlink" Target="https://africanmarketingconfederation.org/wp-admin/post.php?post=33131&amp;action=edit" TargetMode="External"/><Relationship Id="rId251" Type="http://schemas.openxmlformats.org/officeDocument/2006/relationships/hyperlink" Target="https://africanmarketingconfederation.org/chartered-marketer-africa-programme-fee/" TargetMode="External"/><Relationship Id="rId489" Type="http://schemas.openxmlformats.org/officeDocument/2006/relationships/hyperlink" Target="https://africanmarketingconfederation.org/thank-you-for-registering-2024-registrations/" TargetMode="External"/><Relationship Id="rId696" Type="http://schemas.openxmlformats.org/officeDocument/2006/relationships/hyperlink" Target="https://africanmarketingconfederation.org/wp-admin/post.php?post=10823&amp;action=edit" TargetMode="External"/><Relationship Id="rId349" Type="http://schemas.openxmlformats.org/officeDocument/2006/relationships/hyperlink" Target="https://africanmarketingconfederation.org/amc-conference-2023/amc-awards-book-now/" TargetMode="External"/><Relationship Id="rId556" Type="http://schemas.openxmlformats.org/officeDocument/2006/relationships/hyperlink" Target="https://africanmarketingconfederation.org/wp-admin/post.php?post=13282&amp;action=edit" TargetMode="External"/><Relationship Id="rId763" Type="http://schemas.openxmlformats.org/officeDocument/2006/relationships/hyperlink" Target="https://africanmarketingconfederation.org/speakers/" TargetMode="External"/><Relationship Id="rId1186" Type="http://schemas.openxmlformats.org/officeDocument/2006/relationships/hyperlink" Target="https://africanmarketingconfederation.org/wp-admin/post.php?post=84&amp;action=edit" TargetMode="External"/><Relationship Id="rId1393" Type="http://schemas.openxmlformats.org/officeDocument/2006/relationships/hyperlink" Target="https://africanmarketingconfederation.org/conference-registrations-2024/" TargetMode="External"/><Relationship Id="rId111" Type="http://schemas.openxmlformats.org/officeDocument/2006/relationships/hyperlink" Target="https://africanmarketingconfederation.org/chartered-marketer-africa-final-submission-fee/" TargetMode="External"/><Relationship Id="rId209" Type="http://schemas.openxmlformats.org/officeDocument/2006/relationships/hyperlink" Target="https://africanmarketingconfederation.org/amc-conference-2024-sponsors-packages/" TargetMode="External"/><Relationship Id="rId416" Type="http://schemas.openxmlformats.org/officeDocument/2006/relationships/hyperlink" Target="https://africanmarketingconfederation.org/wp-admin/post.php?post=6553&amp;action=edit" TargetMode="External"/><Relationship Id="rId970" Type="http://schemas.openxmlformats.org/officeDocument/2006/relationships/hyperlink" Target="https://africanmarketingconfederation.org/wp-admin/post.php?post=17000&amp;action=edit" TargetMode="External"/><Relationship Id="rId1046" Type="http://schemas.openxmlformats.org/officeDocument/2006/relationships/hyperlink" Target="https://africanmarketingconfederation.org/amc-conference-thank-you/" TargetMode="External"/><Relationship Id="rId1253" Type="http://schemas.openxmlformats.org/officeDocument/2006/relationships/hyperlink" Target="https://africanmarketingconfederation.org/wp-admin/post.php?post=22595&amp;action=edit" TargetMode="External"/><Relationship Id="rId623" Type="http://schemas.openxmlformats.org/officeDocument/2006/relationships/hyperlink" Target="https://africanmarketingconfederation.org/wp-admin/post.php?post=25788&amp;action=edit" TargetMode="External"/><Relationship Id="rId830" Type="http://schemas.openxmlformats.org/officeDocument/2006/relationships/hyperlink" Target="https://africanmarketingconfederation.org/wp-admin/post.php?post=12497&amp;action=edit" TargetMode="External"/><Relationship Id="rId928" Type="http://schemas.openxmlformats.org/officeDocument/2006/relationships/hyperlink" Target="https://africanmarketingconfederation.org/wp-admin/post.php?post=19172&amp;action=edit" TargetMode="External"/><Relationship Id="rId57" Type="http://schemas.openxmlformats.org/officeDocument/2006/relationships/hyperlink" Target="https://africanmarketingconfederation.org/amc-conference-2026/" TargetMode="External"/><Relationship Id="rId1113" Type="http://schemas.openxmlformats.org/officeDocument/2006/relationships/hyperlink" Target="https://africanmarketingconfederation.org/chartered-marketer-africa-thank-you/" TargetMode="External"/><Relationship Id="rId1320" Type="http://schemas.openxmlformats.org/officeDocument/2006/relationships/hyperlink" Target="https://africanmarketingconfederation.org/wp-admin/post.php?post=3&amp;action=edit" TargetMode="External"/><Relationship Id="rId273" Type="http://schemas.openxmlformats.org/officeDocument/2006/relationships/hyperlink" Target="https://africanmarketingconfederation.org/elementor-16548/" TargetMode="External"/><Relationship Id="rId480" Type="http://schemas.openxmlformats.org/officeDocument/2006/relationships/hyperlink" Target="https://africanmarketingconfederation.org/wp-admin/post.php?post=3634&amp;action=edit" TargetMode="External"/><Relationship Id="rId701" Type="http://schemas.openxmlformats.org/officeDocument/2006/relationships/hyperlink" Target="https://africanmarketingconfederation.org/checkout/" TargetMode="External"/><Relationship Id="rId939" Type="http://schemas.openxmlformats.org/officeDocument/2006/relationships/hyperlink" Target="https://africanmarketingconfederation.org/launch-event-2026-amc-conference/" TargetMode="External"/><Relationship Id="rId1124" Type="http://schemas.openxmlformats.org/officeDocument/2006/relationships/hyperlink" Target="https://africanmarketingconfederation.org/wp-admin/post.php?post=92&amp;action=edit" TargetMode="External"/><Relationship Id="rId1331" Type="http://schemas.openxmlformats.org/officeDocument/2006/relationships/hyperlink" Target="https://africanmarketingconfederation.org/subscribe/" TargetMode="External"/><Relationship Id="rId68" Type="http://schemas.openxmlformats.org/officeDocument/2006/relationships/hyperlink" Target="https://africanmarketingconfederation.org/amc-launch-event-zambia-thank-you-2026/" TargetMode="External"/><Relationship Id="rId133" Type="http://schemas.openxmlformats.org/officeDocument/2006/relationships/hyperlink" Target="https://africanmarketingconfederation.org/elementor-16548/" TargetMode="External"/><Relationship Id="rId340" Type="http://schemas.openxmlformats.org/officeDocument/2006/relationships/hyperlink" Target="https://africanmarketingconfederation.org/wp-admin/post.php?post=16125&amp;action=edit" TargetMode="External"/><Relationship Id="rId578" Type="http://schemas.openxmlformats.org/officeDocument/2006/relationships/hyperlink" Target="https://africanmarketingconfederation.org/wp-admin/post.php?post=30257&amp;action=edit" TargetMode="External"/><Relationship Id="rId785" Type="http://schemas.openxmlformats.org/officeDocument/2006/relationships/hyperlink" Target="https://africanmarketingconfederation.org/thank-you-for-registering-2024-registrations/" TargetMode="External"/><Relationship Id="rId992" Type="http://schemas.openxmlformats.org/officeDocument/2006/relationships/hyperlink" Target="https://africanmarketingconfederation.org/wp-admin/post.php?post=5619&amp;action=edit" TargetMode="External"/><Relationship Id="rId200" Type="http://schemas.openxmlformats.org/officeDocument/2006/relationships/hyperlink" Target="https://africanmarketingconfederation.org/wp-admin/post.php?post=12497&amp;action=edit" TargetMode="External"/><Relationship Id="rId438" Type="http://schemas.openxmlformats.org/officeDocument/2006/relationships/hyperlink" Target="https://africanmarketingconfederation.org/wp-admin/post.php?post=10823&amp;action=edit" TargetMode="External"/><Relationship Id="rId645" Type="http://schemas.openxmlformats.org/officeDocument/2006/relationships/hyperlink" Target="https://africanmarketingconfederation.org/amc-marketing-conference-2024/testimony-thank-you-page/" TargetMode="External"/><Relationship Id="rId852" Type="http://schemas.openxmlformats.org/officeDocument/2006/relationships/hyperlink" Target="https://africanmarketingconfederation.org/wp-admin/post.php?post=33280&amp;action=edit" TargetMode="External"/><Relationship Id="rId1068" Type="http://schemas.openxmlformats.org/officeDocument/2006/relationships/hyperlink" Target="https://africanmarketingconfederation.org/amc-marketing-conference-2024/amc-speakers-presentations-2024/" TargetMode="External"/><Relationship Id="rId1275" Type="http://schemas.openxmlformats.org/officeDocument/2006/relationships/hyperlink" Target="https://africanmarketingconfederation.org/awards-2026-1/" TargetMode="External"/><Relationship Id="rId284" Type="http://schemas.openxmlformats.org/officeDocument/2006/relationships/hyperlink" Target="https://africanmarketingconfederation.org/wp-admin/post.php?post=33050&amp;action=edit" TargetMode="External"/><Relationship Id="rId491" Type="http://schemas.openxmlformats.org/officeDocument/2006/relationships/hyperlink" Target="https://africanmarketingconfederation.org/thank-you-for-subscribing/" TargetMode="External"/><Relationship Id="rId505" Type="http://schemas.openxmlformats.org/officeDocument/2006/relationships/hyperlink" Target="https://africanmarketingconfederation.org/about-us/" TargetMode="External"/><Relationship Id="rId712" Type="http://schemas.openxmlformats.org/officeDocument/2006/relationships/hyperlink" Target="https://africanmarketingconfederation.org/wp-admin/post.php?post=92&amp;action=edit" TargetMode="External"/><Relationship Id="rId1135" Type="http://schemas.openxmlformats.org/officeDocument/2006/relationships/hyperlink" Target="https://africanmarketingconfederation.org/elementor-20341/" TargetMode="External"/><Relationship Id="rId1342" Type="http://schemas.openxmlformats.org/officeDocument/2006/relationships/hyperlink" Target="https://africanmarketingconfederation.org/wp-admin/post.php?post=7916&amp;action=edit" TargetMode="External"/><Relationship Id="rId79" Type="http://schemas.openxmlformats.org/officeDocument/2006/relationships/hyperlink" Target="https://africanmarketingconfederation.org/wp-admin/post.php?post=24882&amp;action=edit" TargetMode="External"/><Relationship Id="rId144" Type="http://schemas.openxmlformats.org/officeDocument/2006/relationships/hyperlink" Target="https://africanmarketingconfederation.org/wp-admin/post.php?post=86&amp;action=edit" TargetMode="External"/><Relationship Id="rId589" Type="http://schemas.openxmlformats.org/officeDocument/2006/relationships/hyperlink" Target="https://africanmarketingconfederation.org/amc-conference-2026/" TargetMode="External"/><Relationship Id="rId796" Type="http://schemas.openxmlformats.org/officeDocument/2006/relationships/hyperlink" Target="https://africanmarketingconfederation.org/wp-admin/post.php?post=17000&amp;action=edit" TargetMode="External"/><Relationship Id="rId1202" Type="http://schemas.openxmlformats.org/officeDocument/2006/relationships/hyperlink" Target="https://africanmarketingconfederation.org/wp-admin/post.php?post=12954&amp;action=edit" TargetMode="External"/><Relationship Id="rId351" Type="http://schemas.openxmlformats.org/officeDocument/2006/relationships/hyperlink" Target="https://africanmarketingconfederation.org/amc-conference-2023/amc-awards/" TargetMode="External"/><Relationship Id="rId449" Type="http://schemas.openxmlformats.org/officeDocument/2006/relationships/hyperlink" Target="https://africanmarketingconfederation.org/download-brochure/" TargetMode="External"/><Relationship Id="rId656" Type="http://schemas.openxmlformats.org/officeDocument/2006/relationships/hyperlink" Target="https://africanmarketingconfederation.org/wp-admin/post.php?post=6553&amp;action=edit" TargetMode="External"/><Relationship Id="rId863" Type="http://schemas.openxmlformats.org/officeDocument/2006/relationships/hyperlink" Target="https://africanmarketingconfederation.org/wp-admin/post.php?post=21958&amp;action=edit" TargetMode="External"/><Relationship Id="rId1079" Type="http://schemas.openxmlformats.org/officeDocument/2006/relationships/hyperlink" Target="https://africanmarketingconfederation.org/amc-marketing-conference-2024/testimony-thank-you-page/" TargetMode="External"/><Relationship Id="rId1286" Type="http://schemas.openxmlformats.org/officeDocument/2006/relationships/hyperlink" Target="https://africanmarketingconfederation.org/wp-admin/post.php?post=19980&amp;action=edit" TargetMode="External"/><Relationship Id="rId211" Type="http://schemas.openxmlformats.org/officeDocument/2006/relationships/hyperlink" Target="https://africanmarketingconfederation.org/amc-conference-2026-awards-nominations-thank-you/" TargetMode="External"/><Relationship Id="rId295" Type="http://schemas.openxmlformats.org/officeDocument/2006/relationships/hyperlink" Target="https://africanmarketingconfederation.org/speakers/" TargetMode="External"/><Relationship Id="rId309" Type="http://schemas.openxmlformats.org/officeDocument/2006/relationships/hyperlink" Target="https://africanmarketingconfederation.org/thank-you-for-registering-2024-registrations-kenya/" TargetMode="External"/><Relationship Id="rId516" Type="http://schemas.openxmlformats.org/officeDocument/2006/relationships/hyperlink" Target="https://africanmarketingconfederation.org/wp-admin/post.php?post=16125&amp;action=edit" TargetMode="External"/><Relationship Id="rId1146" Type="http://schemas.openxmlformats.org/officeDocument/2006/relationships/hyperlink" Target="https://africanmarketingconfederation.org/wp-admin/post.php?post=2196&amp;action=edit" TargetMode="External"/><Relationship Id="rId723" Type="http://schemas.openxmlformats.org/officeDocument/2006/relationships/hyperlink" Target="https://africanmarketingconfederation.org/education/" TargetMode="External"/><Relationship Id="rId930" Type="http://schemas.openxmlformats.org/officeDocument/2006/relationships/hyperlink" Target="https://africanmarketingconfederation.org/wp-admin/post.php?post=88&amp;action=edit" TargetMode="External"/><Relationship Id="rId1006" Type="http://schemas.openxmlformats.org/officeDocument/2006/relationships/hyperlink" Target="https://africanmarketingconfederation.org/wp-admin/post.php?post=12407&amp;action=edit" TargetMode="External"/><Relationship Id="rId1353" Type="http://schemas.openxmlformats.org/officeDocument/2006/relationships/hyperlink" Target="https://africanmarketingconfederation.org/about-us/" TargetMode="External"/><Relationship Id="rId155" Type="http://schemas.openxmlformats.org/officeDocument/2006/relationships/hyperlink" Target="https://africanmarketingconfederation.org/speakers/" TargetMode="External"/><Relationship Id="rId362" Type="http://schemas.openxmlformats.org/officeDocument/2006/relationships/hyperlink" Target="https://africanmarketingconfederation.org/wp-admin/post.php?post=13282&amp;action=edit" TargetMode="External"/><Relationship Id="rId1213" Type="http://schemas.openxmlformats.org/officeDocument/2006/relationships/hyperlink" Target="https://africanmarketingconfederation.org/amc-conference-2023/programme/" TargetMode="External"/><Relationship Id="rId1297" Type="http://schemas.openxmlformats.org/officeDocument/2006/relationships/hyperlink" Target="https://africanmarketingconfederation.org/contact-us/" TargetMode="External"/><Relationship Id="rId222" Type="http://schemas.openxmlformats.org/officeDocument/2006/relationships/hyperlink" Target="https://africanmarketingconfederation.org/amc-launch-event-zambia-thank-you-2026/" TargetMode="External"/><Relationship Id="rId667" Type="http://schemas.openxmlformats.org/officeDocument/2006/relationships/hyperlink" Target="https://africanmarketingconfederation.org/amc-sponsors-2025/" TargetMode="External"/><Relationship Id="rId874" Type="http://schemas.openxmlformats.org/officeDocument/2006/relationships/hyperlink" Target="https://africanmarketingconfederation.org/amc-marketing-conference-2024/amc-preregister-2025/" TargetMode="External"/><Relationship Id="rId17" Type="http://schemas.openxmlformats.org/officeDocument/2006/relationships/hyperlink" Target="https://africanmarketingconfederation.org/amc-awards-2024/" TargetMode="External"/><Relationship Id="rId527" Type="http://schemas.openxmlformats.org/officeDocument/2006/relationships/hyperlink" Target="https://africanmarketingconfederation.org/amc-conference-2022/" TargetMode="External"/><Relationship Id="rId734" Type="http://schemas.openxmlformats.org/officeDocument/2006/relationships/hyperlink" Target="https://africanmarketingconfederation.org/wp-admin/post.php?post=31820&amp;action=edit" TargetMode="External"/><Relationship Id="rId941" Type="http://schemas.openxmlformats.org/officeDocument/2006/relationships/hyperlink" Target="https://africanmarketingconfederation.org/members/" TargetMode="External"/><Relationship Id="rId1157" Type="http://schemas.openxmlformats.org/officeDocument/2006/relationships/hyperlink" Target="https://africanmarketingconfederation.org/speakers-2025/" TargetMode="External"/><Relationship Id="rId1364" Type="http://schemas.openxmlformats.org/officeDocument/2006/relationships/hyperlink" Target="https://africanmarketingconfederation.org/wp-admin/post.php?post=23710&amp;action=edit" TargetMode="External"/><Relationship Id="rId70" Type="http://schemas.openxmlformats.org/officeDocument/2006/relationships/hyperlink" Target="https://africanmarketingconfederation.org/amc-marketing-conference-2024/" TargetMode="External"/><Relationship Id="rId166" Type="http://schemas.openxmlformats.org/officeDocument/2006/relationships/hyperlink" Target="https://africanmarketingconfederation.org/wp-admin/post.php?post=21591&amp;action=edit" TargetMode="External"/><Relationship Id="rId373" Type="http://schemas.openxmlformats.org/officeDocument/2006/relationships/hyperlink" Target="https://africanmarketingconfederation.org/amc-conference-2025/" TargetMode="External"/><Relationship Id="rId580" Type="http://schemas.openxmlformats.org/officeDocument/2006/relationships/hyperlink" Target="https://africanmarketingconfederation.org/wp-admin/post.php?post=23710&amp;action=edit" TargetMode="External"/><Relationship Id="rId801" Type="http://schemas.openxmlformats.org/officeDocument/2006/relationships/hyperlink" Target="https://africanmarketingconfederation.org/upcoming-events/" TargetMode="External"/><Relationship Id="rId1017" Type="http://schemas.openxmlformats.org/officeDocument/2006/relationships/hyperlink" Target="https://africanmarketingconfederation.org/amc-conference-2023/speakers/" TargetMode="External"/><Relationship Id="rId1224" Type="http://schemas.openxmlformats.org/officeDocument/2006/relationships/hyperlink" Target="https://africanmarketingconfederation.org/wp-admin/post.php?post=23710&amp;action=edit" TargetMode="External"/><Relationship Id="rId1" Type="http://schemas.openxmlformats.org/officeDocument/2006/relationships/hyperlink" Target="https://africanmarketingconfederation.org/amc-conference-sponsors/" TargetMode="External"/><Relationship Id="rId233" Type="http://schemas.openxmlformats.org/officeDocument/2006/relationships/hyperlink" Target="https://africanmarketingconfederation.org/amc-masterclass-bookings/" TargetMode="External"/><Relationship Id="rId440" Type="http://schemas.openxmlformats.org/officeDocument/2006/relationships/hyperlink" Target="https://africanmarketingconfederation.org/wp-admin/post.php?post=9075&amp;action=edit" TargetMode="External"/><Relationship Id="rId678" Type="http://schemas.openxmlformats.org/officeDocument/2006/relationships/hyperlink" Target="https://africanmarketingconfederation.org/wp-admin/post.php?post=34552&amp;action=edit" TargetMode="External"/><Relationship Id="rId885" Type="http://schemas.openxmlformats.org/officeDocument/2006/relationships/hyperlink" Target="https://africanmarketingconfederation.org/amc-marketing-conference-2024/testimony-thank-you-page/" TargetMode="External"/><Relationship Id="rId1070" Type="http://schemas.openxmlformats.org/officeDocument/2006/relationships/hyperlink" Target="https://africanmarketingconfederation.org/amc-marketing-conference-2024/amc-speakers-presentations-2024/" TargetMode="External"/><Relationship Id="rId28" Type="http://schemas.openxmlformats.org/officeDocument/2006/relationships/hyperlink" Target="https://africanmarketingconfederation.org/wp-admin/post.php?post=13164&amp;action=edit" TargetMode="External"/><Relationship Id="rId300" Type="http://schemas.openxmlformats.org/officeDocument/2006/relationships/hyperlink" Target="https://africanmarketingconfederation.org/wp-admin/post.php?post=5490&amp;action=edit" TargetMode="External"/><Relationship Id="rId538" Type="http://schemas.openxmlformats.org/officeDocument/2006/relationships/hyperlink" Target="https://africanmarketingconfederation.org/wp-admin/post.php?post=12954&amp;action=edit" TargetMode="External"/><Relationship Id="rId745" Type="http://schemas.openxmlformats.org/officeDocument/2006/relationships/hyperlink" Target="https://africanmarketingconfederation.org/members/" TargetMode="External"/><Relationship Id="rId952" Type="http://schemas.openxmlformats.org/officeDocument/2006/relationships/hyperlink" Target="https://africanmarketingconfederation.org/wp-admin/post.php?post=21962&amp;action=edit" TargetMode="External"/><Relationship Id="rId1168" Type="http://schemas.openxmlformats.org/officeDocument/2006/relationships/hyperlink" Target="https://africanmarketingconfederation.org/wp-admin/post.php?post=27352&amp;action=edit" TargetMode="External"/><Relationship Id="rId1375" Type="http://schemas.openxmlformats.org/officeDocument/2006/relationships/hyperlink" Target="https://africanmarketingconfederation.org/amc-marketing-conference-2024/amc-speakers-presentations-2024/" TargetMode="External"/><Relationship Id="rId81" Type="http://schemas.openxmlformats.org/officeDocument/2006/relationships/hyperlink" Target="https://africanmarketingconfederation.org/wp-admin/post.php?post=22595&amp;action=edit" TargetMode="External"/><Relationship Id="rId177" Type="http://schemas.openxmlformats.org/officeDocument/2006/relationships/hyperlink" Target="https://africanmarketingconfederation.org/virtual-programme/" TargetMode="External"/><Relationship Id="rId384" Type="http://schemas.openxmlformats.org/officeDocument/2006/relationships/hyperlink" Target="https://africanmarketingconfederation.org/amc-conference-thank-you/" TargetMode="External"/><Relationship Id="rId591" Type="http://schemas.openxmlformats.org/officeDocument/2006/relationships/hyperlink" Target="https://africanmarketingconfederation.org/amc-conference-2026/" TargetMode="External"/><Relationship Id="rId605" Type="http://schemas.openxmlformats.org/officeDocument/2006/relationships/hyperlink" Target="https://africanmarketingconfederation.org/wp-admin/post.php?post=21958&amp;action=edit" TargetMode="External"/><Relationship Id="rId812" Type="http://schemas.openxmlformats.org/officeDocument/2006/relationships/hyperlink" Target="https://africanmarketingconfederation.org/wp-admin/post.php?post=84&amp;action=edit" TargetMode="External"/><Relationship Id="rId1028" Type="http://schemas.openxmlformats.org/officeDocument/2006/relationships/hyperlink" Target="https://africanmarketingconfederation.org/wp-admin/post.php?post=30257&amp;action=edit" TargetMode="External"/><Relationship Id="rId1235" Type="http://schemas.openxmlformats.org/officeDocument/2006/relationships/hyperlink" Target="https://africanmarketingconfederation.org/wp-admin/post.php?post=12477&amp;action=edit" TargetMode="External"/><Relationship Id="rId244" Type="http://schemas.openxmlformats.org/officeDocument/2006/relationships/hyperlink" Target="https://africanmarketingconfederation.org/wp-admin/post.php?post=6553&amp;action=edit" TargetMode="External"/><Relationship Id="rId689" Type="http://schemas.openxmlformats.org/officeDocument/2006/relationships/hyperlink" Target="https://africanmarketingconfederation.org/chartered-marketer-africa-final-submission-fee/" TargetMode="External"/><Relationship Id="rId896" Type="http://schemas.openxmlformats.org/officeDocument/2006/relationships/hyperlink" Target="https://africanmarketingconfederation.org/wp-admin/post.php?post=23001&amp;action=edit" TargetMode="External"/><Relationship Id="rId1081" Type="http://schemas.openxmlformats.org/officeDocument/2006/relationships/hyperlink" Target="https://africanmarketingconfederation.org/amc-masterclass-bookings/" TargetMode="External"/><Relationship Id="rId1302" Type="http://schemas.openxmlformats.org/officeDocument/2006/relationships/hyperlink" Target="https://africanmarketingconfederation.org/wp-admin/post.php?post=19172&amp;action=edit" TargetMode="External"/><Relationship Id="rId39" Type="http://schemas.openxmlformats.org/officeDocument/2006/relationships/hyperlink" Target="https://africanmarketingconfederation.org/amc-conference-2023/partners/" TargetMode="External"/><Relationship Id="rId451" Type="http://schemas.openxmlformats.org/officeDocument/2006/relationships/hyperlink" Target="https://africanmarketingconfederation.org/download-prospectus-2024/" TargetMode="External"/><Relationship Id="rId549" Type="http://schemas.openxmlformats.org/officeDocument/2006/relationships/hyperlink" Target="https://africanmarketingconfederation.org/amc-conference-2023/download-prospectus/" TargetMode="External"/><Relationship Id="rId756" Type="http://schemas.openxmlformats.org/officeDocument/2006/relationships/hyperlink" Target="https://africanmarketingconfederation.org/wp-admin/post.php?post=9047&amp;action=edit" TargetMode="External"/><Relationship Id="rId1179" Type="http://schemas.openxmlformats.org/officeDocument/2006/relationships/hyperlink" Target="https://africanmarketingconfederation.org/upcoming-events/" TargetMode="External"/><Relationship Id="rId1386" Type="http://schemas.openxmlformats.org/officeDocument/2006/relationships/hyperlink" Target="https://africanmarketingconfederation.org/wp-admin/post.php?post=10823&amp;action=edit" TargetMode="External"/><Relationship Id="rId104" Type="http://schemas.openxmlformats.org/officeDocument/2006/relationships/hyperlink" Target="https://africanmarketingconfederation.org/wp-admin/post.php?post=32554&amp;action=edit" TargetMode="External"/><Relationship Id="rId188" Type="http://schemas.openxmlformats.org/officeDocument/2006/relationships/hyperlink" Target="https://africanmarketingconfederation.org/wp-admin/post.php?post=4941&amp;action=edit" TargetMode="External"/><Relationship Id="rId311" Type="http://schemas.openxmlformats.org/officeDocument/2006/relationships/hyperlink" Target="https://africanmarketingconfederation.org/thank-you-for-registering-2024-registrations/" TargetMode="External"/><Relationship Id="rId395" Type="http://schemas.openxmlformats.org/officeDocument/2006/relationships/hyperlink" Target="https://africanmarketingconfederation.org/wp-admin/post.php?post=25857&amp;action=edit" TargetMode="External"/><Relationship Id="rId409" Type="http://schemas.openxmlformats.org/officeDocument/2006/relationships/hyperlink" Target="https://africanmarketingconfederation.org/amc-marketing-conference-2024/testimony-thank-you-page/" TargetMode="External"/><Relationship Id="rId963" Type="http://schemas.openxmlformats.org/officeDocument/2006/relationships/hyperlink" Target="https://africanmarketingconfederation.org/thank-you-for-registering-2024-registrations-kenya/" TargetMode="External"/><Relationship Id="rId1039" Type="http://schemas.openxmlformats.org/officeDocument/2006/relationships/hyperlink" Target="https://africanmarketingconfederation.org/amc-conference-2026-zambia-thank-you/" TargetMode="External"/><Relationship Id="rId1246" Type="http://schemas.openxmlformats.org/officeDocument/2006/relationships/hyperlink" Target="https://africanmarketingconfederation.org/amc-marketing-conference-2024/amc-launch-event-2025/" TargetMode="External"/><Relationship Id="rId92" Type="http://schemas.openxmlformats.org/officeDocument/2006/relationships/hyperlink" Target="https://africanmarketingconfederation.org/wp-admin/post.php?post=6822&amp;action=edit" TargetMode="External"/><Relationship Id="rId616" Type="http://schemas.openxmlformats.org/officeDocument/2006/relationships/hyperlink" Target="https://africanmarketingconfederation.org/amc-marketing-conference-2024/" TargetMode="External"/><Relationship Id="rId823" Type="http://schemas.openxmlformats.org/officeDocument/2006/relationships/hyperlink" Target="https://africanmarketingconfederation.org/amc-conference-2023/" TargetMode="External"/><Relationship Id="rId255" Type="http://schemas.openxmlformats.org/officeDocument/2006/relationships/hyperlink" Target="https://africanmarketingconfederation.org/chartered-marketer-africa-thank-you/" TargetMode="External"/><Relationship Id="rId462" Type="http://schemas.openxmlformats.org/officeDocument/2006/relationships/hyperlink" Target="https://africanmarketingconfederation.org/wp-admin/post.php?post=5597&amp;action=edit" TargetMode="External"/><Relationship Id="rId1092" Type="http://schemas.openxmlformats.org/officeDocument/2006/relationships/hyperlink" Target="https://africanmarketingconfederation.org/wp-admin/post.php?post=21952&amp;action=edit" TargetMode="External"/><Relationship Id="rId1106" Type="http://schemas.openxmlformats.org/officeDocument/2006/relationships/hyperlink" Target="https://africanmarketingconfederation.org/wp-admin/post.php?post=34622&amp;action=edit" TargetMode="External"/><Relationship Id="rId1313" Type="http://schemas.openxmlformats.org/officeDocument/2006/relationships/hyperlink" Target="https://africanmarketingconfederation.org/launch-event-2026-amc-conference/" TargetMode="External"/><Relationship Id="rId1397" Type="http://schemas.openxmlformats.org/officeDocument/2006/relationships/hyperlink" Target="https://africanmarketingconfederation.org/launch-event-2026-amc-conference/" TargetMode="External"/><Relationship Id="rId115" Type="http://schemas.openxmlformats.org/officeDocument/2006/relationships/hyperlink" Target="https://africanmarketingconfederation.org/chartered-marketer-africa-thank-you/" TargetMode="External"/><Relationship Id="rId322" Type="http://schemas.openxmlformats.org/officeDocument/2006/relationships/hyperlink" Target="https://africanmarketingconfederation.org/wp-admin/post.php?post=17000&amp;action=edit" TargetMode="External"/><Relationship Id="rId767" Type="http://schemas.openxmlformats.org/officeDocument/2006/relationships/hyperlink" Target="https://africanmarketingconfederation.org/sub-committees/" TargetMode="External"/><Relationship Id="rId974" Type="http://schemas.openxmlformats.org/officeDocument/2006/relationships/hyperlink" Target="https://africanmarketingconfederation.org/wp-admin/post.php?post=4909&amp;action=edit" TargetMode="External"/><Relationship Id="rId199" Type="http://schemas.openxmlformats.org/officeDocument/2006/relationships/hyperlink" Target="https://africanmarketingconfederation.org/amc-conference-2023/book-now-thank-you/" TargetMode="External"/><Relationship Id="rId627" Type="http://schemas.openxmlformats.org/officeDocument/2006/relationships/hyperlink" Target="https://africanmarketingconfederation.org/wp-admin/post.php?post=26290&amp;action=edit" TargetMode="External"/><Relationship Id="rId834" Type="http://schemas.openxmlformats.org/officeDocument/2006/relationships/hyperlink" Target="https://africanmarketingconfederation.org/wp-admin/post.php?post=13098&amp;action=edit" TargetMode="External"/><Relationship Id="rId1257" Type="http://schemas.openxmlformats.org/officeDocument/2006/relationships/hyperlink" Target="https://africanmarketingconfederation.org/wp-admin/post.php?post=16104&amp;action=edit" TargetMode="External"/><Relationship Id="rId266" Type="http://schemas.openxmlformats.org/officeDocument/2006/relationships/hyperlink" Target="https://africanmarketingconfederation.org/wp-admin/post.php?post=19172&amp;action=edit" TargetMode="External"/><Relationship Id="rId473" Type="http://schemas.openxmlformats.org/officeDocument/2006/relationships/hyperlink" Target="https://africanmarketingconfederation.org/publications-2/" TargetMode="External"/><Relationship Id="rId680" Type="http://schemas.openxmlformats.org/officeDocument/2006/relationships/hyperlink" Target="https://africanmarketingconfederation.org/wp-admin/post.php?post=34552&amp;action=edit" TargetMode="External"/><Relationship Id="rId901" Type="http://schemas.openxmlformats.org/officeDocument/2006/relationships/hyperlink" Target="https://africanmarketingconfederation.org/awards-2026-1/" TargetMode="External"/><Relationship Id="rId1117" Type="http://schemas.openxmlformats.org/officeDocument/2006/relationships/hyperlink" Target="https://africanmarketingconfederation.org/checkout/" TargetMode="External"/><Relationship Id="rId1324" Type="http://schemas.openxmlformats.org/officeDocument/2006/relationships/hyperlink" Target="https://africanmarketingconfederation.org/wp-admin/post.php?post=3686&amp;action=edit" TargetMode="External"/><Relationship Id="rId30" Type="http://schemas.openxmlformats.org/officeDocument/2006/relationships/hyperlink" Target="https://africanmarketingconfederation.org/wp-admin/post.php?post=12954&amp;action=edit" TargetMode="External"/><Relationship Id="rId126" Type="http://schemas.openxmlformats.org/officeDocument/2006/relationships/hyperlink" Target="https://africanmarketingconfederation.org/wp-admin/post.php?post=92&amp;action=edit" TargetMode="External"/><Relationship Id="rId333" Type="http://schemas.openxmlformats.org/officeDocument/2006/relationships/hyperlink" Target="https://africanmarketingconfederation.org/" TargetMode="External"/><Relationship Id="rId540" Type="http://schemas.openxmlformats.org/officeDocument/2006/relationships/hyperlink" Target="https://africanmarketingconfederation.org/wp-admin/post.php?post=12497&amp;action=edit" TargetMode="External"/><Relationship Id="rId778" Type="http://schemas.openxmlformats.org/officeDocument/2006/relationships/hyperlink" Target="https://africanmarketingconfederation.org/wp-admin/post.php?post=27352&amp;action=edit" TargetMode="External"/><Relationship Id="rId985" Type="http://schemas.openxmlformats.org/officeDocument/2006/relationships/hyperlink" Target="https://africanmarketingconfederation.org/african-marketing-confederation-tourism-chapter/" TargetMode="External"/><Relationship Id="rId1170" Type="http://schemas.openxmlformats.org/officeDocument/2006/relationships/hyperlink" Target="https://africanmarketingconfederation.org/wp-admin/post.php?post=21591&amp;action=edit" TargetMode="External"/><Relationship Id="rId638" Type="http://schemas.openxmlformats.org/officeDocument/2006/relationships/hyperlink" Target="https://africanmarketingconfederation.org/amc-marketing-conference-2024/awards-2025/" TargetMode="External"/><Relationship Id="rId845" Type="http://schemas.openxmlformats.org/officeDocument/2006/relationships/hyperlink" Target="https://africanmarketingconfederation.org/amc-conference-2024-sponsors-packages/" TargetMode="External"/><Relationship Id="rId1030" Type="http://schemas.openxmlformats.org/officeDocument/2006/relationships/hyperlink" Target="https://africanmarketingconfederation.org/wp-admin/post.php?post=23710&amp;action=edit" TargetMode="External"/><Relationship Id="rId1268" Type="http://schemas.openxmlformats.org/officeDocument/2006/relationships/hyperlink" Target="https://africanmarketingconfederation.org/wp-admin/post.php?post=4492&amp;action=edit" TargetMode="External"/><Relationship Id="rId277" Type="http://schemas.openxmlformats.org/officeDocument/2006/relationships/hyperlink" Target="https://africanmarketingconfederation.org/elementor-20341/" TargetMode="External"/><Relationship Id="rId400" Type="http://schemas.openxmlformats.org/officeDocument/2006/relationships/hyperlink" Target="https://africanmarketingconfederation.org/amc-marketing-conference-2024/amc-programme-2025/" TargetMode="External"/><Relationship Id="rId484" Type="http://schemas.openxmlformats.org/officeDocument/2006/relationships/hyperlink" Target="https://africanmarketingconfederation.org/wp-admin/post.php?post=5490&amp;action=edit" TargetMode="External"/><Relationship Id="rId705" Type="http://schemas.openxmlformats.org/officeDocument/2006/relationships/hyperlink" Target="https://africanmarketingconfederation.org/conference-faq-2025/" TargetMode="External"/><Relationship Id="rId1128" Type="http://schemas.openxmlformats.org/officeDocument/2006/relationships/hyperlink" Target="https://africanmarketingconfederation.org/wp-admin/post.php?post=18478&amp;action=edit" TargetMode="External"/><Relationship Id="rId1335" Type="http://schemas.openxmlformats.org/officeDocument/2006/relationships/hyperlink" Target="https://africanmarketingconfederation.org/test-payment-gate/" TargetMode="External"/><Relationship Id="rId137" Type="http://schemas.openxmlformats.org/officeDocument/2006/relationships/hyperlink" Target="https://africanmarketingconfederation.org/elementor-31820/" TargetMode="External"/><Relationship Id="rId344" Type="http://schemas.openxmlformats.org/officeDocument/2006/relationships/hyperlink" Target="https://africanmarketingconfederation.org/wp-admin/post.php?post=4941&amp;action=edit" TargetMode="External"/><Relationship Id="rId691" Type="http://schemas.openxmlformats.org/officeDocument/2006/relationships/hyperlink" Target="https://africanmarketingconfederation.org/chartered-marketer-africa-programme-fee/" TargetMode="External"/><Relationship Id="rId789" Type="http://schemas.openxmlformats.org/officeDocument/2006/relationships/hyperlink" Target="https://africanmarketingconfederation.org/thank-you-for-subscribing/" TargetMode="External"/><Relationship Id="rId912" Type="http://schemas.openxmlformats.org/officeDocument/2006/relationships/hyperlink" Target="https://africanmarketingconfederation.org/wp-admin/post.php?post=19980&amp;action=edit" TargetMode="External"/><Relationship Id="rId996" Type="http://schemas.openxmlformats.org/officeDocument/2006/relationships/hyperlink" Target="https://africanmarketingconfederation.org/wp-admin/post.php?post=4494&amp;action=edit" TargetMode="External"/><Relationship Id="rId41" Type="http://schemas.openxmlformats.org/officeDocument/2006/relationships/hyperlink" Target="https://africanmarketingconfederation.org/amc-conference-2023/programme/" TargetMode="External"/><Relationship Id="rId551" Type="http://schemas.openxmlformats.org/officeDocument/2006/relationships/hyperlink" Target="https://africanmarketingconfederation.org/amc-conference-2023/gallery/" TargetMode="External"/><Relationship Id="rId649" Type="http://schemas.openxmlformats.org/officeDocument/2006/relationships/hyperlink" Target="https://africanmarketingconfederation.org/amc-masterclass-bookings/" TargetMode="External"/><Relationship Id="rId856" Type="http://schemas.openxmlformats.org/officeDocument/2006/relationships/hyperlink" Target="https://africanmarketingconfederation.org/wp-admin/post.php?post=31478&amp;action=edit" TargetMode="External"/><Relationship Id="rId1181" Type="http://schemas.openxmlformats.org/officeDocument/2006/relationships/hyperlink" Target="https://africanmarketingconfederation.org/virtual-programme/" TargetMode="External"/><Relationship Id="rId1279" Type="http://schemas.openxmlformats.org/officeDocument/2006/relationships/hyperlink" Target="https://africanmarketingconfederation.org/awards-2026/" TargetMode="External"/><Relationship Id="rId1402" Type="http://schemas.openxmlformats.org/officeDocument/2006/relationships/hyperlink" Target="https://africanmarketingconfederation.org/wp-admin/post.php?post=21591&amp;action=edit" TargetMode="External"/><Relationship Id="rId190" Type="http://schemas.openxmlformats.org/officeDocument/2006/relationships/hyperlink" Target="https://africanmarketingconfederation.org/wp-admin/post.php?post=4494&amp;action=edit" TargetMode="External"/><Relationship Id="rId204" Type="http://schemas.openxmlformats.org/officeDocument/2006/relationships/hyperlink" Target="https://africanmarketingconfederation.org/wp-admin/post.php?post=13098&amp;action=edit" TargetMode="External"/><Relationship Id="rId288" Type="http://schemas.openxmlformats.org/officeDocument/2006/relationships/hyperlink" Target="https://africanmarketingconfederation.org/wp-admin/post.php?post=9047&amp;action=edit" TargetMode="External"/><Relationship Id="rId411" Type="http://schemas.openxmlformats.org/officeDocument/2006/relationships/hyperlink" Target="https://africanmarketingconfederation.org/amc-masterclass-bookings/" TargetMode="External"/><Relationship Id="rId509" Type="http://schemas.openxmlformats.org/officeDocument/2006/relationships/hyperlink" Target="https://africanmarketingconfederation.org/african-marketing-confederation-tourism-chapter/" TargetMode="External"/><Relationship Id="rId1041" Type="http://schemas.openxmlformats.org/officeDocument/2006/relationships/hyperlink" Target="https://africanmarketingconfederation.org/amc-conference-2026/" TargetMode="External"/><Relationship Id="rId1139" Type="http://schemas.openxmlformats.org/officeDocument/2006/relationships/hyperlink" Target="https://africanmarketingconfederation.org/general-enquiry-form-thank-you/" TargetMode="External"/><Relationship Id="rId1346" Type="http://schemas.openxmlformats.org/officeDocument/2006/relationships/hyperlink" Target="https://africanmarketingconfederation.org/wp-admin/post.php?post=17196&amp;action=edit" TargetMode="External"/><Relationship Id="rId495" Type="http://schemas.openxmlformats.org/officeDocument/2006/relationships/hyperlink" Target="https://africanmarketingconfederation.org/thank-you-for-the-submission-2024/" TargetMode="External"/><Relationship Id="rId716" Type="http://schemas.openxmlformats.org/officeDocument/2006/relationships/hyperlink" Target="https://africanmarketingconfederation.org/wp-admin/post.php?post=18478&amp;action=edit" TargetMode="External"/><Relationship Id="rId923" Type="http://schemas.openxmlformats.org/officeDocument/2006/relationships/hyperlink" Target="https://africanmarketingconfederation.org/contact-us/" TargetMode="External"/><Relationship Id="rId52" Type="http://schemas.openxmlformats.org/officeDocument/2006/relationships/hyperlink" Target="https://africanmarketingconfederation.org/wp-admin/post.php?post=23710&amp;action=edit" TargetMode="External"/><Relationship Id="rId148" Type="http://schemas.openxmlformats.org/officeDocument/2006/relationships/hyperlink" Target="https://africanmarketingconfederation.org/wp-admin/post.php?post=3&amp;action=edit" TargetMode="External"/><Relationship Id="rId355" Type="http://schemas.openxmlformats.org/officeDocument/2006/relationships/hyperlink" Target="https://africanmarketingconfederation.org/amc-conference-2023/book-now/" TargetMode="External"/><Relationship Id="rId562" Type="http://schemas.openxmlformats.org/officeDocument/2006/relationships/hyperlink" Target="https://africanmarketingconfederation.org/wp-admin/post.php?post=12945&amp;action=edit" TargetMode="External"/><Relationship Id="rId1192" Type="http://schemas.openxmlformats.org/officeDocument/2006/relationships/hyperlink" Target="https://africanmarketingconfederation.org/wp-admin/post.php?post=5619&amp;action=edit" TargetMode="External"/><Relationship Id="rId1206" Type="http://schemas.openxmlformats.org/officeDocument/2006/relationships/hyperlink" Target="https://africanmarketingconfederation.org/wp-admin/post.php?post=12407&amp;action=edit" TargetMode="External"/><Relationship Id="rId215" Type="http://schemas.openxmlformats.org/officeDocument/2006/relationships/hyperlink" Target="https://africanmarketingconfederation.org/amc-conference-programme/" TargetMode="External"/><Relationship Id="rId422" Type="http://schemas.openxmlformats.org/officeDocument/2006/relationships/hyperlink" Target="https://africanmarketingconfederation.org/wp-admin/post.php?post=21952&amp;action=edit" TargetMode="External"/><Relationship Id="rId867" Type="http://schemas.openxmlformats.org/officeDocument/2006/relationships/hyperlink" Target="https://africanmarketingconfederation.org/wp-admin/post.php?post=33131&amp;action=edit" TargetMode="External"/><Relationship Id="rId1052" Type="http://schemas.openxmlformats.org/officeDocument/2006/relationships/hyperlink" Target="https://africanmarketingconfederation.org/amc-launch-event-zambia-thank-you-2026/" TargetMode="External"/><Relationship Id="rId299" Type="http://schemas.openxmlformats.org/officeDocument/2006/relationships/hyperlink" Target="https://africanmarketingconfederation.org/test-homeslider/" TargetMode="External"/><Relationship Id="rId727" Type="http://schemas.openxmlformats.org/officeDocument/2006/relationships/hyperlink" Target="https://africanmarketingconfederation.org/elementor-16548/" TargetMode="External"/><Relationship Id="rId934" Type="http://schemas.openxmlformats.org/officeDocument/2006/relationships/hyperlink" Target="https://africanmarketingconfederation.org/wp-admin/post.php?post=20341&amp;action=edit" TargetMode="External"/><Relationship Id="rId1357" Type="http://schemas.openxmlformats.org/officeDocument/2006/relationships/hyperlink" Target="https://africanmarketingconfederation.org/amc-conference-2022-prospectus/" TargetMode="External"/><Relationship Id="rId63" Type="http://schemas.openxmlformats.org/officeDocument/2006/relationships/hyperlink" Target="https://africanmarketingconfederation.org/wp-admin/post.php?post=12477&amp;action=edit" TargetMode="External"/><Relationship Id="rId159" Type="http://schemas.openxmlformats.org/officeDocument/2006/relationships/hyperlink" Target="https://africanmarketingconfederation.org/subscribe/" TargetMode="External"/><Relationship Id="rId366" Type="http://schemas.openxmlformats.org/officeDocument/2006/relationships/hyperlink" Target="https://africanmarketingconfederation.org/wp-admin/post.php?post=13179&amp;action=edit" TargetMode="External"/><Relationship Id="rId573" Type="http://schemas.openxmlformats.org/officeDocument/2006/relationships/hyperlink" Target="https://africanmarketingconfederation.org/amc-conference-2024-sponsors-packages/" TargetMode="External"/><Relationship Id="rId780" Type="http://schemas.openxmlformats.org/officeDocument/2006/relationships/hyperlink" Target="https://africanmarketingconfederation.org/wp-admin/post.php?post=27352&amp;action=edit" TargetMode="External"/><Relationship Id="rId1217" Type="http://schemas.openxmlformats.org/officeDocument/2006/relationships/hyperlink" Target="https://africanmarketingconfederation.org/amc-conference-2024-recap/" TargetMode="External"/><Relationship Id="rId226" Type="http://schemas.openxmlformats.org/officeDocument/2006/relationships/hyperlink" Target="https://africanmarketingconfederation.org/amc-marketing-conference-2024/amc-programme-2025/" TargetMode="External"/><Relationship Id="rId433" Type="http://schemas.openxmlformats.org/officeDocument/2006/relationships/hyperlink" Target="https://africanmarketingconfederation.org/chartered-marketer-africa-final-submission-fee/" TargetMode="External"/><Relationship Id="rId878" Type="http://schemas.openxmlformats.org/officeDocument/2006/relationships/hyperlink" Target="https://africanmarketingconfederation.org/amc-marketing-conference-2024/amc-speakers-presentations-2024/" TargetMode="External"/><Relationship Id="rId1063" Type="http://schemas.openxmlformats.org/officeDocument/2006/relationships/hyperlink" Target="https://africanmarketingconfederation.org/wp-admin/post.php?post=26290&amp;action=edit" TargetMode="External"/><Relationship Id="rId1270" Type="http://schemas.openxmlformats.org/officeDocument/2006/relationships/hyperlink" Target="https://africanmarketingconfederation.org/wp-admin/post.php?post=23001&amp;action=edit" TargetMode="External"/><Relationship Id="rId640" Type="http://schemas.openxmlformats.org/officeDocument/2006/relationships/hyperlink" Target="https://africanmarketingconfederation.org/amc-marketing-conference-2024/programme-2024/" TargetMode="External"/><Relationship Id="rId738" Type="http://schemas.openxmlformats.org/officeDocument/2006/relationships/hyperlink" Target="https://africanmarketingconfederation.org/wp-admin/post.php?post=5597&amp;action=edit" TargetMode="External"/><Relationship Id="rId945" Type="http://schemas.openxmlformats.org/officeDocument/2006/relationships/hyperlink" Target="https://africanmarketingconfederation.org/privacy-policy/" TargetMode="External"/><Relationship Id="rId1368" Type="http://schemas.openxmlformats.org/officeDocument/2006/relationships/hyperlink" Target="https://africanmarketingconfederation.org/wp-admin/post.php?post=22778&amp;action=edit" TargetMode="External"/><Relationship Id="rId74" Type="http://schemas.openxmlformats.org/officeDocument/2006/relationships/hyperlink" Target="https://africanmarketingconfederation.org/amc-marketing-conference-2024/amc-launch-event-2025/" TargetMode="External"/><Relationship Id="rId377" Type="http://schemas.openxmlformats.org/officeDocument/2006/relationships/hyperlink" Target="https://africanmarketingconfederation.org/amc-conference-2026-zambia-thank-you/" TargetMode="External"/><Relationship Id="rId500" Type="http://schemas.openxmlformats.org/officeDocument/2006/relationships/hyperlink" Target="https://africanmarketingconfederation.org/wp-admin/post.php?post=5290&amp;action=edit" TargetMode="External"/><Relationship Id="rId584" Type="http://schemas.openxmlformats.org/officeDocument/2006/relationships/hyperlink" Target="https://africanmarketingconfederation.org/wp-admin/post.php?post=33280&amp;action=edit" TargetMode="External"/><Relationship Id="rId805" Type="http://schemas.openxmlformats.org/officeDocument/2006/relationships/hyperlink" Target="https://africanmarketingconfederation.org/virtual-programme/" TargetMode="External"/><Relationship Id="rId1130" Type="http://schemas.openxmlformats.org/officeDocument/2006/relationships/hyperlink" Target="https://africanmarketingconfederation.org/wp-admin/post.php?post=19172&amp;action=edit" TargetMode="External"/><Relationship Id="rId1228" Type="http://schemas.openxmlformats.org/officeDocument/2006/relationships/hyperlink" Target="https://africanmarketingconfederation.org/wp-admin/post.php?post=22778&amp;action=edit" TargetMode="External"/><Relationship Id="rId5" Type="http://schemas.openxmlformats.org/officeDocument/2006/relationships/hyperlink" Target="https://africanmarketingconfederation.org/amc-conference-sponsors/" TargetMode="External"/><Relationship Id="rId237" Type="http://schemas.openxmlformats.org/officeDocument/2006/relationships/hyperlink" Target="https://africanmarketingconfederation.org/amc-masterclass-thank-you/" TargetMode="External"/><Relationship Id="rId791" Type="http://schemas.openxmlformats.org/officeDocument/2006/relationships/hyperlink" Target="https://africanmarketingconfederation.org/thank-you-for-subscribing/" TargetMode="External"/><Relationship Id="rId889" Type="http://schemas.openxmlformats.org/officeDocument/2006/relationships/hyperlink" Target="https://africanmarketingconfederation.org/amc-masterclass-thank-you/" TargetMode="External"/><Relationship Id="rId1074" Type="http://schemas.openxmlformats.org/officeDocument/2006/relationships/hyperlink" Target="https://africanmarketingconfederation.org/amc-marketing-conference-2024/programme-2024/" TargetMode="External"/><Relationship Id="rId444" Type="http://schemas.openxmlformats.org/officeDocument/2006/relationships/hyperlink" Target="https://africanmarketingconfederation.org/wp-admin/post.php?post=24640&amp;action=edit" TargetMode="External"/><Relationship Id="rId651" Type="http://schemas.openxmlformats.org/officeDocument/2006/relationships/hyperlink" Target="https://africanmarketingconfederation.org/amc-masterclass-thank-you/" TargetMode="External"/><Relationship Id="rId749" Type="http://schemas.openxmlformats.org/officeDocument/2006/relationships/hyperlink" Target="https://africanmarketingconfederation.org/privacy-policy/" TargetMode="External"/><Relationship Id="rId1281" Type="http://schemas.openxmlformats.org/officeDocument/2006/relationships/hyperlink" Target="https://africanmarketingconfederation.org/certified-professional-marketer-africa/" TargetMode="External"/><Relationship Id="rId1379" Type="http://schemas.openxmlformats.org/officeDocument/2006/relationships/hyperlink" Target="https://africanmarketingconfederation.org/certified-professional-marketer-africa/" TargetMode="External"/><Relationship Id="rId290" Type="http://schemas.openxmlformats.org/officeDocument/2006/relationships/hyperlink" Target="https://africanmarketingconfederation.org/wp-admin/post.php?post=9047&amp;action=edit" TargetMode="External"/><Relationship Id="rId304" Type="http://schemas.openxmlformats.org/officeDocument/2006/relationships/hyperlink" Target="https://africanmarketingconfederation.org/wp-admin/post.php?post=27352&amp;action=edit" TargetMode="External"/><Relationship Id="rId388" Type="http://schemas.openxmlformats.org/officeDocument/2006/relationships/hyperlink" Target="https://africanmarketingconfederation.org/amc-forum-payments/" TargetMode="External"/><Relationship Id="rId511" Type="http://schemas.openxmlformats.org/officeDocument/2006/relationships/hyperlink" Target="https://africanmarketingconfederation.org/african-marketing-confederation-tourism-chapter/" TargetMode="External"/><Relationship Id="rId609" Type="http://schemas.openxmlformats.org/officeDocument/2006/relationships/hyperlink" Target="https://africanmarketingconfederation.org/wp-admin/post.php?post=21984&amp;action=edit" TargetMode="External"/><Relationship Id="rId956" Type="http://schemas.openxmlformats.org/officeDocument/2006/relationships/hyperlink" Target="https://africanmarketingconfederation.org/wp-admin/post.php?post=3634&amp;action=edit" TargetMode="External"/><Relationship Id="rId1141" Type="http://schemas.openxmlformats.org/officeDocument/2006/relationships/hyperlink" Target="https://africanmarketingconfederation.org/launch-event-2026-amc-conference/" TargetMode="External"/><Relationship Id="rId1239" Type="http://schemas.openxmlformats.org/officeDocument/2006/relationships/hyperlink" Target="https://africanmarketingconfederation.org/wp-admin/post.php?post=21984&amp;action=edit" TargetMode="External"/><Relationship Id="rId85" Type="http://schemas.openxmlformats.org/officeDocument/2006/relationships/hyperlink" Target="https://africanmarketingconfederation.org/wp-admin/post.php?post=16104&amp;action=edit" TargetMode="External"/><Relationship Id="rId150" Type="http://schemas.openxmlformats.org/officeDocument/2006/relationships/hyperlink" Target="https://africanmarketingconfederation.org/wp-admin/post.php?post=9047&amp;action=edit" TargetMode="External"/><Relationship Id="rId595" Type="http://schemas.openxmlformats.org/officeDocument/2006/relationships/hyperlink" Target="https://africanmarketingconfederation.org/amc-conference-programme/" TargetMode="External"/><Relationship Id="rId816" Type="http://schemas.openxmlformats.org/officeDocument/2006/relationships/hyperlink" Target="https://africanmarketingconfederation.org/wp-admin/post.php?post=16125&amp;action=edit" TargetMode="External"/><Relationship Id="rId1001" Type="http://schemas.openxmlformats.org/officeDocument/2006/relationships/hyperlink" Target="https://africanmarketingconfederation.org/amc-conference-2023/amc-awards/" TargetMode="External"/><Relationship Id="rId248" Type="http://schemas.openxmlformats.org/officeDocument/2006/relationships/hyperlink" Target="https://africanmarketingconfederation.org/wp-admin/post.php?post=28742&amp;action=edit" TargetMode="External"/><Relationship Id="rId455" Type="http://schemas.openxmlformats.org/officeDocument/2006/relationships/hyperlink" Target="https://africanmarketingconfederation.org/elementor-16548/" TargetMode="External"/><Relationship Id="rId662" Type="http://schemas.openxmlformats.org/officeDocument/2006/relationships/hyperlink" Target="https://africanmarketingconfederation.org/wp-admin/post.php?post=4492&amp;action=edit" TargetMode="External"/><Relationship Id="rId1085" Type="http://schemas.openxmlformats.org/officeDocument/2006/relationships/hyperlink" Target="https://africanmarketingconfederation.org/amc-masterclass/" TargetMode="External"/><Relationship Id="rId1292" Type="http://schemas.openxmlformats.org/officeDocument/2006/relationships/hyperlink" Target="https://africanmarketingconfederation.org/wp-admin/post.php?post=17908&amp;action=edit" TargetMode="External"/><Relationship Id="rId1306" Type="http://schemas.openxmlformats.org/officeDocument/2006/relationships/hyperlink" Target="https://africanmarketingconfederation.org/wp-admin/post.php?post=16548&amp;action=edit" TargetMode="External"/><Relationship Id="rId12" Type="http://schemas.openxmlformats.org/officeDocument/2006/relationships/hyperlink" Target="https://africanmarketingconfederation.org/wp-admin/post.php?post=8&amp;action=edit" TargetMode="External"/><Relationship Id="rId108" Type="http://schemas.openxmlformats.org/officeDocument/2006/relationships/hyperlink" Target="https://africanmarketingconfederation.org/wp-admin/post.php?post=34622&amp;action=edit" TargetMode="External"/><Relationship Id="rId315" Type="http://schemas.openxmlformats.org/officeDocument/2006/relationships/hyperlink" Target="https://africanmarketingconfederation.org/thank-you-for-subscribing/" TargetMode="External"/><Relationship Id="rId522" Type="http://schemas.openxmlformats.org/officeDocument/2006/relationships/hyperlink" Target="https://africanmarketingconfederation.org/wp-admin/post.php?post=4941&amp;action=edit" TargetMode="External"/><Relationship Id="rId967" Type="http://schemas.openxmlformats.org/officeDocument/2006/relationships/hyperlink" Target="https://africanmarketingconfederation.org/thank-you-for-subscribing/" TargetMode="External"/><Relationship Id="rId1152" Type="http://schemas.openxmlformats.org/officeDocument/2006/relationships/hyperlink" Target="https://africanmarketingconfederation.org/wp-admin/post.php?post=9047&amp;action=edit" TargetMode="External"/><Relationship Id="rId96" Type="http://schemas.openxmlformats.org/officeDocument/2006/relationships/hyperlink" Target="https://africanmarketingconfederation.org/wp-admin/post.php?post=4492&amp;action=edit" TargetMode="External"/><Relationship Id="rId161" Type="http://schemas.openxmlformats.org/officeDocument/2006/relationships/hyperlink" Target="https://africanmarketingconfederation.org/test-homeslider/" TargetMode="External"/><Relationship Id="rId399" Type="http://schemas.openxmlformats.org/officeDocument/2006/relationships/hyperlink" Target="https://africanmarketingconfederation.org/wp-admin/post.php?post=26290&amp;action=edit" TargetMode="External"/><Relationship Id="rId827" Type="http://schemas.openxmlformats.org/officeDocument/2006/relationships/hyperlink" Target="https://africanmarketingconfederation.org/amc-conference-2023/amc-awards/" TargetMode="External"/><Relationship Id="rId1012" Type="http://schemas.openxmlformats.org/officeDocument/2006/relationships/hyperlink" Target="https://africanmarketingconfederation.org/wp-admin/post.php?post=13549&amp;action=edit" TargetMode="External"/><Relationship Id="rId259" Type="http://schemas.openxmlformats.org/officeDocument/2006/relationships/hyperlink" Target="https://africanmarketingconfederation.org/checkout/" TargetMode="External"/><Relationship Id="rId466" Type="http://schemas.openxmlformats.org/officeDocument/2006/relationships/hyperlink" Target="https://africanmarketingconfederation.org/wp-admin/post.php?post=86&amp;action=edit" TargetMode="External"/><Relationship Id="rId673" Type="http://schemas.openxmlformats.org/officeDocument/2006/relationships/hyperlink" Target="https://africanmarketingconfederation.org/amc-testimony-page-2024/" TargetMode="External"/><Relationship Id="rId880" Type="http://schemas.openxmlformats.org/officeDocument/2006/relationships/hyperlink" Target="https://africanmarketingconfederation.org/amc-marketing-conference-2024/awards-2025/" TargetMode="External"/><Relationship Id="rId1096" Type="http://schemas.openxmlformats.org/officeDocument/2006/relationships/hyperlink" Target="https://africanmarketingconfederation.org/wp-admin/post.php?post=32554&amp;action=edit" TargetMode="External"/><Relationship Id="rId1317" Type="http://schemas.openxmlformats.org/officeDocument/2006/relationships/hyperlink" Target="https://africanmarketingconfederation.org/news-articles/" TargetMode="External"/><Relationship Id="rId23" Type="http://schemas.openxmlformats.org/officeDocument/2006/relationships/hyperlink" Target="https://africanmarketingconfederation.org/amc-conference-2022/" TargetMode="External"/><Relationship Id="rId119" Type="http://schemas.openxmlformats.org/officeDocument/2006/relationships/hyperlink" Target="https://africanmarketingconfederation.org/checkout/" TargetMode="External"/><Relationship Id="rId326" Type="http://schemas.openxmlformats.org/officeDocument/2006/relationships/hyperlink" Target="https://africanmarketingconfederation.org/wp-admin/post.php?post=17196&amp;action=edit" TargetMode="External"/><Relationship Id="rId533" Type="http://schemas.openxmlformats.org/officeDocument/2006/relationships/hyperlink" Target="https://africanmarketingconfederation.org/amc-conference-2023/amc-awards-book-now/" TargetMode="External"/><Relationship Id="rId978" Type="http://schemas.openxmlformats.org/officeDocument/2006/relationships/hyperlink" Target="https://africanmarketingconfederation.org/wp-admin/post.php?post=8&amp;action=edit" TargetMode="External"/><Relationship Id="rId1163" Type="http://schemas.openxmlformats.org/officeDocument/2006/relationships/hyperlink" Target="https://africanmarketingconfederation.org/subscribe/" TargetMode="External"/><Relationship Id="rId1370" Type="http://schemas.openxmlformats.org/officeDocument/2006/relationships/hyperlink" Target="https://africanmarketingconfederation.org/wp-admin/post.php?post=33131&amp;action=edit" TargetMode="External"/><Relationship Id="rId740" Type="http://schemas.openxmlformats.org/officeDocument/2006/relationships/hyperlink" Target="https://africanmarketingconfederation.org/wp-admin/post.php?post=33050&amp;action=edit" TargetMode="External"/><Relationship Id="rId838" Type="http://schemas.openxmlformats.org/officeDocument/2006/relationships/hyperlink" Target="https://africanmarketingconfederation.org/wp-admin/post.php?post=13282&amp;action=edit" TargetMode="External"/><Relationship Id="rId1023" Type="http://schemas.openxmlformats.org/officeDocument/2006/relationships/hyperlink" Target="https://africanmarketingconfederation.org/amc-conference-2024-sponsors-packages/" TargetMode="External"/><Relationship Id="rId172" Type="http://schemas.openxmlformats.org/officeDocument/2006/relationships/hyperlink" Target="https://africanmarketingconfederation.org/wp-admin/post.php?post=17000&amp;action=edit" TargetMode="External"/><Relationship Id="rId477" Type="http://schemas.openxmlformats.org/officeDocument/2006/relationships/hyperlink" Target="https://africanmarketingconfederation.org/speakers/" TargetMode="External"/><Relationship Id="rId600" Type="http://schemas.openxmlformats.org/officeDocument/2006/relationships/hyperlink" Target="https://africanmarketingconfederation.org/amc-conference-thank-you/" TargetMode="External"/><Relationship Id="rId684" Type="http://schemas.openxmlformats.org/officeDocument/2006/relationships/hyperlink" Target="https://africanmarketingconfederation.org/wp-admin/post.php?post=28742&amp;action=edit" TargetMode="External"/><Relationship Id="rId1230" Type="http://schemas.openxmlformats.org/officeDocument/2006/relationships/hyperlink" Target="https://africanmarketingconfederation.org/wp-admin/post.php?post=31478&amp;action=edit" TargetMode="External"/><Relationship Id="rId1328" Type="http://schemas.openxmlformats.org/officeDocument/2006/relationships/hyperlink" Target="https://africanmarketingconfederation.org/wp-admin/post.php?post=3252&amp;action=edit" TargetMode="External"/><Relationship Id="rId337" Type="http://schemas.openxmlformats.org/officeDocument/2006/relationships/hyperlink" Target="https://africanmarketingconfederation.org/african-marketing-confederation-tourism-chapter/" TargetMode="External"/><Relationship Id="rId891" Type="http://schemas.openxmlformats.org/officeDocument/2006/relationships/hyperlink" Target="https://africanmarketingconfederation.org/amc-masterclass/" TargetMode="External"/><Relationship Id="rId905" Type="http://schemas.openxmlformats.org/officeDocument/2006/relationships/hyperlink" Target="https://africanmarketingconfederation.org/awards-2026/" TargetMode="External"/><Relationship Id="rId989" Type="http://schemas.openxmlformats.org/officeDocument/2006/relationships/hyperlink" Target="https://africanmarketingconfederation.org/amc-awards-2024/" TargetMode="External"/><Relationship Id="rId34" Type="http://schemas.openxmlformats.org/officeDocument/2006/relationships/hyperlink" Target="https://africanmarketingconfederation.org/wp-admin/post.php?post=12407&amp;action=edit" TargetMode="External"/><Relationship Id="rId544" Type="http://schemas.openxmlformats.org/officeDocument/2006/relationships/hyperlink" Target="https://africanmarketingconfederation.org/wp-admin/post.php?post=12407&amp;action=edit" TargetMode="External"/><Relationship Id="rId751" Type="http://schemas.openxmlformats.org/officeDocument/2006/relationships/hyperlink" Target="https://africanmarketingconfederation.org/privacy-policy/" TargetMode="External"/><Relationship Id="rId849" Type="http://schemas.openxmlformats.org/officeDocument/2006/relationships/hyperlink" Target="https://africanmarketingconfederation.org/amc-conference-2025/" TargetMode="External"/><Relationship Id="rId1174" Type="http://schemas.openxmlformats.org/officeDocument/2006/relationships/hyperlink" Target="https://africanmarketingconfederation.org/wp-admin/post.php?post=7916&amp;action=edit" TargetMode="External"/><Relationship Id="rId1381" Type="http://schemas.openxmlformats.org/officeDocument/2006/relationships/hyperlink" Target="https://africanmarketingconfederation.org/chartered-marketer-africa-final-submission-fee/" TargetMode="External"/><Relationship Id="rId183" Type="http://schemas.openxmlformats.org/officeDocument/2006/relationships/hyperlink" Target="https://africanmarketingconfederation.org/amc-conference-2022-prospectus/" TargetMode="External"/><Relationship Id="rId390" Type="http://schemas.openxmlformats.org/officeDocument/2006/relationships/hyperlink" Target="https://africanmarketingconfederation.org/amc-launch-event-zambia-thank-you-2026/" TargetMode="External"/><Relationship Id="rId404" Type="http://schemas.openxmlformats.org/officeDocument/2006/relationships/hyperlink" Target="https://africanmarketingconfederation.org/amc-marketing-conference-2024/awards-2025/" TargetMode="External"/><Relationship Id="rId611" Type="http://schemas.openxmlformats.org/officeDocument/2006/relationships/hyperlink" Target="https://africanmarketingconfederation.org/wp-admin/post.php?post=33131&amp;action=edit" TargetMode="External"/><Relationship Id="rId1034" Type="http://schemas.openxmlformats.org/officeDocument/2006/relationships/hyperlink" Target="https://africanmarketingconfederation.org/wp-admin/post.php?post=33280&amp;action=edit" TargetMode="External"/><Relationship Id="rId1241" Type="http://schemas.openxmlformats.org/officeDocument/2006/relationships/hyperlink" Target="https://africanmarketingconfederation.org/wp-admin/post.php?post=33131&amp;action=edit" TargetMode="External"/><Relationship Id="rId1339" Type="http://schemas.openxmlformats.org/officeDocument/2006/relationships/hyperlink" Target="https://africanmarketingconfederation.org/thank-you-for-registering-2024-registrations/" TargetMode="External"/><Relationship Id="rId250" Type="http://schemas.openxmlformats.org/officeDocument/2006/relationships/hyperlink" Target="https://africanmarketingconfederation.org/wp-admin/post.php?post=20001&amp;action=edit" TargetMode="External"/><Relationship Id="rId488" Type="http://schemas.openxmlformats.org/officeDocument/2006/relationships/hyperlink" Target="https://africanmarketingconfederation.org/wp-admin/post.php?post=21591&amp;action=edit" TargetMode="External"/><Relationship Id="rId695" Type="http://schemas.openxmlformats.org/officeDocument/2006/relationships/hyperlink" Target="https://africanmarketingconfederation.org/chartered-marketer-africa-thank-you/" TargetMode="External"/><Relationship Id="rId709" Type="http://schemas.openxmlformats.org/officeDocument/2006/relationships/hyperlink" Target="https://africanmarketingconfederation.org/conference-registrations-2024/" TargetMode="External"/><Relationship Id="rId916" Type="http://schemas.openxmlformats.org/officeDocument/2006/relationships/hyperlink" Target="https://africanmarketingconfederation.org/wp-admin/post.php?post=9075&amp;action=edit" TargetMode="External"/><Relationship Id="rId1101" Type="http://schemas.openxmlformats.org/officeDocument/2006/relationships/hyperlink" Target="https://africanmarketingconfederation.org/awards-2026-test/" TargetMode="External"/><Relationship Id="rId45" Type="http://schemas.openxmlformats.org/officeDocument/2006/relationships/hyperlink" Target="https://africanmarketingconfederation.org/amc-conference-2024-recap/" TargetMode="External"/><Relationship Id="rId110" Type="http://schemas.openxmlformats.org/officeDocument/2006/relationships/hyperlink" Target="https://africanmarketingconfederation.org/wp-admin/post.php?post=28742&amp;action=edit" TargetMode="External"/><Relationship Id="rId348" Type="http://schemas.openxmlformats.org/officeDocument/2006/relationships/hyperlink" Target="https://africanmarketingconfederation.org/wp-admin/post.php?post=12371&amp;action=edit" TargetMode="External"/><Relationship Id="rId555" Type="http://schemas.openxmlformats.org/officeDocument/2006/relationships/hyperlink" Target="https://africanmarketingconfederation.org/amc-conference-2023/partners/" TargetMode="External"/><Relationship Id="rId762" Type="http://schemas.openxmlformats.org/officeDocument/2006/relationships/hyperlink" Target="https://africanmarketingconfederation.org/wp-admin/post.php?post=3252&amp;action=edit" TargetMode="External"/><Relationship Id="rId1185" Type="http://schemas.openxmlformats.org/officeDocument/2006/relationships/hyperlink" Target="https://africanmarketingconfederation.org/about-us/" TargetMode="External"/><Relationship Id="rId1392" Type="http://schemas.openxmlformats.org/officeDocument/2006/relationships/hyperlink" Target="https://africanmarketingconfederation.org/wp-admin/post.php?post=24640&amp;action=edit" TargetMode="External"/><Relationship Id="rId1406" Type="http://schemas.openxmlformats.org/officeDocument/2006/relationships/hyperlink" Target="https://africanmarketingconfederation.org/wp-admin/post.php?post=17000&amp;action=edit" TargetMode="External"/><Relationship Id="rId194" Type="http://schemas.openxmlformats.org/officeDocument/2006/relationships/hyperlink" Target="https://africanmarketingconfederation.org/wp-admin/post.php?post=13164&amp;action=edit" TargetMode="External"/><Relationship Id="rId208" Type="http://schemas.openxmlformats.org/officeDocument/2006/relationships/hyperlink" Target="https://africanmarketingconfederation.org/wp-admin/post.php?post=13282&amp;action=edit" TargetMode="External"/><Relationship Id="rId415" Type="http://schemas.openxmlformats.org/officeDocument/2006/relationships/hyperlink" Target="https://africanmarketingconfederation.org/amc-masterclass/" TargetMode="External"/><Relationship Id="rId622" Type="http://schemas.openxmlformats.org/officeDocument/2006/relationships/hyperlink" Target="https://africanmarketingconfederation.org/amc-marketing-conference-2024/amc-launch-event-2025/" TargetMode="External"/><Relationship Id="rId1045" Type="http://schemas.openxmlformats.org/officeDocument/2006/relationships/hyperlink" Target="https://africanmarketingconfederation.org/amc-conference-sponsors/" TargetMode="External"/><Relationship Id="rId1252" Type="http://schemas.openxmlformats.org/officeDocument/2006/relationships/hyperlink" Target="https://africanmarketingconfederation.org/amc-marketing-conference-2024/amc-speakers-presentations-2024/" TargetMode="External"/><Relationship Id="rId261" Type="http://schemas.openxmlformats.org/officeDocument/2006/relationships/hyperlink" Target="https://africanmarketingconfederation.org/download-brochure/" TargetMode="External"/><Relationship Id="rId499" Type="http://schemas.openxmlformats.org/officeDocument/2006/relationships/hyperlink" Target="https://africanmarketingconfederation.org/virtual-programme/" TargetMode="External"/><Relationship Id="rId927" Type="http://schemas.openxmlformats.org/officeDocument/2006/relationships/hyperlink" Target="https://africanmarketingconfederation.org/download-prospectus-2024/" TargetMode="External"/><Relationship Id="rId1112" Type="http://schemas.openxmlformats.org/officeDocument/2006/relationships/hyperlink" Target="https://africanmarketingconfederation.org/wp-admin/post.php?post=19980&amp;action=edit" TargetMode="External"/><Relationship Id="rId56" Type="http://schemas.openxmlformats.org/officeDocument/2006/relationships/hyperlink" Target="https://africanmarketingconfederation.org/wp-admin/post.php?post=22778&amp;action=edit" TargetMode="External"/><Relationship Id="rId359" Type="http://schemas.openxmlformats.org/officeDocument/2006/relationships/hyperlink" Target="https://africanmarketingconfederation.org/amc-conference-2023/gallery/" TargetMode="External"/><Relationship Id="rId566" Type="http://schemas.openxmlformats.org/officeDocument/2006/relationships/hyperlink" Target="https://africanmarketingconfederation.org/wp-admin/post.php?post=13179&amp;action=edit" TargetMode="External"/><Relationship Id="rId773" Type="http://schemas.openxmlformats.org/officeDocument/2006/relationships/hyperlink" Target="https://africanmarketingconfederation.org/test-homeslider/" TargetMode="External"/><Relationship Id="rId1196" Type="http://schemas.openxmlformats.org/officeDocument/2006/relationships/hyperlink" Target="https://africanmarketingconfederation.org/wp-admin/post.php?post=4494&amp;action=edit" TargetMode="External"/><Relationship Id="rId121" Type="http://schemas.openxmlformats.org/officeDocument/2006/relationships/hyperlink" Target="https://africanmarketingconfederation.org/conference-faq-2025/" TargetMode="External"/><Relationship Id="rId219" Type="http://schemas.openxmlformats.org/officeDocument/2006/relationships/hyperlink" Target="https://africanmarketingconfederation.org/wp-admin/post.php?post=21984&amp;action=edit" TargetMode="External"/><Relationship Id="rId426" Type="http://schemas.openxmlformats.org/officeDocument/2006/relationships/hyperlink" Target="https://africanmarketingconfederation.org/wp-admin/post.php?post=32554&amp;action=edit" TargetMode="External"/><Relationship Id="rId633" Type="http://schemas.openxmlformats.org/officeDocument/2006/relationships/hyperlink" Target="https://africanmarketingconfederation.org/wp-admin/post.php?post=22595&amp;action=edit" TargetMode="External"/><Relationship Id="rId980" Type="http://schemas.openxmlformats.org/officeDocument/2006/relationships/hyperlink" Target="https://africanmarketingconfederation.org/wp-admin/post.php?post=8&amp;action=edit" TargetMode="External"/><Relationship Id="rId1056" Type="http://schemas.openxmlformats.org/officeDocument/2006/relationships/hyperlink" Target="https://africanmarketingconfederation.org/amc-marketing-conference-2024/" TargetMode="External"/><Relationship Id="rId1263" Type="http://schemas.openxmlformats.org/officeDocument/2006/relationships/hyperlink" Target="https://africanmarketingconfederation.org/amc-masterclass-thank-you/" TargetMode="External"/><Relationship Id="rId840" Type="http://schemas.openxmlformats.org/officeDocument/2006/relationships/hyperlink" Target="https://africanmarketingconfederation.org/wp-admin/post.php?post=12945&amp;action=edit" TargetMode="External"/><Relationship Id="rId938" Type="http://schemas.openxmlformats.org/officeDocument/2006/relationships/hyperlink" Target="https://africanmarketingconfederation.org/wp-admin/post.php?post=5597&amp;action=edit" TargetMode="External"/><Relationship Id="rId67" Type="http://schemas.openxmlformats.org/officeDocument/2006/relationships/hyperlink" Target="https://africanmarketingconfederation.org/wp-admin/post.php?post=21984&amp;action=edit" TargetMode="External"/><Relationship Id="rId272" Type="http://schemas.openxmlformats.org/officeDocument/2006/relationships/hyperlink" Target="https://africanmarketingconfederation.org/wp-admin/post.php?post=16548&amp;action=edit" TargetMode="External"/><Relationship Id="rId577" Type="http://schemas.openxmlformats.org/officeDocument/2006/relationships/hyperlink" Target="https://africanmarketingconfederation.org/amc-conference-2025-highlights/" TargetMode="External"/><Relationship Id="rId700" Type="http://schemas.openxmlformats.org/officeDocument/2006/relationships/hyperlink" Target="https://africanmarketingconfederation.org/wp-admin/post.php?post=9075&amp;action=edit" TargetMode="External"/><Relationship Id="rId1123" Type="http://schemas.openxmlformats.org/officeDocument/2006/relationships/hyperlink" Target="https://africanmarketingconfederation.org/contact-us/" TargetMode="External"/><Relationship Id="rId1330" Type="http://schemas.openxmlformats.org/officeDocument/2006/relationships/hyperlink" Target="https://africanmarketingconfederation.org/wp-admin/post.php?post=3634&amp;action=edit" TargetMode="External"/><Relationship Id="rId132" Type="http://schemas.openxmlformats.org/officeDocument/2006/relationships/hyperlink" Target="https://africanmarketingconfederation.org/wp-admin/post.php?post=88&amp;action=edit" TargetMode="External"/><Relationship Id="rId784" Type="http://schemas.openxmlformats.org/officeDocument/2006/relationships/hyperlink" Target="https://africanmarketingconfederation.org/wp-admin/post.php?post=21591&amp;action=edit" TargetMode="External"/><Relationship Id="rId991" Type="http://schemas.openxmlformats.org/officeDocument/2006/relationships/hyperlink" Target="https://africanmarketingconfederation.org/amc-conference-2022-prospectus/" TargetMode="External"/><Relationship Id="rId1067" Type="http://schemas.openxmlformats.org/officeDocument/2006/relationships/hyperlink" Target="https://africanmarketingconfederation.org/wp-admin/post.php?post=24882&amp;action=edit" TargetMode="External"/><Relationship Id="rId437" Type="http://schemas.openxmlformats.org/officeDocument/2006/relationships/hyperlink" Target="https://africanmarketingconfederation.org/chartered-marketer-africa-thank-you/" TargetMode="External"/><Relationship Id="rId644" Type="http://schemas.openxmlformats.org/officeDocument/2006/relationships/hyperlink" Target="https://africanmarketingconfederation.org/amc-marketing-conference-2024/speakers-2024/" TargetMode="External"/><Relationship Id="rId851" Type="http://schemas.openxmlformats.org/officeDocument/2006/relationships/hyperlink" Target="https://africanmarketingconfederation.org/amc-conference-2026-awards-nominations-thank-you/" TargetMode="External"/><Relationship Id="rId1274" Type="http://schemas.openxmlformats.org/officeDocument/2006/relationships/hyperlink" Target="https://africanmarketingconfederation.org/wp-admin/post.php?post=22679&amp;action=edit" TargetMode="External"/><Relationship Id="rId283" Type="http://schemas.openxmlformats.org/officeDocument/2006/relationships/hyperlink" Target="https://africanmarketingconfederation.org/launch-event-2026-amc-conference/" TargetMode="External"/><Relationship Id="rId490" Type="http://schemas.openxmlformats.org/officeDocument/2006/relationships/hyperlink" Target="https://africanmarketingconfederation.org/wp-admin/post.php?post=17195&amp;action=edit" TargetMode="External"/><Relationship Id="rId504" Type="http://schemas.openxmlformats.org/officeDocument/2006/relationships/hyperlink" Target="https://africanmarketingconfederation.org/wp-admin/post.php?post=8&amp;action=edit" TargetMode="External"/><Relationship Id="rId711" Type="http://schemas.openxmlformats.org/officeDocument/2006/relationships/hyperlink" Target="https://africanmarketingconfederation.org/contact-us/" TargetMode="External"/><Relationship Id="rId949" Type="http://schemas.openxmlformats.org/officeDocument/2006/relationships/hyperlink" Target="https://africanmarketingconfederation.org/publications-2/" TargetMode="External"/><Relationship Id="rId1134" Type="http://schemas.openxmlformats.org/officeDocument/2006/relationships/hyperlink" Target="https://africanmarketingconfederation.org/wp-admin/post.php?post=16548&amp;action=edit" TargetMode="External"/><Relationship Id="rId1341" Type="http://schemas.openxmlformats.org/officeDocument/2006/relationships/hyperlink" Target="https://africanmarketingconfederation.org/thank-you-for-subscribing/" TargetMode="External"/><Relationship Id="rId78" Type="http://schemas.openxmlformats.org/officeDocument/2006/relationships/hyperlink" Target="https://africanmarketingconfederation.org/amc-marketing-conference-2024/amc-programme-2025/" TargetMode="External"/><Relationship Id="rId143" Type="http://schemas.openxmlformats.org/officeDocument/2006/relationships/hyperlink" Target="https://africanmarketingconfederation.org/members/" TargetMode="External"/><Relationship Id="rId350" Type="http://schemas.openxmlformats.org/officeDocument/2006/relationships/hyperlink" Target="https://africanmarketingconfederation.org/wp-admin/post.php?post=13164&amp;action=edit" TargetMode="External"/><Relationship Id="rId588" Type="http://schemas.openxmlformats.org/officeDocument/2006/relationships/hyperlink" Target="https://africanmarketingconfederation.org/wp-admin/post.php?post=22778&amp;action=edit" TargetMode="External"/><Relationship Id="rId795" Type="http://schemas.openxmlformats.org/officeDocument/2006/relationships/hyperlink" Target="https://africanmarketingconfederation.org/thank-you-for-the-nomination-2024/" TargetMode="External"/><Relationship Id="rId809" Type="http://schemas.openxmlformats.org/officeDocument/2006/relationships/hyperlink" Target="https://africanmarketingconfederation.org/" TargetMode="External"/><Relationship Id="rId1201" Type="http://schemas.openxmlformats.org/officeDocument/2006/relationships/hyperlink" Target="https://africanmarketingconfederation.org/amc-conference-2023/amc-awards/" TargetMode="External"/><Relationship Id="rId9" Type="http://schemas.openxmlformats.org/officeDocument/2006/relationships/hyperlink" Target="https://africanmarketingconfederation.org/elementor-20341/" TargetMode="External"/><Relationship Id="rId210" Type="http://schemas.openxmlformats.org/officeDocument/2006/relationships/hyperlink" Target="https://africanmarketingconfederation.org/wp-admin/post.php?post=18318&amp;action=edit" TargetMode="External"/><Relationship Id="rId448" Type="http://schemas.openxmlformats.org/officeDocument/2006/relationships/hyperlink" Target="https://africanmarketingconfederation.org/wp-admin/post.php?post=92&amp;action=edit" TargetMode="External"/><Relationship Id="rId655" Type="http://schemas.openxmlformats.org/officeDocument/2006/relationships/hyperlink" Target="https://africanmarketingconfederation.org/amc-masterclass/" TargetMode="External"/><Relationship Id="rId862" Type="http://schemas.openxmlformats.org/officeDocument/2006/relationships/hyperlink" Target="https://africanmarketingconfederation.org/amc-forum-mombasa/" TargetMode="External"/><Relationship Id="rId1078" Type="http://schemas.openxmlformats.org/officeDocument/2006/relationships/hyperlink" Target="https://africanmarketingconfederation.org/wp-admin/post.php?post=23021&amp;action=edit" TargetMode="External"/><Relationship Id="rId1285" Type="http://schemas.openxmlformats.org/officeDocument/2006/relationships/hyperlink" Target="https://africanmarketingconfederation.org/chartered-marketer-africa-programme-fee/" TargetMode="External"/><Relationship Id="rId294" Type="http://schemas.openxmlformats.org/officeDocument/2006/relationships/hyperlink" Target="https://africanmarketingconfederation.org/wp-admin/post.php?post=3252&amp;action=edit" TargetMode="External"/><Relationship Id="rId308" Type="http://schemas.openxmlformats.org/officeDocument/2006/relationships/hyperlink" Target="https://africanmarketingconfederation.org/wp-admin/post.php?post=21591&amp;action=edit" TargetMode="External"/><Relationship Id="rId515" Type="http://schemas.openxmlformats.org/officeDocument/2006/relationships/hyperlink" Target="https://africanmarketingconfederation.org/amc-awards-2024/" TargetMode="External"/><Relationship Id="rId722" Type="http://schemas.openxmlformats.org/officeDocument/2006/relationships/hyperlink" Target="https://africanmarketingconfederation.org/wp-admin/post.php?post=19172&amp;action=edit" TargetMode="External"/><Relationship Id="rId1145" Type="http://schemas.openxmlformats.org/officeDocument/2006/relationships/hyperlink" Target="https://africanmarketingconfederation.org/news-articles/" TargetMode="External"/><Relationship Id="rId1352" Type="http://schemas.openxmlformats.org/officeDocument/2006/relationships/hyperlink" Target="https://africanmarketingconfederation.org/wp-admin/post.php?post=8&amp;action=edit" TargetMode="External"/><Relationship Id="rId89" Type="http://schemas.openxmlformats.org/officeDocument/2006/relationships/hyperlink" Target="https://africanmarketingconfederation.org/amc-masterclass-bookings/" TargetMode="External"/><Relationship Id="rId154" Type="http://schemas.openxmlformats.org/officeDocument/2006/relationships/hyperlink" Target="https://africanmarketingconfederation.org/wp-admin/post.php?post=21962&amp;action=edit" TargetMode="External"/><Relationship Id="rId361" Type="http://schemas.openxmlformats.org/officeDocument/2006/relationships/hyperlink" Target="https://africanmarketingconfederation.org/amc-conference-2023/partners/" TargetMode="External"/><Relationship Id="rId599" Type="http://schemas.openxmlformats.org/officeDocument/2006/relationships/hyperlink" Target="https://africanmarketingconfederation.org/wp-admin/post.php?post=12477&amp;action=edit" TargetMode="External"/><Relationship Id="rId1005" Type="http://schemas.openxmlformats.org/officeDocument/2006/relationships/hyperlink" Target="https://africanmarketingconfederation.org/amc-conference-2023/book-now/" TargetMode="External"/><Relationship Id="rId1212" Type="http://schemas.openxmlformats.org/officeDocument/2006/relationships/hyperlink" Target="https://africanmarketingconfederation.org/wp-admin/post.php?post=13282&amp;action=edit" TargetMode="External"/><Relationship Id="rId459" Type="http://schemas.openxmlformats.org/officeDocument/2006/relationships/hyperlink" Target="https://africanmarketingconfederation.org/elementor-31820/" TargetMode="External"/><Relationship Id="rId666" Type="http://schemas.openxmlformats.org/officeDocument/2006/relationships/hyperlink" Target="https://africanmarketingconfederation.org/wp-admin/post.php?post=23001&amp;action=edit" TargetMode="External"/><Relationship Id="rId873" Type="http://schemas.openxmlformats.org/officeDocument/2006/relationships/hyperlink" Target="https://africanmarketingconfederation.org/wp-admin/post.php?post=25788&amp;action=edit" TargetMode="External"/><Relationship Id="rId1089" Type="http://schemas.openxmlformats.org/officeDocument/2006/relationships/hyperlink" Target="https://africanmarketingconfederation.org/amc-sign-up-now-form-2025/" TargetMode="External"/><Relationship Id="rId1296" Type="http://schemas.openxmlformats.org/officeDocument/2006/relationships/hyperlink" Target="https://africanmarketingconfederation.org/wp-admin/post.php?post=16472&amp;action=edit" TargetMode="External"/><Relationship Id="rId16" Type="http://schemas.openxmlformats.org/officeDocument/2006/relationships/hyperlink" Target="https://africanmarketingconfederation.org/wp-admin/post.php?post=28165&amp;action=edit" TargetMode="External"/><Relationship Id="rId221" Type="http://schemas.openxmlformats.org/officeDocument/2006/relationships/hyperlink" Target="https://africanmarketingconfederation.org/wp-admin/post.php?post=21984&amp;action=edit" TargetMode="External"/><Relationship Id="rId319" Type="http://schemas.openxmlformats.org/officeDocument/2006/relationships/hyperlink" Target="https://africanmarketingconfederation.org/thank-you-for-the-nomination-2024/" TargetMode="External"/><Relationship Id="rId526" Type="http://schemas.openxmlformats.org/officeDocument/2006/relationships/hyperlink" Target="https://africanmarketingconfederation.org/wp-admin/post.php?post=4494&amp;action=edit" TargetMode="External"/><Relationship Id="rId1156" Type="http://schemas.openxmlformats.org/officeDocument/2006/relationships/hyperlink" Target="https://africanmarketingconfederation.org/wp-admin/post.php?post=21962&amp;action=edit" TargetMode="External"/><Relationship Id="rId1363" Type="http://schemas.openxmlformats.org/officeDocument/2006/relationships/hyperlink" Target="https://africanmarketingconfederation.org/amc-conference-2025/" TargetMode="External"/><Relationship Id="rId733" Type="http://schemas.openxmlformats.org/officeDocument/2006/relationships/hyperlink" Target="https://africanmarketingconfederation.org/elementor-31820/" TargetMode="External"/><Relationship Id="rId940" Type="http://schemas.openxmlformats.org/officeDocument/2006/relationships/hyperlink" Target="https://africanmarketingconfederation.org/wp-admin/post.php?post=33050&amp;action=edit" TargetMode="External"/><Relationship Id="rId1016" Type="http://schemas.openxmlformats.org/officeDocument/2006/relationships/hyperlink" Target="https://africanmarketingconfederation.org/wp-admin/post.php?post=12945&amp;action=edit" TargetMode="External"/><Relationship Id="rId165" Type="http://schemas.openxmlformats.org/officeDocument/2006/relationships/hyperlink" Target="https://africanmarketingconfederation.org/thank-you-for-registering-2024-registrations-kenya/" TargetMode="External"/><Relationship Id="rId372" Type="http://schemas.openxmlformats.org/officeDocument/2006/relationships/hyperlink" Target="https://africanmarketingconfederation.org/wp-admin/post.php?post=30257&amp;action=edit" TargetMode="External"/><Relationship Id="rId677" Type="http://schemas.openxmlformats.org/officeDocument/2006/relationships/hyperlink" Target="https://africanmarketingconfederation.org/awards-2026-test/" TargetMode="External"/><Relationship Id="rId800" Type="http://schemas.openxmlformats.org/officeDocument/2006/relationships/hyperlink" Target="https://africanmarketingconfederation.org/wp-admin/post.php?post=17196&amp;action=edit" TargetMode="External"/><Relationship Id="rId1223" Type="http://schemas.openxmlformats.org/officeDocument/2006/relationships/hyperlink" Target="https://africanmarketingconfederation.org/amc-conference-2025/" TargetMode="External"/><Relationship Id="rId232" Type="http://schemas.openxmlformats.org/officeDocument/2006/relationships/hyperlink" Target="https://africanmarketingconfederation.org/wp-admin/post.php?post=23021&amp;action=edit" TargetMode="External"/><Relationship Id="rId884" Type="http://schemas.openxmlformats.org/officeDocument/2006/relationships/hyperlink" Target="https://africanmarketingconfederation.org/amc-marketing-conference-2024/speakers-2024/" TargetMode="External"/><Relationship Id="rId27" Type="http://schemas.openxmlformats.org/officeDocument/2006/relationships/hyperlink" Target="https://africanmarketingconfederation.org/amc-conference-2023/amc-awards-book-now/" TargetMode="External"/><Relationship Id="rId537" Type="http://schemas.openxmlformats.org/officeDocument/2006/relationships/hyperlink" Target="https://africanmarketingconfederation.org/amc-conference-2023/amc-awards/" TargetMode="External"/><Relationship Id="rId744" Type="http://schemas.openxmlformats.org/officeDocument/2006/relationships/hyperlink" Target="https://africanmarketingconfederation.org/wp-admin/post.php?post=86&amp;action=edit" TargetMode="External"/><Relationship Id="rId951" Type="http://schemas.openxmlformats.org/officeDocument/2006/relationships/hyperlink" Target="https://africanmarketingconfederation.org/speakers-2025/" TargetMode="External"/><Relationship Id="rId1167" Type="http://schemas.openxmlformats.org/officeDocument/2006/relationships/hyperlink" Target="https://africanmarketingconfederation.org/test-payment-gate/" TargetMode="External"/><Relationship Id="rId1374" Type="http://schemas.openxmlformats.org/officeDocument/2006/relationships/hyperlink" Target="https://africanmarketingconfederation.org/wp-admin/post.php?post=24882&amp;action=edit" TargetMode="External"/><Relationship Id="rId80" Type="http://schemas.openxmlformats.org/officeDocument/2006/relationships/hyperlink" Target="https://africanmarketingconfederation.org/amc-marketing-conference-2024/amc-speakers-presentations-2024/" TargetMode="External"/><Relationship Id="rId176" Type="http://schemas.openxmlformats.org/officeDocument/2006/relationships/hyperlink" Target="https://africanmarketingconfederation.org/wp-admin/post.php?post=4909&amp;action=edit" TargetMode="External"/><Relationship Id="rId383" Type="http://schemas.openxmlformats.org/officeDocument/2006/relationships/hyperlink" Target="https://africanmarketingconfederation.org/amc-conference-sponsors/" TargetMode="External"/><Relationship Id="rId590" Type="http://schemas.openxmlformats.org/officeDocument/2006/relationships/hyperlink" Target="https://africanmarketingconfederation.org/wp-admin/post.php?post=31478&amp;action=edit" TargetMode="External"/><Relationship Id="rId604" Type="http://schemas.openxmlformats.org/officeDocument/2006/relationships/hyperlink" Target="https://africanmarketingconfederation.org/amc-forum-mombasa/" TargetMode="External"/><Relationship Id="rId811" Type="http://schemas.openxmlformats.org/officeDocument/2006/relationships/hyperlink" Target="https://africanmarketingconfederation.org/about-us/" TargetMode="External"/><Relationship Id="rId1027" Type="http://schemas.openxmlformats.org/officeDocument/2006/relationships/hyperlink" Target="https://africanmarketingconfederation.org/amc-conference-2025-highlights/" TargetMode="External"/><Relationship Id="rId1234" Type="http://schemas.openxmlformats.org/officeDocument/2006/relationships/hyperlink" Target="https://africanmarketingconfederation.org/amc-conference-thank-you/" TargetMode="External"/><Relationship Id="rId243" Type="http://schemas.openxmlformats.org/officeDocument/2006/relationships/hyperlink" Target="https://africanmarketingconfederation.org/amc-masterclass/" TargetMode="External"/><Relationship Id="rId450" Type="http://schemas.openxmlformats.org/officeDocument/2006/relationships/hyperlink" Target="https://africanmarketingconfederation.org/wp-admin/post.php?post=18478&amp;action=edit" TargetMode="External"/><Relationship Id="rId688" Type="http://schemas.openxmlformats.org/officeDocument/2006/relationships/hyperlink" Target="https://africanmarketingconfederation.org/wp-admin/post.php?post=20001&amp;action=edit" TargetMode="External"/><Relationship Id="rId895" Type="http://schemas.openxmlformats.org/officeDocument/2006/relationships/hyperlink" Target="https://africanmarketingconfederation.org/amc-sign-up-now-form-2025/" TargetMode="External"/><Relationship Id="rId909" Type="http://schemas.openxmlformats.org/officeDocument/2006/relationships/hyperlink" Target="https://africanmarketingconfederation.org/chartered-marketer-africa-final-submission-fee/" TargetMode="External"/><Relationship Id="rId1080" Type="http://schemas.openxmlformats.org/officeDocument/2006/relationships/hyperlink" Target="https://africanmarketingconfederation.org/wp-admin/post.php?post=23021&amp;action=edit" TargetMode="External"/><Relationship Id="rId1301" Type="http://schemas.openxmlformats.org/officeDocument/2006/relationships/hyperlink" Target="https://africanmarketingconfederation.org/download-prospectus-2024/" TargetMode="External"/><Relationship Id="rId38" Type="http://schemas.openxmlformats.org/officeDocument/2006/relationships/hyperlink" Target="https://africanmarketingconfederation.org/wp-admin/post.php?post=13549&amp;action=edit" TargetMode="External"/><Relationship Id="rId103" Type="http://schemas.openxmlformats.org/officeDocument/2006/relationships/hyperlink" Target="https://africanmarketingconfederation.org/awards-2026-1/" TargetMode="External"/><Relationship Id="rId310" Type="http://schemas.openxmlformats.org/officeDocument/2006/relationships/hyperlink" Target="https://africanmarketingconfederation.org/wp-admin/post.php?post=21591&amp;action=edit" TargetMode="External"/><Relationship Id="rId548" Type="http://schemas.openxmlformats.org/officeDocument/2006/relationships/hyperlink" Target="https://africanmarketingconfederation.org/wp-admin/post.php?post=13098&amp;action=edit" TargetMode="External"/><Relationship Id="rId755" Type="http://schemas.openxmlformats.org/officeDocument/2006/relationships/hyperlink" Target="https://africanmarketingconfederation.org/publication-download-list/" TargetMode="External"/><Relationship Id="rId962" Type="http://schemas.openxmlformats.org/officeDocument/2006/relationships/hyperlink" Target="https://africanmarketingconfederation.org/wp-admin/post.php?post=27352&amp;action=edit" TargetMode="External"/><Relationship Id="rId1178" Type="http://schemas.openxmlformats.org/officeDocument/2006/relationships/hyperlink" Target="https://africanmarketingconfederation.org/wp-admin/post.php?post=17196&amp;action=edit" TargetMode="External"/><Relationship Id="rId1385" Type="http://schemas.openxmlformats.org/officeDocument/2006/relationships/hyperlink" Target="https://africanmarketingconfederation.org/chartered-marketer-africa-thank-you/" TargetMode="External"/><Relationship Id="rId91" Type="http://schemas.openxmlformats.org/officeDocument/2006/relationships/hyperlink" Target="https://africanmarketingconfederation.org/amc-masterclass-thank-you/" TargetMode="External"/><Relationship Id="rId187" Type="http://schemas.openxmlformats.org/officeDocument/2006/relationships/hyperlink" Target="https://africanmarketingconfederation.org/amc-conference-2022-thank-you/" TargetMode="External"/><Relationship Id="rId394" Type="http://schemas.openxmlformats.org/officeDocument/2006/relationships/hyperlink" Target="https://africanmarketingconfederation.org/amc-marketing-conference-2024/amc-conference-2025-ghana-sponsors/" TargetMode="External"/><Relationship Id="rId408" Type="http://schemas.openxmlformats.org/officeDocument/2006/relationships/hyperlink" Target="https://africanmarketingconfederation.org/amc-marketing-conference-2024/speakers-2024/" TargetMode="External"/><Relationship Id="rId615" Type="http://schemas.openxmlformats.org/officeDocument/2006/relationships/hyperlink" Target="https://africanmarketingconfederation.org/wp-admin/post.php?post=21958&amp;action=edit" TargetMode="External"/><Relationship Id="rId822" Type="http://schemas.openxmlformats.org/officeDocument/2006/relationships/hyperlink" Target="https://africanmarketingconfederation.org/wp-admin/post.php?post=4494&amp;action=edit" TargetMode="External"/><Relationship Id="rId1038" Type="http://schemas.openxmlformats.org/officeDocument/2006/relationships/hyperlink" Target="https://africanmarketingconfederation.org/wp-admin/post.php?post=22778&amp;action=edit" TargetMode="External"/><Relationship Id="rId1245" Type="http://schemas.openxmlformats.org/officeDocument/2006/relationships/hyperlink" Target="https://africanmarketingconfederation.org/wp-admin/post.php?post=25857&amp;action=edit" TargetMode="External"/><Relationship Id="rId254" Type="http://schemas.openxmlformats.org/officeDocument/2006/relationships/hyperlink" Target="https://africanmarketingconfederation.org/wp-admin/post.php?post=10823&amp;action=edit" TargetMode="External"/><Relationship Id="rId699" Type="http://schemas.openxmlformats.org/officeDocument/2006/relationships/hyperlink" Target="https://africanmarketingconfederation.org/chartered-marketer-africa/" TargetMode="External"/><Relationship Id="rId1091" Type="http://schemas.openxmlformats.org/officeDocument/2006/relationships/hyperlink" Target="https://africanmarketingconfederation.org/amc-sponsors-2025/" TargetMode="External"/><Relationship Id="rId1105" Type="http://schemas.openxmlformats.org/officeDocument/2006/relationships/hyperlink" Target="https://africanmarketingconfederation.org/awards-2026/" TargetMode="External"/><Relationship Id="rId1312" Type="http://schemas.openxmlformats.org/officeDocument/2006/relationships/hyperlink" Target="https://africanmarketingconfederation.org/wp-admin/post.php?post=5597&amp;action=edit" TargetMode="External"/><Relationship Id="rId49" Type="http://schemas.openxmlformats.org/officeDocument/2006/relationships/hyperlink" Target="https://africanmarketingconfederation.org/amc-conference-2025-highlights/" TargetMode="External"/><Relationship Id="rId114" Type="http://schemas.openxmlformats.org/officeDocument/2006/relationships/hyperlink" Target="https://africanmarketingconfederation.org/wp-admin/post.php?post=19980&amp;action=edit" TargetMode="External"/><Relationship Id="rId461" Type="http://schemas.openxmlformats.org/officeDocument/2006/relationships/hyperlink" Target="https://africanmarketingconfederation.org/general-enquiry-form-thank-you/" TargetMode="External"/><Relationship Id="rId559" Type="http://schemas.openxmlformats.org/officeDocument/2006/relationships/hyperlink" Target="https://africanmarketingconfederation.org/amc-conference-2023/programme/" TargetMode="External"/><Relationship Id="rId766" Type="http://schemas.openxmlformats.org/officeDocument/2006/relationships/hyperlink" Target="https://africanmarketingconfederation.org/wp-admin/post.php?post=3634&amp;action=edit" TargetMode="External"/><Relationship Id="rId1189" Type="http://schemas.openxmlformats.org/officeDocument/2006/relationships/hyperlink" Target="https://africanmarketingconfederation.org/amc-awards-2024/" TargetMode="External"/><Relationship Id="rId1396" Type="http://schemas.openxmlformats.org/officeDocument/2006/relationships/hyperlink" Target="https://africanmarketingconfederation.org/wp-admin/post.php?post=5597&amp;action=edit" TargetMode="External"/><Relationship Id="rId198" Type="http://schemas.openxmlformats.org/officeDocument/2006/relationships/hyperlink" Target="https://africanmarketingconfederation.org/wp-admin/post.php?post=12497&amp;action=edit" TargetMode="External"/><Relationship Id="rId321" Type="http://schemas.openxmlformats.org/officeDocument/2006/relationships/hyperlink" Target="https://africanmarketingconfederation.org/thank-you-for-the-nomination-2024/" TargetMode="External"/><Relationship Id="rId419" Type="http://schemas.openxmlformats.org/officeDocument/2006/relationships/hyperlink" Target="https://africanmarketingconfederation.org/amc-sign-up-now-form-2025/" TargetMode="External"/><Relationship Id="rId626" Type="http://schemas.openxmlformats.org/officeDocument/2006/relationships/hyperlink" Target="https://africanmarketingconfederation.org/amc-marketing-conference-2024/amc-preregister-2025/" TargetMode="External"/><Relationship Id="rId973" Type="http://schemas.openxmlformats.org/officeDocument/2006/relationships/hyperlink" Target="https://africanmarketingconfederation.org/upcoming-events/" TargetMode="External"/><Relationship Id="rId1049" Type="http://schemas.openxmlformats.org/officeDocument/2006/relationships/hyperlink" Target="https://africanmarketingconfederation.org/wp-admin/post.php?post=21958&amp;action=edit" TargetMode="External"/><Relationship Id="rId1256" Type="http://schemas.openxmlformats.org/officeDocument/2006/relationships/hyperlink" Target="https://africanmarketingconfederation.org/amc-marketing-conference-2024/programme-2024/" TargetMode="External"/><Relationship Id="rId833" Type="http://schemas.openxmlformats.org/officeDocument/2006/relationships/hyperlink" Target="https://africanmarketingconfederation.org/amc-conference-2023/download-prospectus/" TargetMode="External"/><Relationship Id="rId1116" Type="http://schemas.openxmlformats.org/officeDocument/2006/relationships/hyperlink" Target="https://africanmarketingconfederation.org/wp-admin/post.php?post=9075&amp;action=edit" TargetMode="External"/><Relationship Id="rId265" Type="http://schemas.openxmlformats.org/officeDocument/2006/relationships/hyperlink" Target="https://africanmarketingconfederation.org/download-prospectus-2024/" TargetMode="External"/><Relationship Id="rId472" Type="http://schemas.openxmlformats.org/officeDocument/2006/relationships/hyperlink" Target="https://africanmarketingconfederation.org/wp-admin/post.php?post=9047&amp;action=edit" TargetMode="External"/><Relationship Id="rId900" Type="http://schemas.openxmlformats.org/officeDocument/2006/relationships/hyperlink" Target="https://africanmarketingconfederation.org/wp-admin/post.php?post=22679&amp;action=edit" TargetMode="External"/><Relationship Id="rId1323" Type="http://schemas.openxmlformats.org/officeDocument/2006/relationships/hyperlink" Target="https://africanmarketingconfederation.org/publications-2/" TargetMode="External"/><Relationship Id="rId125" Type="http://schemas.openxmlformats.org/officeDocument/2006/relationships/hyperlink" Target="https://africanmarketingconfederation.org/contact-us/" TargetMode="External"/><Relationship Id="rId332" Type="http://schemas.openxmlformats.org/officeDocument/2006/relationships/hyperlink" Target="https://africanmarketingconfederation.org/wp-admin/post.php?post=5290&amp;action=edit" TargetMode="External"/><Relationship Id="rId777" Type="http://schemas.openxmlformats.org/officeDocument/2006/relationships/hyperlink" Target="https://africanmarketingconfederation.org/test-payment-gate/" TargetMode="External"/><Relationship Id="rId984" Type="http://schemas.openxmlformats.org/officeDocument/2006/relationships/hyperlink" Target="https://africanmarketingconfederation.org/wp-admin/post.php?post=28165&amp;action=edit" TargetMode="External"/><Relationship Id="rId637" Type="http://schemas.openxmlformats.org/officeDocument/2006/relationships/hyperlink" Target="https://africanmarketingconfederation.org/wp-admin/post.php?post=29496&amp;action=edit" TargetMode="External"/><Relationship Id="rId844" Type="http://schemas.openxmlformats.org/officeDocument/2006/relationships/hyperlink" Target="https://africanmarketingconfederation.org/wp-admin/post.php?post=22401&amp;action=edit" TargetMode="External"/><Relationship Id="rId1267" Type="http://schemas.openxmlformats.org/officeDocument/2006/relationships/hyperlink" Target="https://africanmarketingconfederation.org/amc-relaunch-programme/" TargetMode="External"/><Relationship Id="rId276" Type="http://schemas.openxmlformats.org/officeDocument/2006/relationships/hyperlink" Target="https://africanmarketingconfederation.org/wp-admin/post.php?post=20341&amp;action=edit" TargetMode="External"/><Relationship Id="rId483" Type="http://schemas.openxmlformats.org/officeDocument/2006/relationships/hyperlink" Target="https://africanmarketingconfederation.org/test-homeslider/" TargetMode="External"/><Relationship Id="rId690" Type="http://schemas.openxmlformats.org/officeDocument/2006/relationships/hyperlink" Target="https://africanmarketingconfederation.org/wp-admin/post.php?post=20001&amp;action=edit" TargetMode="External"/><Relationship Id="rId704" Type="http://schemas.openxmlformats.org/officeDocument/2006/relationships/hyperlink" Target="https://africanmarketingconfederation.org/wp-admin/post.php?post=17908&amp;action=edit" TargetMode="External"/><Relationship Id="rId911" Type="http://schemas.openxmlformats.org/officeDocument/2006/relationships/hyperlink" Target="https://africanmarketingconfederation.org/chartered-marketer-africa-programme-fee/" TargetMode="External"/><Relationship Id="rId1127" Type="http://schemas.openxmlformats.org/officeDocument/2006/relationships/hyperlink" Target="https://africanmarketingconfederation.org/download-brochure/" TargetMode="External"/><Relationship Id="rId1334" Type="http://schemas.openxmlformats.org/officeDocument/2006/relationships/hyperlink" Target="https://africanmarketingconfederation.org/wp-admin/post.php?post=5490&amp;action=edit" TargetMode="External"/><Relationship Id="rId40" Type="http://schemas.openxmlformats.org/officeDocument/2006/relationships/hyperlink" Target="https://africanmarketingconfederation.org/wp-admin/post.php?post=13282&amp;action=edit" TargetMode="External"/><Relationship Id="rId136" Type="http://schemas.openxmlformats.org/officeDocument/2006/relationships/hyperlink" Target="https://africanmarketingconfederation.org/wp-admin/post.php?post=20341&amp;action=edit" TargetMode="External"/><Relationship Id="rId343" Type="http://schemas.openxmlformats.org/officeDocument/2006/relationships/hyperlink" Target="https://africanmarketingconfederation.org/amc-conference-2022-thank-you/" TargetMode="External"/><Relationship Id="rId550" Type="http://schemas.openxmlformats.org/officeDocument/2006/relationships/hyperlink" Target="https://africanmarketingconfederation.org/wp-admin/post.php?post=13098&amp;action=edit" TargetMode="External"/><Relationship Id="rId788" Type="http://schemas.openxmlformats.org/officeDocument/2006/relationships/hyperlink" Target="https://africanmarketingconfederation.org/wp-admin/post.php?post=17195&amp;action=edit" TargetMode="External"/><Relationship Id="rId995" Type="http://schemas.openxmlformats.org/officeDocument/2006/relationships/hyperlink" Target="https://africanmarketingconfederation.org/amc-conference-2022/" TargetMode="External"/><Relationship Id="rId1180" Type="http://schemas.openxmlformats.org/officeDocument/2006/relationships/hyperlink" Target="https://africanmarketingconfederation.org/wp-admin/post.php?post=4909&amp;action=edit" TargetMode="External"/><Relationship Id="rId1401" Type="http://schemas.openxmlformats.org/officeDocument/2006/relationships/hyperlink" Target="https://africanmarketingconfederation.org/thank-you-for-registering-2024-registrations-kenya/" TargetMode="External"/><Relationship Id="rId203" Type="http://schemas.openxmlformats.org/officeDocument/2006/relationships/hyperlink" Target="https://africanmarketingconfederation.org/amc-conference-2023/download-prospectus/" TargetMode="External"/><Relationship Id="rId648" Type="http://schemas.openxmlformats.org/officeDocument/2006/relationships/hyperlink" Target="https://africanmarketingconfederation.org/wp-admin/post.php?post=23021&amp;action=edit" TargetMode="External"/><Relationship Id="rId855" Type="http://schemas.openxmlformats.org/officeDocument/2006/relationships/hyperlink" Target="https://africanmarketingconfederation.org/amc-conference-2026/" TargetMode="External"/><Relationship Id="rId1040" Type="http://schemas.openxmlformats.org/officeDocument/2006/relationships/hyperlink" Target="https://africanmarketingconfederation.org/wp-admin/post.php?post=22778&amp;action=edit" TargetMode="External"/><Relationship Id="rId1278" Type="http://schemas.openxmlformats.org/officeDocument/2006/relationships/hyperlink" Target="https://africanmarketingconfederation.org/wp-admin/post.php?post=34552&amp;action=edit" TargetMode="External"/><Relationship Id="rId287" Type="http://schemas.openxmlformats.org/officeDocument/2006/relationships/hyperlink" Target="https://africanmarketingconfederation.org/publication-download-list/" TargetMode="External"/><Relationship Id="rId410" Type="http://schemas.openxmlformats.org/officeDocument/2006/relationships/hyperlink" Target="https://africanmarketingconfederation.org/wp-admin/post.php?post=23021&amp;action=edit" TargetMode="External"/><Relationship Id="rId494" Type="http://schemas.openxmlformats.org/officeDocument/2006/relationships/hyperlink" Target="https://africanmarketingconfederation.org/wp-admin/post.php?post=17000&amp;action=edit" TargetMode="External"/><Relationship Id="rId508" Type="http://schemas.openxmlformats.org/officeDocument/2006/relationships/hyperlink" Target="https://africanmarketingconfederation.org/wp-admin/post.php?post=84&amp;action=edit" TargetMode="External"/><Relationship Id="rId715" Type="http://schemas.openxmlformats.org/officeDocument/2006/relationships/hyperlink" Target="https://africanmarketingconfederation.org/download-brochure/" TargetMode="External"/><Relationship Id="rId922" Type="http://schemas.openxmlformats.org/officeDocument/2006/relationships/hyperlink" Target="https://africanmarketingconfederation.org/wp-admin/post.php?post=16472&amp;action=edit" TargetMode="External"/><Relationship Id="rId1138" Type="http://schemas.openxmlformats.org/officeDocument/2006/relationships/hyperlink" Target="https://africanmarketingconfederation.org/wp-admin/post.php?post=31820&amp;action=edit" TargetMode="External"/><Relationship Id="rId1345" Type="http://schemas.openxmlformats.org/officeDocument/2006/relationships/hyperlink" Target="https://africanmarketingconfederation.org/thank-you-for-the-submission-2024/" TargetMode="External"/><Relationship Id="rId147" Type="http://schemas.openxmlformats.org/officeDocument/2006/relationships/hyperlink" Target="https://africanmarketingconfederation.org/privacy-policy/" TargetMode="External"/><Relationship Id="rId354" Type="http://schemas.openxmlformats.org/officeDocument/2006/relationships/hyperlink" Target="https://africanmarketingconfederation.org/wp-admin/post.php?post=12497&amp;action=edit" TargetMode="External"/><Relationship Id="rId799" Type="http://schemas.openxmlformats.org/officeDocument/2006/relationships/hyperlink" Target="https://africanmarketingconfederation.org/thank-you-for-the-submission-2024/" TargetMode="External"/><Relationship Id="rId1191" Type="http://schemas.openxmlformats.org/officeDocument/2006/relationships/hyperlink" Target="https://africanmarketingconfederation.org/amc-conference-2022-prospectus/" TargetMode="External"/><Relationship Id="rId1205" Type="http://schemas.openxmlformats.org/officeDocument/2006/relationships/hyperlink" Target="https://africanmarketingconfederation.org/amc-conference-2023/book-now/" TargetMode="External"/><Relationship Id="rId51" Type="http://schemas.openxmlformats.org/officeDocument/2006/relationships/hyperlink" Target="https://africanmarketingconfederation.org/amc-conference-2025/" TargetMode="External"/><Relationship Id="rId561" Type="http://schemas.openxmlformats.org/officeDocument/2006/relationships/hyperlink" Target="https://africanmarketingconfederation.org/amc-conference-2023/programme/" TargetMode="External"/><Relationship Id="rId659" Type="http://schemas.openxmlformats.org/officeDocument/2006/relationships/hyperlink" Target="https://africanmarketingconfederation.org/amc-relaunch-programme/" TargetMode="External"/><Relationship Id="rId866" Type="http://schemas.openxmlformats.org/officeDocument/2006/relationships/hyperlink" Target="https://africanmarketingconfederation.org/amc-launch-event-zambia-thank-you-2026/" TargetMode="External"/><Relationship Id="rId1289" Type="http://schemas.openxmlformats.org/officeDocument/2006/relationships/hyperlink" Target="https://africanmarketingconfederation.org/chartered-marketer-africa/" TargetMode="External"/><Relationship Id="rId214" Type="http://schemas.openxmlformats.org/officeDocument/2006/relationships/hyperlink" Target="https://africanmarketingconfederation.org/wp-admin/post.php?post=22778&amp;action=edit" TargetMode="External"/><Relationship Id="rId298" Type="http://schemas.openxmlformats.org/officeDocument/2006/relationships/hyperlink" Target="https://africanmarketingconfederation.org/wp-admin/post.php?post=7781&amp;action=edit" TargetMode="External"/><Relationship Id="rId421" Type="http://schemas.openxmlformats.org/officeDocument/2006/relationships/hyperlink" Target="https://africanmarketingconfederation.org/amc-sponsors-2025/" TargetMode="External"/><Relationship Id="rId519" Type="http://schemas.openxmlformats.org/officeDocument/2006/relationships/hyperlink" Target="https://africanmarketingconfederation.org/amc-conference-2022-prospectus/" TargetMode="External"/><Relationship Id="rId1051" Type="http://schemas.openxmlformats.org/officeDocument/2006/relationships/hyperlink" Target="https://africanmarketingconfederation.org/wp-admin/post.php?post=21984&amp;action=edit" TargetMode="External"/><Relationship Id="rId1149" Type="http://schemas.openxmlformats.org/officeDocument/2006/relationships/hyperlink" Target="https://africanmarketingconfederation.org/privacy-policy/" TargetMode="External"/><Relationship Id="rId1356" Type="http://schemas.openxmlformats.org/officeDocument/2006/relationships/hyperlink" Target="https://africanmarketingconfederation.org/wp-admin/post.php?post=28165&amp;action=edit" TargetMode="External"/><Relationship Id="rId158" Type="http://schemas.openxmlformats.org/officeDocument/2006/relationships/hyperlink" Target="https://africanmarketingconfederation.org/wp-admin/post.php?post=3634&amp;action=edit" TargetMode="External"/><Relationship Id="rId726" Type="http://schemas.openxmlformats.org/officeDocument/2006/relationships/hyperlink" Target="https://africanmarketingconfederation.org/wp-admin/post.php?post=88&amp;action=edit" TargetMode="External"/><Relationship Id="rId933" Type="http://schemas.openxmlformats.org/officeDocument/2006/relationships/hyperlink" Target="https://africanmarketingconfederation.org/elementor-20341/" TargetMode="External"/><Relationship Id="rId1009" Type="http://schemas.openxmlformats.org/officeDocument/2006/relationships/hyperlink" Target="https://africanmarketingconfederation.org/amc-conference-2023/download-prospectus/" TargetMode="External"/><Relationship Id="rId62" Type="http://schemas.openxmlformats.org/officeDocument/2006/relationships/hyperlink" Target="https://africanmarketingconfederation.org/amc-conference-thank-you/" TargetMode="External"/><Relationship Id="rId365" Type="http://schemas.openxmlformats.org/officeDocument/2006/relationships/hyperlink" Target="https://africanmarketingconfederation.org/amc-conference-2023/speakers/" TargetMode="External"/><Relationship Id="rId572" Type="http://schemas.openxmlformats.org/officeDocument/2006/relationships/hyperlink" Target="https://africanmarketingconfederation.org/wp-admin/post.php?post=18318&amp;action=edit" TargetMode="External"/><Relationship Id="rId1216" Type="http://schemas.openxmlformats.org/officeDocument/2006/relationships/hyperlink" Target="https://africanmarketingconfederation.org/wp-admin/post.php?post=13179&amp;action=edit" TargetMode="External"/><Relationship Id="rId225" Type="http://schemas.openxmlformats.org/officeDocument/2006/relationships/hyperlink" Target="https://africanmarketingconfederation.org/wp-admin/post.php?post=25857&amp;action=edit" TargetMode="External"/><Relationship Id="rId432" Type="http://schemas.openxmlformats.org/officeDocument/2006/relationships/hyperlink" Target="https://africanmarketingconfederation.org/wp-admin/post.php?post=28742&amp;action=edit" TargetMode="External"/><Relationship Id="rId877" Type="http://schemas.openxmlformats.org/officeDocument/2006/relationships/hyperlink" Target="https://africanmarketingconfederation.org/wp-admin/post.php?post=24882&amp;action=edit" TargetMode="External"/><Relationship Id="rId1062" Type="http://schemas.openxmlformats.org/officeDocument/2006/relationships/hyperlink" Target="https://africanmarketingconfederation.org/amc-marketing-conference-2024/amc-preregister-2025/" TargetMode="External"/><Relationship Id="rId737" Type="http://schemas.openxmlformats.org/officeDocument/2006/relationships/hyperlink" Target="https://africanmarketingconfederation.org/general-enquiry-form-thank-you/" TargetMode="External"/><Relationship Id="rId944" Type="http://schemas.openxmlformats.org/officeDocument/2006/relationships/hyperlink" Target="https://africanmarketingconfederation.org/wp-admin/post.php?post=2196&amp;action=edit" TargetMode="External"/><Relationship Id="rId1367" Type="http://schemas.openxmlformats.org/officeDocument/2006/relationships/hyperlink" Target="https://africanmarketingconfederation.org/amc-conference-2026-zambia-thank-you/" TargetMode="External"/><Relationship Id="rId73" Type="http://schemas.openxmlformats.org/officeDocument/2006/relationships/hyperlink" Target="https://africanmarketingconfederation.org/wp-admin/post.php?post=25857&amp;action=edit" TargetMode="External"/><Relationship Id="rId169" Type="http://schemas.openxmlformats.org/officeDocument/2006/relationships/hyperlink" Target="https://africanmarketingconfederation.org/thank-you-for-subscribing/" TargetMode="External"/><Relationship Id="rId376" Type="http://schemas.openxmlformats.org/officeDocument/2006/relationships/hyperlink" Target="https://africanmarketingconfederation.org/wp-admin/post.php?post=33280&amp;action=edit" TargetMode="External"/><Relationship Id="rId583" Type="http://schemas.openxmlformats.org/officeDocument/2006/relationships/hyperlink" Target="https://africanmarketingconfederation.org/amc-conference-2026-awards-nominations-thank-you/" TargetMode="External"/><Relationship Id="rId790" Type="http://schemas.openxmlformats.org/officeDocument/2006/relationships/hyperlink" Target="https://africanmarketingconfederation.org/wp-admin/post.php?post=7916&amp;action=edit" TargetMode="External"/><Relationship Id="rId804" Type="http://schemas.openxmlformats.org/officeDocument/2006/relationships/hyperlink" Target="https://africanmarketingconfederation.org/wp-admin/post.php?post=4909&amp;action=edit" TargetMode="External"/><Relationship Id="rId1227" Type="http://schemas.openxmlformats.org/officeDocument/2006/relationships/hyperlink" Target="https://africanmarketingconfederation.org/amc-conference-2026-zambia-thank-you/" TargetMode="External"/><Relationship Id="rId4" Type="http://schemas.openxmlformats.org/officeDocument/2006/relationships/hyperlink" Target="https://africanmarketingconfederation.org/wp-admin/post.php?post=13164&amp;action=edit" TargetMode="External"/><Relationship Id="rId236" Type="http://schemas.openxmlformats.org/officeDocument/2006/relationships/hyperlink" Target="https://africanmarketingconfederation.org/wp-admin/post.php?post=6816&amp;action=edit" TargetMode="External"/><Relationship Id="rId443" Type="http://schemas.openxmlformats.org/officeDocument/2006/relationships/hyperlink" Target="https://africanmarketingconfederation.org/conference-faq-2025/" TargetMode="External"/><Relationship Id="rId650" Type="http://schemas.openxmlformats.org/officeDocument/2006/relationships/hyperlink" Target="https://africanmarketingconfederation.org/wp-admin/post.php?post=6816&amp;action=edit" TargetMode="External"/><Relationship Id="rId888" Type="http://schemas.openxmlformats.org/officeDocument/2006/relationships/hyperlink" Target="https://africanmarketingconfederation.org/wp-admin/post.php?post=6816&amp;action=edit" TargetMode="External"/><Relationship Id="rId1073" Type="http://schemas.openxmlformats.org/officeDocument/2006/relationships/hyperlink" Target="https://africanmarketingconfederation.org/wp-admin/post.php?post=29496&amp;action=edit" TargetMode="External"/><Relationship Id="rId1280" Type="http://schemas.openxmlformats.org/officeDocument/2006/relationships/hyperlink" Target="https://africanmarketingconfederation.org/wp-admin/post.php?post=34622&amp;action=edit" TargetMode="External"/><Relationship Id="rId303" Type="http://schemas.openxmlformats.org/officeDocument/2006/relationships/hyperlink" Target="https://africanmarketingconfederation.org/test-payment-gate/" TargetMode="External"/><Relationship Id="rId748" Type="http://schemas.openxmlformats.org/officeDocument/2006/relationships/hyperlink" Target="https://africanmarketingconfederation.org/wp-admin/post.php?post=2196&amp;action=edit" TargetMode="External"/><Relationship Id="rId955" Type="http://schemas.openxmlformats.org/officeDocument/2006/relationships/hyperlink" Target="https://africanmarketingconfederation.org/sub-committees/" TargetMode="External"/><Relationship Id="rId1140" Type="http://schemas.openxmlformats.org/officeDocument/2006/relationships/hyperlink" Target="https://africanmarketingconfederation.org/wp-admin/post.php?post=5597&amp;action=edit" TargetMode="External"/><Relationship Id="rId1378" Type="http://schemas.openxmlformats.org/officeDocument/2006/relationships/hyperlink" Target="https://africanmarketingconfederation.org/wp-admin/post.php?post=6822&amp;action=edit" TargetMode="External"/><Relationship Id="rId84" Type="http://schemas.openxmlformats.org/officeDocument/2006/relationships/hyperlink" Target="https://africanmarketingconfederation.org/amc-marketing-conference-2024/programme-2024/" TargetMode="External"/><Relationship Id="rId387" Type="http://schemas.openxmlformats.org/officeDocument/2006/relationships/hyperlink" Target="https://africanmarketingconfederation.org/wp-admin/post.php?post=21958&amp;action=edit" TargetMode="External"/><Relationship Id="rId510" Type="http://schemas.openxmlformats.org/officeDocument/2006/relationships/hyperlink" Target="https://africanmarketingconfederation.org/wp-admin/post.php?post=28165&amp;action=edit" TargetMode="External"/><Relationship Id="rId594" Type="http://schemas.openxmlformats.org/officeDocument/2006/relationships/hyperlink" Target="https://africanmarketingconfederation.org/wp-admin/post.php?post=5057&amp;action=edit" TargetMode="External"/><Relationship Id="rId608" Type="http://schemas.openxmlformats.org/officeDocument/2006/relationships/hyperlink" Target="https://africanmarketingconfederation.org/amc-forum-payments/" TargetMode="External"/><Relationship Id="rId815" Type="http://schemas.openxmlformats.org/officeDocument/2006/relationships/hyperlink" Target="https://africanmarketingconfederation.org/amc-awards-2024/" TargetMode="External"/><Relationship Id="rId1238" Type="http://schemas.openxmlformats.org/officeDocument/2006/relationships/hyperlink" Target="https://africanmarketingconfederation.org/amc-forum-payments/" TargetMode="External"/><Relationship Id="rId247" Type="http://schemas.openxmlformats.org/officeDocument/2006/relationships/hyperlink" Target="https://africanmarketingconfederation.org/certified-professional-marketer-africa/" TargetMode="External"/><Relationship Id="rId899" Type="http://schemas.openxmlformats.org/officeDocument/2006/relationships/hyperlink" Target="https://africanmarketingconfederation.org/amc-testimony-page-2024/" TargetMode="External"/><Relationship Id="rId1000" Type="http://schemas.openxmlformats.org/officeDocument/2006/relationships/hyperlink" Target="https://africanmarketingconfederation.org/wp-admin/post.php?post=13164&amp;action=edit" TargetMode="External"/><Relationship Id="rId1084" Type="http://schemas.openxmlformats.org/officeDocument/2006/relationships/hyperlink" Target="https://africanmarketingconfederation.org/wp-admin/post.php?post=6822&amp;action=edit" TargetMode="External"/><Relationship Id="rId1305" Type="http://schemas.openxmlformats.org/officeDocument/2006/relationships/hyperlink" Target="https://africanmarketingconfederation.org/elementor-16548/" TargetMode="External"/><Relationship Id="rId107" Type="http://schemas.openxmlformats.org/officeDocument/2006/relationships/hyperlink" Target="https://africanmarketingconfederation.org/awards-2026/" TargetMode="External"/><Relationship Id="rId454" Type="http://schemas.openxmlformats.org/officeDocument/2006/relationships/hyperlink" Target="https://africanmarketingconfederation.org/wp-admin/post.php?post=88&amp;action=edit" TargetMode="External"/><Relationship Id="rId661" Type="http://schemas.openxmlformats.org/officeDocument/2006/relationships/hyperlink" Target="https://africanmarketingconfederation.org/amc-relaunch-programme/" TargetMode="External"/><Relationship Id="rId759" Type="http://schemas.openxmlformats.org/officeDocument/2006/relationships/hyperlink" Target="https://africanmarketingconfederation.org/speakers-2025/" TargetMode="External"/><Relationship Id="rId966" Type="http://schemas.openxmlformats.org/officeDocument/2006/relationships/hyperlink" Target="https://africanmarketingconfederation.org/wp-admin/post.php?post=17195&amp;action=edit" TargetMode="External"/><Relationship Id="rId1291" Type="http://schemas.openxmlformats.org/officeDocument/2006/relationships/hyperlink" Target="https://africanmarketingconfederation.org/checkout/" TargetMode="External"/><Relationship Id="rId1389" Type="http://schemas.openxmlformats.org/officeDocument/2006/relationships/hyperlink" Target="https://africanmarketingconfederation.org/checkout/" TargetMode="External"/><Relationship Id="rId11" Type="http://schemas.openxmlformats.org/officeDocument/2006/relationships/hyperlink" Target="https://africanmarketingconfederation.org/" TargetMode="External"/><Relationship Id="rId314" Type="http://schemas.openxmlformats.org/officeDocument/2006/relationships/hyperlink" Target="https://africanmarketingconfederation.org/wp-admin/post.php?post=17195&amp;action=edit" TargetMode="External"/><Relationship Id="rId398" Type="http://schemas.openxmlformats.org/officeDocument/2006/relationships/hyperlink" Target="https://africanmarketingconfederation.org/amc-marketing-conference-2024/amc-preregister-2025/" TargetMode="External"/><Relationship Id="rId521" Type="http://schemas.openxmlformats.org/officeDocument/2006/relationships/hyperlink" Target="https://africanmarketingconfederation.org/amc-conference-2022-thank-you/" TargetMode="External"/><Relationship Id="rId619" Type="http://schemas.openxmlformats.org/officeDocument/2006/relationships/hyperlink" Target="https://africanmarketingconfederation.org/wp-admin/post.php?post=25857&amp;action=edit" TargetMode="External"/><Relationship Id="rId1151" Type="http://schemas.openxmlformats.org/officeDocument/2006/relationships/hyperlink" Target="https://africanmarketingconfederation.org/publication-download-list/" TargetMode="External"/><Relationship Id="rId1249" Type="http://schemas.openxmlformats.org/officeDocument/2006/relationships/hyperlink" Target="https://africanmarketingconfederation.org/wp-admin/post.php?post=26290&amp;action=edit" TargetMode="External"/><Relationship Id="rId95" Type="http://schemas.openxmlformats.org/officeDocument/2006/relationships/hyperlink" Target="https://africanmarketingconfederation.org/amc-relaunch-programme/" TargetMode="External"/><Relationship Id="rId160" Type="http://schemas.openxmlformats.org/officeDocument/2006/relationships/hyperlink" Target="https://africanmarketingconfederation.org/wp-admin/post.php?post=7781&amp;action=edit" TargetMode="External"/><Relationship Id="rId826" Type="http://schemas.openxmlformats.org/officeDocument/2006/relationships/hyperlink" Target="https://africanmarketingconfederation.org/wp-admin/post.php?post=13164&amp;action=edit" TargetMode="External"/><Relationship Id="rId1011" Type="http://schemas.openxmlformats.org/officeDocument/2006/relationships/hyperlink" Target="https://africanmarketingconfederation.org/amc-conference-2023/gallery/" TargetMode="External"/><Relationship Id="rId1109" Type="http://schemas.openxmlformats.org/officeDocument/2006/relationships/hyperlink" Target="https://africanmarketingconfederation.org/chartered-marketer-africa-final-submission-fee/" TargetMode="External"/><Relationship Id="rId258" Type="http://schemas.openxmlformats.org/officeDocument/2006/relationships/hyperlink" Target="https://africanmarketingconfederation.org/wp-admin/post.php?post=17908&amp;action=edit" TargetMode="External"/><Relationship Id="rId465" Type="http://schemas.openxmlformats.org/officeDocument/2006/relationships/hyperlink" Target="https://africanmarketingconfederation.org/members/" TargetMode="External"/><Relationship Id="rId672" Type="http://schemas.openxmlformats.org/officeDocument/2006/relationships/hyperlink" Target="https://africanmarketingconfederation.org/wp-admin/post.php?post=22679&amp;action=edit" TargetMode="External"/><Relationship Id="rId1095" Type="http://schemas.openxmlformats.org/officeDocument/2006/relationships/hyperlink" Target="https://africanmarketingconfederation.org/awards-2026-1/" TargetMode="External"/><Relationship Id="rId1316" Type="http://schemas.openxmlformats.org/officeDocument/2006/relationships/hyperlink" Target="https://africanmarketingconfederation.org/wp-admin/post.php?post=86&amp;action=edit" TargetMode="External"/><Relationship Id="rId22" Type="http://schemas.openxmlformats.org/officeDocument/2006/relationships/hyperlink" Target="https://africanmarketingconfederation.org/wp-admin/post.php?post=4941&amp;action=edit" TargetMode="External"/><Relationship Id="rId118" Type="http://schemas.openxmlformats.org/officeDocument/2006/relationships/hyperlink" Target="https://africanmarketingconfederation.org/wp-admin/post.php?post=9075&amp;action=edit" TargetMode="External"/><Relationship Id="rId325" Type="http://schemas.openxmlformats.org/officeDocument/2006/relationships/hyperlink" Target="https://africanmarketingconfederation.org/thank-you-for-the-submission-2024/" TargetMode="External"/><Relationship Id="rId532" Type="http://schemas.openxmlformats.org/officeDocument/2006/relationships/hyperlink" Target="https://africanmarketingconfederation.org/wp-admin/post.php?post=12371&amp;action=edit" TargetMode="External"/><Relationship Id="rId977" Type="http://schemas.openxmlformats.org/officeDocument/2006/relationships/hyperlink" Target="https://africanmarketingconfederation.org/" TargetMode="External"/><Relationship Id="rId1162" Type="http://schemas.openxmlformats.org/officeDocument/2006/relationships/hyperlink" Target="https://africanmarketingconfederation.org/wp-admin/post.php?post=3634&amp;action=edit" TargetMode="External"/><Relationship Id="rId171" Type="http://schemas.openxmlformats.org/officeDocument/2006/relationships/hyperlink" Target="https://africanmarketingconfederation.org/thank-you-for-the-nomination-2024/" TargetMode="External"/><Relationship Id="rId837" Type="http://schemas.openxmlformats.org/officeDocument/2006/relationships/hyperlink" Target="https://africanmarketingconfederation.org/amc-conference-2023/partners/" TargetMode="External"/><Relationship Id="rId1022" Type="http://schemas.openxmlformats.org/officeDocument/2006/relationships/hyperlink" Target="https://africanmarketingconfederation.org/wp-admin/post.php?post=22401&amp;action=edit" TargetMode="External"/><Relationship Id="rId269" Type="http://schemas.openxmlformats.org/officeDocument/2006/relationships/hyperlink" Target="https://africanmarketingconfederation.org/education/" TargetMode="External"/><Relationship Id="rId476" Type="http://schemas.openxmlformats.org/officeDocument/2006/relationships/hyperlink" Target="https://africanmarketingconfederation.org/wp-admin/post.php?post=21962&amp;action=edit" TargetMode="External"/><Relationship Id="rId683" Type="http://schemas.openxmlformats.org/officeDocument/2006/relationships/hyperlink" Target="https://africanmarketingconfederation.org/certified-professional-marketer-africa/" TargetMode="External"/><Relationship Id="rId890" Type="http://schemas.openxmlformats.org/officeDocument/2006/relationships/hyperlink" Target="https://africanmarketingconfederation.org/wp-admin/post.php?post=6822&amp;action=edit" TargetMode="External"/><Relationship Id="rId904" Type="http://schemas.openxmlformats.org/officeDocument/2006/relationships/hyperlink" Target="https://africanmarketingconfederation.org/wp-admin/post.php?post=34552&amp;action=edit" TargetMode="External"/><Relationship Id="rId1327" Type="http://schemas.openxmlformats.org/officeDocument/2006/relationships/hyperlink" Target="https://africanmarketingconfederation.org/speakers/" TargetMode="External"/><Relationship Id="rId33" Type="http://schemas.openxmlformats.org/officeDocument/2006/relationships/hyperlink" Target="https://africanmarketingconfederation.org/amc-conference-2023/book-now/" TargetMode="External"/><Relationship Id="rId129" Type="http://schemas.openxmlformats.org/officeDocument/2006/relationships/hyperlink" Target="https://africanmarketingconfederation.org/download-prospectus-2024/" TargetMode="External"/><Relationship Id="rId336" Type="http://schemas.openxmlformats.org/officeDocument/2006/relationships/hyperlink" Target="https://africanmarketingconfederation.org/wp-admin/post.php?post=84&amp;action=edit" TargetMode="External"/><Relationship Id="rId543" Type="http://schemas.openxmlformats.org/officeDocument/2006/relationships/hyperlink" Target="https://africanmarketingconfederation.org/amc-conference-2023/book-now/" TargetMode="External"/><Relationship Id="rId988" Type="http://schemas.openxmlformats.org/officeDocument/2006/relationships/hyperlink" Target="https://africanmarketingconfederation.org/wp-admin/post.php?post=16125&amp;action=edit" TargetMode="External"/><Relationship Id="rId1173" Type="http://schemas.openxmlformats.org/officeDocument/2006/relationships/hyperlink" Target="https://africanmarketingconfederation.org/thank-you-for-subscribing/" TargetMode="External"/><Relationship Id="rId1380" Type="http://schemas.openxmlformats.org/officeDocument/2006/relationships/hyperlink" Target="https://africanmarketingconfederation.org/wp-admin/post.php?post=28742&amp;action=edit" TargetMode="External"/><Relationship Id="rId182" Type="http://schemas.openxmlformats.org/officeDocument/2006/relationships/hyperlink" Target="https://africanmarketingconfederation.org/wp-admin/post.php?post=84&amp;action=edit" TargetMode="External"/><Relationship Id="rId403" Type="http://schemas.openxmlformats.org/officeDocument/2006/relationships/hyperlink" Target="https://africanmarketingconfederation.org/wp-admin/post.php?post=22595&amp;action=edit" TargetMode="External"/><Relationship Id="rId750" Type="http://schemas.openxmlformats.org/officeDocument/2006/relationships/hyperlink" Target="https://africanmarketingconfederation.org/wp-admin/post.php?post=3&amp;action=edit" TargetMode="External"/><Relationship Id="rId848" Type="http://schemas.openxmlformats.org/officeDocument/2006/relationships/hyperlink" Target="https://africanmarketingconfederation.org/wp-admin/post.php?post=30257&amp;action=edit" TargetMode="External"/><Relationship Id="rId1033" Type="http://schemas.openxmlformats.org/officeDocument/2006/relationships/hyperlink" Target="https://africanmarketingconfederation.org/amc-conference-2026-awards-nominations-thank-you/" TargetMode="External"/><Relationship Id="rId487" Type="http://schemas.openxmlformats.org/officeDocument/2006/relationships/hyperlink" Target="https://africanmarketingconfederation.org/thank-you-for-registering-2024-registrations-kenya/" TargetMode="External"/><Relationship Id="rId610" Type="http://schemas.openxmlformats.org/officeDocument/2006/relationships/hyperlink" Target="https://africanmarketingconfederation.org/amc-launch-event-zambia-thank-you-2026/" TargetMode="External"/><Relationship Id="rId694" Type="http://schemas.openxmlformats.org/officeDocument/2006/relationships/hyperlink" Target="https://africanmarketingconfederation.org/wp-admin/post.php?post=19980&amp;action=edit" TargetMode="External"/><Relationship Id="rId708" Type="http://schemas.openxmlformats.org/officeDocument/2006/relationships/hyperlink" Target="https://africanmarketingconfederation.org/wp-admin/post.php?post=16472&amp;action=edit" TargetMode="External"/><Relationship Id="rId915" Type="http://schemas.openxmlformats.org/officeDocument/2006/relationships/hyperlink" Target="https://africanmarketingconfederation.org/chartered-marketer-africa/" TargetMode="External"/><Relationship Id="rId1240" Type="http://schemas.openxmlformats.org/officeDocument/2006/relationships/hyperlink" Target="https://africanmarketingconfederation.org/amc-launch-event-zambia-thank-you-2026/" TargetMode="External"/><Relationship Id="rId1338" Type="http://schemas.openxmlformats.org/officeDocument/2006/relationships/hyperlink" Target="https://africanmarketingconfederation.org/wp-admin/post.php?post=21591&amp;action=edit" TargetMode="External"/><Relationship Id="rId347" Type="http://schemas.openxmlformats.org/officeDocument/2006/relationships/hyperlink" Target="https://africanmarketingconfederation.org/amc-conference-2023/" TargetMode="External"/><Relationship Id="rId999" Type="http://schemas.openxmlformats.org/officeDocument/2006/relationships/hyperlink" Target="https://africanmarketingconfederation.org/amc-conference-2023/amc-awards-book-now/" TargetMode="External"/><Relationship Id="rId1100" Type="http://schemas.openxmlformats.org/officeDocument/2006/relationships/hyperlink" Target="https://africanmarketingconfederation.org/wp-admin/post.php?post=34552&amp;action=edit" TargetMode="External"/><Relationship Id="rId1184" Type="http://schemas.openxmlformats.org/officeDocument/2006/relationships/hyperlink" Target="https://africanmarketingconfederation.org/wp-admin/post.php?post=8&amp;action=edit" TargetMode="External"/><Relationship Id="rId1405" Type="http://schemas.openxmlformats.org/officeDocument/2006/relationships/hyperlink" Target="https://africanmarketingconfederation.org/thank-you-for-the-nomination-2024/" TargetMode="External"/><Relationship Id="rId44" Type="http://schemas.openxmlformats.org/officeDocument/2006/relationships/hyperlink" Target="https://africanmarketingconfederation.org/wp-admin/post.php?post=13179&amp;action=edit" TargetMode="External"/><Relationship Id="rId554" Type="http://schemas.openxmlformats.org/officeDocument/2006/relationships/hyperlink" Target="https://africanmarketingconfederation.org/wp-admin/post.php?post=13549&amp;action=edit" TargetMode="External"/><Relationship Id="rId761" Type="http://schemas.openxmlformats.org/officeDocument/2006/relationships/hyperlink" Target="https://africanmarketingconfederation.org/speakers/" TargetMode="External"/><Relationship Id="rId859" Type="http://schemas.openxmlformats.org/officeDocument/2006/relationships/hyperlink" Target="https://africanmarketingconfederation.org/amc-conference-sponsors/" TargetMode="External"/><Relationship Id="rId1391" Type="http://schemas.openxmlformats.org/officeDocument/2006/relationships/hyperlink" Target="https://africanmarketingconfederation.org/conference-faq-2025/" TargetMode="External"/><Relationship Id="rId193" Type="http://schemas.openxmlformats.org/officeDocument/2006/relationships/hyperlink" Target="https://africanmarketingconfederation.org/amc-conference-2023/amc-awards-book-now/" TargetMode="External"/><Relationship Id="rId207" Type="http://schemas.openxmlformats.org/officeDocument/2006/relationships/hyperlink" Target="https://africanmarketingconfederation.org/amc-conference-2023/partners/" TargetMode="External"/><Relationship Id="rId414" Type="http://schemas.openxmlformats.org/officeDocument/2006/relationships/hyperlink" Target="https://africanmarketingconfederation.org/wp-admin/post.php?post=6822&amp;action=edit" TargetMode="External"/><Relationship Id="rId498" Type="http://schemas.openxmlformats.org/officeDocument/2006/relationships/hyperlink" Target="https://africanmarketingconfederation.org/wp-admin/post.php?post=4909&amp;action=edit" TargetMode="External"/><Relationship Id="rId621" Type="http://schemas.openxmlformats.org/officeDocument/2006/relationships/hyperlink" Target="https://africanmarketingconfederation.org/wp-admin/post.php?post=25857&amp;action=edit" TargetMode="External"/><Relationship Id="rId1044" Type="http://schemas.openxmlformats.org/officeDocument/2006/relationships/hyperlink" Target="https://africanmarketingconfederation.org/wp-admin/post.php?post=5057&amp;action=edit" TargetMode="External"/><Relationship Id="rId1251" Type="http://schemas.openxmlformats.org/officeDocument/2006/relationships/hyperlink" Target="https://africanmarketingconfederation.org/wp-admin/post.php?post=24882&amp;action=edit" TargetMode="External"/><Relationship Id="rId1349" Type="http://schemas.openxmlformats.org/officeDocument/2006/relationships/hyperlink" Target="https://africanmarketingconfederation.org/virtual-programme/" TargetMode="External"/><Relationship Id="rId260" Type="http://schemas.openxmlformats.org/officeDocument/2006/relationships/hyperlink" Target="https://africanmarketingconfederation.org/wp-admin/post.php?post=17908&amp;action=edit" TargetMode="External"/><Relationship Id="rId719" Type="http://schemas.openxmlformats.org/officeDocument/2006/relationships/hyperlink" Target="https://africanmarketingconfederation.org/download-prospectus-2024/" TargetMode="External"/><Relationship Id="rId926" Type="http://schemas.openxmlformats.org/officeDocument/2006/relationships/hyperlink" Target="https://africanmarketingconfederation.org/wp-admin/post.php?post=18478&amp;action=edit" TargetMode="External"/><Relationship Id="rId1111" Type="http://schemas.openxmlformats.org/officeDocument/2006/relationships/hyperlink" Target="https://africanmarketingconfederation.org/chartered-marketer-africa-programme-fee/" TargetMode="External"/><Relationship Id="rId55" Type="http://schemas.openxmlformats.org/officeDocument/2006/relationships/hyperlink" Target="https://africanmarketingconfederation.org/amc-conference-2026-zambia-thank-you/" TargetMode="External"/><Relationship Id="rId120" Type="http://schemas.openxmlformats.org/officeDocument/2006/relationships/hyperlink" Target="https://africanmarketingconfederation.org/wp-admin/post.php?post=17908&amp;action=edit" TargetMode="External"/><Relationship Id="rId358" Type="http://schemas.openxmlformats.org/officeDocument/2006/relationships/hyperlink" Target="https://africanmarketingconfederation.org/wp-admin/post.php?post=13098&amp;action=edit" TargetMode="External"/><Relationship Id="rId565" Type="http://schemas.openxmlformats.org/officeDocument/2006/relationships/hyperlink" Target="https://africanmarketingconfederation.org/amc-conference-2023/speakers/" TargetMode="External"/><Relationship Id="rId772" Type="http://schemas.openxmlformats.org/officeDocument/2006/relationships/hyperlink" Target="https://africanmarketingconfederation.org/wp-admin/post.php?post=7781&amp;action=edit" TargetMode="External"/><Relationship Id="rId1195" Type="http://schemas.openxmlformats.org/officeDocument/2006/relationships/hyperlink" Target="https://africanmarketingconfederation.org/amc-conference-2022/" TargetMode="External"/><Relationship Id="rId1209" Type="http://schemas.openxmlformats.org/officeDocument/2006/relationships/hyperlink" Target="https://africanmarketingconfederation.org/amc-conference-2023/gallery/" TargetMode="External"/><Relationship Id="rId218" Type="http://schemas.openxmlformats.org/officeDocument/2006/relationships/hyperlink" Target="https://africanmarketingconfederation.org/amc-forum-payments/" TargetMode="External"/><Relationship Id="rId425" Type="http://schemas.openxmlformats.org/officeDocument/2006/relationships/hyperlink" Target="https://africanmarketingconfederation.org/awards-2026-1/" TargetMode="External"/><Relationship Id="rId632" Type="http://schemas.openxmlformats.org/officeDocument/2006/relationships/hyperlink" Target="https://africanmarketingconfederation.org/amc-marketing-conference-2024/amc-speakers-presentations-2024/" TargetMode="External"/><Relationship Id="rId1055" Type="http://schemas.openxmlformats.org/officeDocument/2006/relationships/hyperlink" Target="https://africanmarketingconfederation.org/wp-admin/post.php?post=33131&amp;action=edit" TargetMode="External"/><Relationship Id="rId1262" Type="http://schemas.openxmlformats.org/officeDocument/2006/relationships/hyperlink" Target="https://africanmarketingconfederation.org/wp-admin/post.php?post=6816&amp;action=edit" TargetMode="External"/><Relationship Id="rId271" Type="http://schemas.openxmlformats.org/officeDocument/2006/relationships/hyperlink" Target="https://africanmarketingconfederation.org/elementor-16548/" TargetMode="External"/><Relationship Id="rId937" Type="http://schemas.openxmlformats.org/officeDocument/2006/relationships/hyperlink" Target="https://africanmarketingconfederation.org/general-enquiry-form-thank-you/" TargetMode="External"/><Relationship Id="rId1122" Type="http://schemas.openxmlformats.org/officeDocument/2006/relationships/hyperlink" Target="https://africanmarketingconfederation.org/wp-admin/post.php?post=16472&amp;action=edit" TargetMode="External"/><Relationship Id="rId66" Type="http://schemas.openxmlformats.org/officeDocument/2006/relationships/hyperlink" Target="https://africanmarketingconfederation.org/amc-forum-payments/" TargetMode="External"/><Relationship Id="rId131" Type="http://schemas.openxmlformats.org/officeDocument/2006/relationships/hyperlink" Target="https://africanmarketingconfederation.org/education/" TargetMode="External"/><Relationship Id="rId369" Type="http://schemas.openxmlformats.org/officeDocument/2006/relationships/hyperlink" Target="https://africanmarketingconfederation.org/amc-conference-2024-sponsors-packages/" TargetMode="External"/><Relationship Id="rId576" Type="http://schemas.openxmlformats.org/officeDocument/2006/relationships/hyperlink" Target="https://africanmarketingconfederation.org/wp-admin/post.php?post=30257&amp;action=edit" TargetMode="External"/><Relationship Id="rId783" Type="http://schemas.openxmlformats.org/officeDocument/2006/relationships/hyperlink" Target="https://africanmarketingconfederation.org/thank-you-for-registering-2024-registrations-kenya/" TargetMode="External"/><Relationship Id="rId990" Type="http://schemas.openxmlformats.org/officeDocument/2006/relationships/hyperlink" Target="https://africanmarketingconfederation.org/wp-admin/post.php?post=16125&amp;action=edit" TargetMode="External"/><Relationship Id="rId229" Type="http://schemas.openxmlformats.org/officeDocument/2006/relationships/hyperlink" Target="https://africanmarketingconfederation.org/wp-admin/post.php?post=22595&amp;action=edit" TargetMode="External"/><Relationship Id="rId436" Type="http://schemas.openxmlformats.org/officeDocument/2006/relationships/hyperlink" Target="https://africanmarketingconfederation.org/wp-admin/post.php?post=19980&amp;action=edit" TargetMode="External"/><Relationship Id="rId643" Type="http://schemas.openxmlformats.org/officeDocument/2006/relationships/hyperlink" Target="https://africanmarketingconfederation.org/wp-admin/post.php?post=16104&amp;action=edit" TargetMode="External"/><Relationship Id="rId1066" Type="http://schemas.openxmlformats.org/officeDocument/2006/relationships/hyperlink" Target="https://africanmarketingconfederation.org/amc-marketing-conference-2024/amc-programme-2025/" TargetMode="External"/><Relationship Id="rId1273" Type="http://schemas.openxmlformats.org/officeDocument/2006/relationships/hyperlink" Target="https://africanmarketingconfederation.org/amc-testimony-page-2024/" TargetMode="External"/><Relationship Id="rId850" Type="http://schemas.openxmlformats.org/officeDocument/2006/relationships/hyperlink" Target="https://africanmarketingconfederation.org/wp-admin/post.php?post=23710&amp;action=edit" TargetMode="External"/><Relationship Id="rId948" Type="http://schemas.openxmlformats.org/officeDocument/2006/relationships/hyperlink" Target="https://africanmarketingconfederation.org/wp-admin/post.php?post=9047&amp;action=edit" TargetMode="External"/><Relationship Id="rId1133" Type="http://schemas.openxmlformats.org/officeDocument/2006/relationships/hyperlink" Target="https://africanmarketingconfederation.org/elementor-16548/" TargetMode="External"/><Relationship Id="rId77" Type="http://schemas.openxmlformats.org/officeDocument/2006/relationships/hyperlink" Target="https://africanmarketingconfederation.org/wp-admin/post.php?post=26290&amp;action=edit" TargetMode="External"/><Relationship Id="rId282" Type="http://schemas.openxmlformats.org/officeDocument/2006/relationships/hyperlink" Target="https://africanmarketingconfederation.org/wp-admin/post.php?post=5597&amp;action=edit" TargetMode="External"/><Relationship Id="rId503" Type="http://schemas.openxmlformats.org/officeDocument/2006/relationships/hyperlink" Target="https://africanmarketingconfederation.org/" TargetMode="External"/><Relationship Id="rId587" Type="http://schemas.openxmlformats.org/officeDocument/2006/relationships/hyperlink" Target="https://africanmarketingconfederation.org/amc-conference-2026-zambia-thank-you/" TargetMode="External"/><Relationship Id="rId710" Type="http://schemas.openxmlformats.org/officeDocument/2006/relationships/hyperlink" Target="https://africanmarketingconfederation.org/wp-admin/post.php?post=16472&amp;action=edit" TargetMode="External"/><Relationship Id="rId808" Type="http://schemas.openxmlformats.org/officeDocument/2006/relationships/hyperlink" Target="https://africanmarketingconfederation.org/wp-admin/post.php?post=5290&amp;action=edit" TargetMode="External"/><Relationship Id="rId1340" Type="http://schemas.openxmlformats.org/officeDocument/2006/relationships/hyperlink" Target="https://africanmarketingconfederation.org/wp-admin/post.php?post=17195&amp;action=edit" TargetMode="External"/><Relationship Id="rId8" Type="http://schemas.openxmlformats.org/officeDocument/2006/relationships/hyperlink" Target="https://africanmarketingconfederation.org/wp-admin/post.php?post=6816&amp;action=edit" TargetMode="External"/><Relationship Id="rId142" Type="http://schemas.openxmlformats.org/officeDocument/2006/relationships/hyperlink" Target="https://africanmarketingconfederation.org/wp-admin/post.php?post=33050&amp;action=edit" TargetMode="External"/><Relationship Id="rId447" Type="http://schemas.openxmlformats.org/officeDocument/2006/relationships/hyperlink" Target="https://africanmarketingconfederation.org/contact-us/" TargetMode="External"/><Relationship Id="rId794" Type="http://schemas.openxmlformats.org/officeDocument/2006/relationships/hyperlink" Target="https://africanmarketingconfederation.org/wp-admin/post.php?post=17000&amp;action=edit" TargetMode="External"/><Relationship Id="rId1077" Type="http://schemas.openxmlformats.org/officeDocument/2006/relationships/hyperlink" Target="https://africanmarketingconfederation.org/amc-marketing-conference-2024/testimony-thank-you-page/" TargetMode="External"/><Relationship Id="rId1200" Type="http://schemas.openxmlformats.org/officeDocument/2006/relationships/hyperlink" Target="https://africanmarketingconfederation.org/wp-admin/post.php?post=13164&amp;action=edit" TargetMode="External"/><Relationship Id="rId654" Type="http://schemas.openxmlformats.org/officeDocument/2006/relationships/hyperlink" Target="https://africanmarketingconfederation.org/wp-admin/post.php?post=6822&amp;action=edit" TargetMode="External"/><Relationship Id="rId861" Type="http://schemas.openxmlformats.org/officeDocument/2006/relationships/hyperlink" Target="https://africanmarketingconfederation.org/wp-admin/post.php?post=12477&amp;action=edit" TargetMode="External"/><Relationship Id="rId959" Type="http://schemas.openxmlformats.org/officeDocument/2006/relationships/hyperlink" Target="https://africanmarketingconfederation.org/test-homeslider/" TargetMode="External"/><Relationship Id="rId1284" Type="http://schemas.openxmlformats.org/officeDocument/2006/relationships/hyperlink" Target="https://africanmarketingconfederation.org/wp-admin/post.php?post=20001&amp;action=edit" TargetMode="External"/><Relationship Id="rId293" Type="http://schemas.openxmlformats.org/officeDocument/2006/relationships/hyperlink" Target="https://africanmarketingconfederation.org/speakers/" TargetMode="External"/><Relationship Id="rId307" Type="http://schemas.openxmlformats.org/officeDocument/2006/relationships/hyperlink" Target="https://africanmarketingconfederation.org/thank-you-for-registering-2024-registrations-kenya/" TargetMode="External"/><Relationship Id="rId514" Type="http://schemas.openxmlformats.org/officeDocument/2006/relationships/hyperlink" Target="https://africanmarketingconfederation.org/wp-admin/post.php?post=16125&amp;action=edit" TargetMode="External"/><Relationship Id="rId721" Type="http://schemas.openxmlformats.org/officeDocument/2006/relationships/hyperlink" Target="https://africanmarketingconfederation.org/download-prospectus-2024/" TargetMode="External"/><Relationship Id="rId1144" Type="http://schemas.openxmlformats.org/officeDocument/2006/relationships/hyperlink" Target="https://africanmarketingconfederation.org/wp-admin/post.php?post=86&amp;action=edit" TargetMode="External"/><Relationship Id="rId1351" Type="http://schemas.openxmlformats.org/officeDocument/2006/relationships/hyperlink" Target="https://africanmarketingconfederation.org/" TargetMode="External"/><Relationship Id="rId88" Type="http://schemas.openxmlformats.org/officeDocument/2006/relationships/hyperlink" Target="https://africanmarketingconfederation.org/wp-admin/post.php?post=23021&amp;action=edit" TargetMode="External"/><Relationship Id="rId153" Type="http://schemas.openxmlformats.org/officeDocument/2006/relationships/hyperlink" Target="https://africanmarketingconfederation.org/speakers-2025/" TargetMode="External"/><Relationship Id="rId360" Type="http://schemas.openxmlformats.org/officeDocument/2006/relationships/hyperlink" Target="https://africanmarketingconfederation.org/wp-admin/post.php?post=13549&amp;action=edit" TargetMode="External"/><Relationship Id="rId598" Type="http://schemas.openxmlformats.org/officeDocument/2006/relationships/hyperlink" Target="https://africanmarketingconfederation.org/amc-conference-thank-you/" TargetMode="External"/><Relationship Id="rId819" Type="http://schemas.openxmlformats.org/officeDocument/2006/relationships/hyperlink" Target="https://africanmarketingconfederation.org/amc-conference-2022-thank-you/" TargetMode="External"/><Relationship Id="rId1004" Type="http://schemas.openxmlformats.org/officeDocument/2006/relationships/hyperlink" Target="https://africanmarketingconfederation.org/wp-admin/post.php?post=12497&amp;action=edit" TargetMode="External"/><Relationship Id="rId1211" Type="http://schemas.openxmlformats.org/officeDocument/2006/relationships/hyperlink" Target="https://africanmarketingconfederation.org/amc-conference-2023/partners/" TargetMode="External"/><Relationship Id="rId220" Type="http://schemas.openxmlformats.org/officeDocument/2006/relationships/hyperlink" Target="https://africanmarketingconfederation.org/amc-forum-payments/" TargetMode="External"/><Relationship Id="rId458" Type="http://schemas.openxmlformats.org/officeDocument/2006/relationships/hyperlink" Target="https://africanmarketingconfederation.org/wp-admin/post.php?post=20341&amp;action=edit" TargetMode="External"/><Relationship Id="rId665" Type="http://schemas.openxmlformats.org/officeDocument/2006/relationships/hyperlink" Target="https://africanmarketingconfederation.org/amc-sign-up-now-form-2025/" TargetMode="External"/><Relationship Id="rId872" Type="http://schemas.openxmlformats.org/officeDocument/2006/relationships/hyperlink" Target="https://africanmarketingconfederation.org/amc-marketing-conference-2024/amc-launch-event-2025/" TargetMode="External"/><Relationship Id="rId1088" Type="http://schemas.openxmlformats.org/officeDocument/2006/relationships/hyperlink" Target="https://africanmarketingconfederation.org/wp-admin/post.php?post=4492&amp;action=edit" TargetMode="External"/><Relationship Id="rId1295" Type="http://schemas.openxmlformats.org/officeDocument/2006/relationships/hyperlink" Target="https://africanmarketingconfederation.org/conference-registrations-2024/" TargetMode="External"/><Relationship Id="rId1309" Type="http://schemas.openxmlformats.org/officeDocument/2006/relationships/hyperlink" Target="https://africanmarketingconfederation.org/elementor-31820/" TargetMode="External"/><Relationship Id="rId15" Type="http://schemas.openxmlformats.org/officeDocument/2006/relationships/hyperlink" Target="https://africanmarketingconfederation.org/african-marketing-confederation-tourism-chapter/" TargetMode="External"/><Relationship Id="rId318" Type="http://schemas.openxmlformats.org/officeDocument/2006/relationships/hyperlink" Target="https://africanmarketingconfederation.org/wp-admin/post.php?post=7916&amp;action=edit" TargetMode="External"/><Relationship Id="rId525" Type="http://schemas.openxmlformats.org/officeDocument/2006/relationships/hyperlink" Target="https://africanmarketingconfederation.org/amc-conference-2022/" TargetMode="External"/><Relationship Id="rId732" Type="http://schemas.openxmlformats.org/officeDocument/2006/relationships/hyperlink" Target="https://africanmarketingconfederation.org/wp-admin/post.php?post=20341&amp;action=edit" TargetMode="External"/><Relationship Id="rId1155" Type="http://schemas.openxmlformats.org/officeDocument/2006/relationships/hyperlink" Target="https://africanmarketingconfederation.org/speakers-2025/" TargetMode="External"/><Relationship Id="rId1362" Type="http://schemas.openxmlformats.org/officeDocument/2006/relationships/hyperlink" Target="https://africanmarketingconfederation.org/wp-admin/post.php?post=30257&amp;action=edit" TargetMode="External"/><Relationship Id="rId99" Type="http://schemas.openxmlformats.org/officeDocument/2006/relationships/hyperlink" Target="https://africanmarketingconfederation.org/amc-sponsors-2025/" TargetMode="External"/><Relationship Id="rId164" Type="http://schemas.openxmlformats.org/officeDocument/2006/relationships/hyperlink" Target="https://africanmarketingconfederation.org/wp-admin/post.php?post=27352&amp;action=edit" TargetMode="External"/><Relationship Id="rId371" Type="http://schemas.openxmlformats.org/officeDocument/2006/relationships/hyperlink" Target="https://africanmarketingconfederation.org/amc-conference-2025-highlights/" TargetMode="External"/><Relationship Id="rId1015" Type="http://schemas.openxmlformats.org/officeDocument/2006/relationships/hyperlink" Target="https://africanmarketingconfederation.org/amc-conference-2023/programme/" TargetMode="External"/><Relationship Id="rId1222" Type="http://schemas.openxmlformats.org/officeDocument/2006/relationships/hyperlink" Target="https://africanmarketingconfederation.org/wp-admin/post.php?post=30257&amp;action=edit" TargetMode="External"/><Relationship Id="rId469" Type="http://schemas.openxmlformats.org/officeDocument/2006/relationships/hyperlink" Target="https://africanmarketingconfederation.org/privacy-policy/" TargetMode="External"/><Relationship Id="rId676" Type="http://schemas.openxmlformats.org/officeDocument/2006/relationships/hyperlink" Target="https://africanmarketingconfederation.org/wp-admin/post.php?post=32554&amp;action=edit" TargetMode="External"/><Relationship Id="rId883" Type="http://schemas.openxmlformats.org/officeDocument/2006/relationships/hyperlink" Target="https://africanmarketingconfederation.org/wp-admin/post.php?post=16104&amp;action=edit" TargetMode="External"/><Relationship Id="rId1099" Type="http://schemas.openxmlformats.org/officeDocument/2006/relationships/hyperlink" Target="https://africanmarketingconfederation.org/awards-2026-test/" TargetMode="External"/><Relationship Id="rId26" Type="http://schemas.openxmlformats.org/officeDocument/2006/relationships/hyperlink" Target="https://africanmarketingconfederation.org/wp-admin/post.php?post=12371&amp;action=edit" TargetMode="External"/><Relationship Id="rId231" Type="http://schemas.openxmlformats.org/officeDocument/2006/relationships/hyperlink" Target="https://africanmarketingconfederation.org/amc-marketing-conference-2024/testimony-thank-you-page/" TargetMode="External"/><Relationship Id="rId329" Type="http://schemas.openxmlformats.org/officeDocument/2006/relationships/hyperlink" Target="https://africanmarketingconfederation.org/upcoming-events/" TargetMode="External"/><Relationship Id="rId536" Type="http://schemas.openxmlformats.org/officeDocument/2006/relationships/hyperlink" Target="https://africanmarketingconfederation.org/wp-admin/post.php?post=12954&amp;action=edit" TargetMode="External"/><Relationship Id="rId1166" Type="http://schemas.openxmlformats.org/officeDocument/2006/relationships/hyperlink" Target="https://africanmarketingconfederation.org/wp-admin/post.php?post=5490&amp;action=edit" TargetMode="External"/><Relationship Id="rId1373" Type="http://schemas.openxmlformats.org/officeDocument/2006/relationships/hyperlink" Target="https://africanmarketingconfederation.org/amc-marketing-conference-2024/amc-programme-2025/" TargetMode="External"/><Relationship Id="rId175" Type="http://schemas.openxmlformats.org/officeDocument/2006/relationships/hyperlink" Target="https://africanmarketingconfederation.org/upcoming-events/" TargetMode="External"/><Relationship Id="rId743" Type="http://schemas.openxmlformats.org/officeDocument/2006/relationships/hyperlink" Target="https://africanmarketingconfederation.org/members/" TargetMode="External"/><Relationship Id="rId950" Type="http://schemas.openxmlformats.org/officeDocument/2006/relationships/hyperlink" Target="https://africanmarketingconfederation.org/wp-admin/post.php?post=3686&amp;action=edit" TargetMode="External"/><Relationship Id="rId1026" Type="http://schemas.openxmlformats.org/officeDocument/2006/relationships/hyperlink" Target="https://africanmarketingconfederation.org/wp-admin/post.php?post=30257&amp;action=edit" TargetMode="External"/><Relationship Id="rId382" Type="http://schemas.openxmlformats.org/officeDocument/2006/relationships/hyperlink" Target="https://africanmarketingconfederation.org/wp-admin/post.php?post=5057&amp;action=edit" TargetMode="External"/><Relationship Id="rId603" Type="http://schemas.openxmlformats.org/officeDocument/2006/relationships/hyperlink" Target="https://africanmarketingconfederation.org/wp-admin/post.php?post=21958&amp;action=edit" TargetMode="External"/><Relationship Id="rId687" Type="http://schemas.openxmlformats.org/officeDocument/2006/relationships/hyperlink" Target="https://africanmarketingconfederation.org/chartered-marketer-africa-final-submission-fee/" TargetMode="External"/><Relationship Id="rId810" Type="http://schemas.openxmlformats.org/officeDocument/2006/relationships/hyperlink" Target="https://africanmarketingconfederation.org/wp-admin/post.php?post=8&amp;action=edit" TargetMode="External"/><Relationship Id="rId908" Type="http://schemas.openxmlformats.org/officeDocument/2006/relationships/hyperlink" Target="https://africanmarketingconfederation.org/wp-admin/post.php?post=28742&amp;action=edit" TargetMode="External"/><Relationship Id="rId1233" Type="http://schemas.openxmlformats.org/officeDocument/2006/relationships/hyperlink" Target="https://africanmarketingconfederation.org/amc-conference-sponsors/" TargetMode="External"/><Relationship Id="rId242" Type="http://schemas.openxmlformats.org/officeDocument/2006/relationships/hyperlink" Target="https://africanmarketingconfederation.org/wp-admin/post.php?post=6553&amp;action=edit" TargetMode="External"/><Relationship Id="rId894" Type="http://schemas.openxmlformats.org/officeDocument/2006/relationships/hyperlink" Target="https://africanmarketingconfederation.org/wp-admin/post.php?post=4492&amp;action=edit" TargetMode="External"/><Relationship Id="rId1177" Type="http://schemas.openxmlformats.org/officeDocument/2006/relationships/hyperlink" Target="https://africanmarketingconfederation.org/thank-you-for-the-submission-2024/" TargetMode="External"/><Relationship Id="rId1300" Type="http://schemas.openxmlformats.org/officeDocument/2006/relationships/hyperlink" Target="https://africanmarketingconfederation.org/wp-admin/post.php?post=18478&amp;action=edit" TargetMode="External"/><Relationship Id="rId37" Type="http://schemas.openxmlformats.org/officeDocument/2006/relationships/hyperlink" Target="https://africanmarketingconfederation.org/amc-conference-2023/gallery/" TargetMode="External"/><Relationship Id="rId102" Type="http://schemas.openxmlformats.org/officeDocument/2006/relationships/hyperlink" Target="https://africanmarketingconfederation.org/wp-admin/post.php?post=22679&amp;action=edit" TargetMode="External"/><Relationship Id="rId547" Type="http://schemas.openxmlformats.org/officeDocument/2006/relationships/hyperlink" Target="https://africanmarketingconfederation.org/amc-conference-2023/download-prospectus/" TargetMode="External"/><Relationship Id="rId754" Type="http://schemas.openxmlformats.org/officeDocument/2006/relationships/hyperlink" Target="https://africanmarketingconfederation.org/wp-admin/post.php?post=9047&amp;action=edit" TargetMode="External"/><Relationship Id="rId961" Type="http://schemas.openxmlformats.org/officeDocument/2006/relationships/hyperlink" Target="https://africanmarketingconfederation.org/test-payment-gate/" TargetMode="External"/><Relationship Id="rId1384" Type="http://schemas.openxmlformats.org/officeDocument/2006/relationships/hyperlink" Target="https://africanmarketingconfederation.org/wp-admin/post.php?post=19980&amp;action=edit" TargetMode="External"/><Relationship Id="rId90" Type="http://schemas.openxmlformats.org/officeDocument/2006/relationships/hyperlink" Target="https://africanmarketingconfederation.org/wp-admin/post.php?post=6816&amp;action=edit" TargetMode="External"/><Relationship Id="rId186" Type="http://schemas.openxmlformats.org/officeDocument/2006/relationships/hyperlink" Target="https://africanmarketingconfederation.org/wp-admin/post.php?post=5619&amp;action=edit" TargetMode="External"/><Relationship Id="rId393" Type="http://schemas.openxmlformats.org/officeDocument/2006/relationships/hyperlink" Target="https://africanmarketingconfederation.org/wp-admin/post.php?post=21958&amp;action=edit" TargetMode="External"/><Relationship Id="rId407" Type="http://schemas.openxmlformats.org/officeDocument/2006/relationships/hyperlink" Target="https://africanmarketingconfederation.org/wp-admin/post.php?post=16104&amp;action=edit" TargetMode="External"/><Relationship Id="rId614" Type="http://schemas.openxmlformats.org/officeDocument/2006/relationships/hyperlink" Target="https://africanmarketingconfederation.org/amc-marketing-conference-2024/" TargetMode="External"/><Relationship Id="rId821" Type="http://schemas.openxmlformats.org/officeDocument/2006/relationships/hyperlink" Target="https://africanmarketingconfederation.org/amc-conference-2022/" TargetMode="External"/><Relationship Id="rId1037" Type="http://schemas.openxmlformats.org/officeDocument/2006/relationships/hyperlink" Target="https://africanmarketingconfederation.org/amc-conference-2026-zambia-thank-you/" TargetMode="External"/><Relationship Id="rId1244" Type="http://schemas.openxmlformats.org/officeDocument/2006/relationships/hyperlink" Target="https://africanmarketingconfederation.org/amc-marketing-conference-2024/amc-conference-2025-ghana-sponsors/" TargetMode="External"/><Relationship Id="rId253" Type="http://schemas.openxmlformats.org/officeDocument/2006/relationships/hyperlink" Target="https://africanmarketingconfederation.org/chartered-marketer-africa-thank-you/" TargetMode="External"/><Relationship Id="rId460" Type="http://schemas.openxmlformats.org/officeDocument/2006/relationships/hyperlink" Target="https://africanmarketingconfederation.org/wp-admin/post.php?post=31820&amp;action=edit" TargetMode="External"/><Relationship Id="rId698" Type="http://schemas.openxmlformats.org/officeDocument/2006/relationships/hyperlink" Target="https://africanmarketingconfederation.org/wp-admin/post.php?post=10823&amp;action=edit" TargetMode="External"/><Relationship Id="rId919" Type="http://schemas.openxmlformats.org/officeDocument/2006/relationships/hyperlink" Target="https://africanmarketingconfederation.org/conference-faq-2025/" TargetMode="External"/><Relationship Id="rId1090" Type="http://schemas.openxmlformats.org/officeDocument/2006/relationships/hyperlink" Target="https://africanmarketingconfederation.org/wp-admin/post.php?post=23001&amp;action=edit" TargetMode="External"/><Relationship Id="rId1104" Type="http://schemas.openxmlformats.org/officeDocument/2006/relationships/hyperlink" Target="https://africanmarketingconfederation.org/wp-admin/post.php?post=34622&amp;action=edit" TargetMode="External"/><Relationship Id="rId1311" Type="http://schemas.openxmlformats.org/officeDocument/2006/relationships/hyperlink" Target="https://africanmarketingconfederation.org/general-enquiry-form-thank-you/" TargetMode="External"/><Relationship Id="rId48" Type="http://schemas.openxmlformats.org/officeDocument/2006/relationships/hyperlink" Target="https://africanmarketingconfederation.org/wp-admin/post.php?post=18318&amp;action=edit" TargetMode="External"/><Relationship Id="rId113" Type="http://schemas.openxmlformats.org/officeDocument/2006/relationships/hyperlink" Target="https://africanmarketingconfederation.org/chartered-marketer-africa-programme-fee/" TargetMode="External"/><Relationship Id="rId320" Type="http://schemas.openxmlformats.org/officeDocument/2006/relationships/hyperlink" Target="https://africanmarketingconfederation.org/wp-admin/post.php?post=17000&amp;action=edit" TargetMode="External"/><Relationship Id="rId558" Type="http://schemas.openxmlformats.org/officeDocument/2006/relationships/hyperlink" Target="https://africanmarketingconfederation.org/wp-admin/post.php?post=13282&amp;action=edit" TargetMode="External"/><Relationship Id="rId765" Type="http://schemas.openxmlformats.org/officeDocument/2006/relationships/hyperlink" Target="https://africanmarketingconfederation.org/sub-committees/" TargetMode="External"/><Relationship Id="rId972" Type="http://schemas.openxmlformats.org/officeDocument/2006/relationships/hyperlink" Target="https://africanmarketingconfederation.org/wp-admin/post.php?post=17196&amp;action=edit" TargetMode="External"/><Relationship Id="rId1188" Type="http://schemas.openxmlformats.org/officeDocument/2006/relationships/hyperlink" Target="https://africanmarketingconfederation.org/wp-admin/post.php?post=28165&amp;action=edit" TargetMode="External"/><Relationship Id="rId1395" Type="http://schemas.openxmlformats.org/officeDocument/2006/relationships/hyperlink" Target="https://africanmarketingconfederation.org/general-enquiry-form-thank-you/" TargetMode="External"/><Relationship Id="rId197" Type="http://schemas.openxmlformats.org/officeDocument/2006/relationships/hyperlink" Target="https://africanmarketingconfederation.org/amc-conference-2023/book-now-thank-you/" TargetMode="External"/><Relationship Id="rId418" Type="http://schemas.openxmlformats.org/officeDocument/2006/relationships/hyperlink" Target="https://africanmarketingconfederation.org/wp-admin/post.php?post=4492&amp;action=edit" TargetMode="External"/><Relationship Id="rId625" Type="http://schemas.openxmlformats.org/officeDocument/2006/relationships/hyperlink" Target="https://africanmarketingconfederation.org/wp-admin/post.php?post=25788&amp;action=edit" TargetMode="External"/><Relationship Id="rId832" Type="http://schemas.openxmlformats.org/officeDocument/2006/relationships/hyperlink" Target="https://africanmarketingconfederation.org/wp-admin/post.php?post=12407&amp;action=edit" TargetMode="External"/><Relationship Id="rId1048" Type="http://schemas.openxmlformats.org/officeDocument/2006/relationships/hyperlink" Target="https://africanmarketingconfederation.org/amc-forum-mombasa/" TargetMode="External"/><Relationship Id="rId1255" Type="http://schemas.openxmlformats.org/officeDocument/2006/relationships/hyperlink" Target="https://africanmarketingconfederation.org/wp-admin/post.php?post=29496&amp;action=edit" TargetMode="External"/><Relationship Id="rId264" Type="http://schemas.openxmlformats.org/officeDocument/2006/relationships/hyperlink" Target="https://africanmarketingconfederation.org/wp-admin/post.php?post=18478&amp;action=edit" TargetMode="External"/><Relationship Id="rId471" Type="http://schemas.openxmlformats.org/officeDocument/2006/relationships/hyperlink" Target="https://africanmarketingconfederation.org/publication-download-list/" TargetMode="External"/><Relationship Id="rId1115" Type="http://schemas.openxmlformats.org/officeDocument/2006/relationships/hyperlink" Target="https://africanmarketingconfederation.org/chartered-marketer-africa/" TargetMode="External"/><Relationship Id="rId1322" Type="http://schemas.openxmlformats.org/officeDocument/2006/relationships/hyperlink" Target="https://africanmarketingconfederation.org/wp-admin/post.php?post=9047&amp;action=edit" TargetMode="External"/><Relationship Id="rId59" Type="http://schemas.openxmlformats.org/officeDocument/2006/relationships/hyperlink" Target="https://africanmarketingconfederation.org/amc-conference-programme/" TargetMode="External"/><Relationship Id="rId124" Type="http://schemas.openxmlformats.org/officeDocument/2006/relationships/hyperlink" Target="https://africanmarketingconfederation.org/wp-admin/post.php?post=16472&amp;action=edit" TargetMode="External"/><Relationship Id="rId569" Type="http://schemas.openxmlformats.org/officeDocument/2006/relationships/hyperlink" Target="https://africanmarketingconfederation.org/amc-conference-2024-recap/" TargetMode="External"/><Relationship Id="rId776" Type="http://schemas.openxmlformats.org/officeDocument/2006/relationships/hyperlink" Target="https://africanmarketingconfederation.org/wp-admin/post.php?post=5490&amp;action=edit" TargetMode="External"/><Relationship Id="rId983" Type="http://schemas.openxmlformats.org/officeDocument/2006/relationships/hyperlink" Target="https://africanmarketingconfederation.org/african-marketing-confederation-tourism-chapter/" TargetMode="External"/><Relationship Id="rId1199" Type="http://schemas.openxmlformats.org/officeDocument/2006/relationships/hyperlink" Target="https://africanmarketingconfederation.org/amc-conference-2023/amc-awards-book-now/" TargetMode="External"/><Relationship Id="rId331" Type="http://schemas.openxmlformats.org/officeDocument/2006/relationships/hyperlink" Target="https://africanmarketingconfederation.org/virtual-programme/" TargetMode="External"/><Relationship Id="rId429" Type="http://schemas.openxmlformats.org/officeDocument/2006/relationships/hyperlink" Target="https://africanmarketingconfederation.org/awards-2026/" TargetMode="External"/><Relationship Id="rId636" Type="http://schemas.openxmlformats.org/officeDocument/2006/relationships/hyperlink" Target="https://africanmarketingconfederation.org/amc-marketing-conference-2024/awards-2025/" TargetMode="External"/><Relationship Id="rId1059" Type="http://schemas.openxmlformats.org/officeDocument/2006/relationships/hyperlink" Target="https://africanmarketingconfederation.org/wp-admin/post.php?post=25857&amp;action=edit" TargetMode="External"/><Relationship Id="rId1266" Type="http://schemas.openxmlformats.org/officeDocument/2006/relationships/hyperlink" Target="https://africanmarketingconfederation.org/wp-admin/post.php?post=6553&amp;action=edit" TargetMode="External"/><Relationship Id="rId843" Type="http://schemas.openxmlformats.org/officeDocument/2006/relationships/hyperlink" Target="https://africanmarketingconfederation.org/amc-conference-2024-recap/" TargetMode="External"/><Relationship Id="rId1126" Type="http://schemas.openxmlformats.org/officeDocument/2006/relationships/hyperlink" Target="https://africanmarketingconfederation.org/wp-admin/post.php?post=92&amp;action=edit" TargetMode="External"/><Relationship Id="rId275" Type="http://schemas.openxmlformats.org/officeDocument/2006/relationships/hyperlink" Target="https://africanmarketingconfederation.org/elementor-20341/" TargetMode="External"/><Relationship Id="rId482" Type="http://schemas.openxmlformats.org/officeDocument/2006/relationships/hyperlink" Target="https://africanmarketingconfederation.org/wp-admin/post.php?post=7781&amp;action=edit" TargetMode="External"/><Relationship Id="rId703" Type="http://schemas.openxmlformats.org/officeDocument/2006/relationships/hyperlink" Target="https://africanmarketingconfederation.org/checkout/" TargetMode="External"/><Relationship Id="rId910" Type="http://schemas.openxmlformats.org/officeDocument/2006/relationships/hyperlink" Target="https://africanmarketingconfederation.org/wp-admin/post.php?post=20001&amp;action=edit" TargetMode="External"/><Relationship Id="rId1333" Type="http://schemas.openxmlformats.org/officeDocument/2006/relationships/hyperlink" Target="https://africanmarketingconfederation.org/test-homeslider/" TargetMode="External"/><Relationship Id="rId135" Type="http://schemas.openxmlformats.org/officeDocument/2006/relationships/hyperlink" Target="https://africanmarketingconfederation.org/elementor-20341/" TargetMode="External"/><Relationship Id="rId342" Type="http://schemas.openxmlformats.org/officeDocument/2006/relationships/hyperlink" Target="https://africanmarketingconfederation.org/wp-admin/post.php?post=5619&amp;action=edit" TargetMode="External"/><Relationship Id="rId787" Type="http://schemas.openxmlformats.org/officeDocument/2006/relationships/hyperlink" Target="https://africanmarketingconfederation.org/thank-you-for-registering-2024-registrations/" TargetMode="External"/><Relationship Id="rId994" Type="http://schemas.openxmlformats.org/officeDocument/2006/relationships/hyperlink" Target="https://africanmarketingconfederation.org/wp-admin/post.php?post=4941&amp;action=edit" TargetMode="External"/><Relationship Id="rId1400" Type="http://schemas.openxmlformats.org/officeDocument/2006/relationships/hyperlink" Target="https://africanmarketingconfederation.org/wp-admin/post.php?post=21962&amp;action=edit" TargetMode="External"/><Relationship Id="rId202" Type="http://schemas.openxmlformats.org/officeDocument/2006/relationships/hyperlink" Target="https://africanmarketingconfederation.org/wp-admin/post.php?post=12407&amp;action=edit" TargetMode="External"/><Relationship Id="rId647" Type="http://schemas.openxmlformats.org/officeDocument/2006/relationships/hyperlink" Target="https://africanmarketingconfederation.org/amc-marketing-conference-2024/testimony-thank-you-page/" TargetMode="External"/><Relationship Id="rId854" Type="http://schemas.openxmlformats.org/officeDocument/2006/relationships/hyperlink" Target="https://africanmarketingconfederation.org/wp-admin/post.php?post=22778&amp;action=edit" TargetMode="External"/><Relationship Id="rId1277" Type="http://schemas.openxmlformats.org/officeDocument/2006/relationships/hyperlink" Target="https://africanmarketingconfederation.org/awards-2026-test/" TargetMode="External"/><Relationship Id="rId286" Type="http://schemas.openxmlformats.org/officeDocument/2006/relationships/hyperlink" Target="https://africanmarketingconfederation.org/wp-admin/post.php?post=2196&amp;action=edit" TargetMode="External"/><Relationship Id="rId493" Type="http://schemas.openxmlformats.org/officeDocument/2006/relationships/hyperlink" Target="https://africanmarketingconfederation.org/thank-you-for-the-nomination-2024/" TargetMode="External"/><Relationship Id="rId507" Type="http://schemas.openxmlformats.org/officeDocument/2006/relationships/hyperlink" Target="https://africanmarketingconfederation.org/about-us/" TargetMode="External"/><Relationship Id="rId714" Type="http://schemas.openxmlformats.org/officeDocument/2006/relationships/hyperlink" Target="https://africanmarketingconfederation.org/wp-admin/post.php?post=92&amp;action=edit" TargetMode="External"/><Relationship Id="rId921" Type="http://schemas.openxmlformats.org/officeDocument/2006/relationships/hyperlink" Target="https://africanmarketingconfederation.org/conference-registrations-2024/" TargetMode="External"/><Relationship Id="rId1137" Type="http://schemas.openxmlformats.org/officeDocument/2006/relationships/hyperlink" Target="https://africanmarketingconfederation.org/elementor-31820/" TargetMode="External"/><Relationship Id="rId1344" Type="http://schemas.openxmlformats.org/officeDocument/2006/relationships/hyperlink" Target="https://africanmarketingconfederation.org/wp-admin/post.php?post=17000&amp;action=edit" TargetMode="External"/><Relationship Id="rId50" Type="http://schemas.openxmlformats.org/officeDocument/2006/relationships/hyperlink" Target="https://africanmarketingconfederation.org/wp-admin/post.php?post=30257&amp;action=edit" TargetMode="External"/><Relationship Id="rId146" Type="http://schemas.openxmlformats.org/officeDocument/2006/relationships/hyperlink" Target="https://africanmarketingconfederation.org/wp-admin/post.php?post=2196&amp;action=edit" TargetMode="External"/><Relationship Id="rId353" Type="http://schemas.openxmlformats.org/officeDocument/2006/relationships/hyperlink" Target="https://africanmarketingconfederation.org/amc-conference-2023/book-now-thank-you/" TargetMode="External"/><Relationship Id="rId560" Type="http://schemas.openxmlformats.org/officeDocument/2006/relationships/hyperlink" Target="https://africanmarketingconfederation.org/wp-admin/post.php?post=12945&amp;action=edit" TargetMode="External"/><Relationship Id="rId798" Type="http://schemas.openxmlformats.org/officeDocument/2006/relationships/hyperlink" Target="https://africanmarketingconfederation.org/wp-admin/post.php?post=17196&amp;action=edit" TargetMode="External"/><Relationship Id="rId1190" Type="http://schemas.openxmlformats.org/officeDocument/2006/relationships/hyperlink" Target="https://africanmarketingconfederation.org/wp-admin/post.php?post=16125&amp;action=edit" TargetMode="External"/><Relationship Id="rId1204" Type="http://schemas.openxmlformats.org/officeDocument/2006/relationships/hyperlink" Target="https://africanmarketingconfederation.org/wp-admin/post.php?post=12497&amp;action=edit" TargetMode="External"/><Relationship Id="rId213" Type="http://schemas.openxmlformats.org/officeDocument/2006/relationships/hyperlink" Target="https://africanmarketingconfederation.org/amc-conference-2026-zambia-thank-you/" TargetMode="External"/><Relationship Id="rId420" Type="http://schemas.openxmlformats.org/officeDocument/2006/relationships/hyperlink" Target="https://africanmarketingconfederation.org/wp-admin/post.php?post=23001&amp;action=edit" TargetMode="External"/><Relationship Id="rId658" Type="http://schemas.openxmlformats.org/officeDocument/2006/relationships/hyperlink" Target="https://africanmarketingconfederation.org/wp-admin/post.php?post=6553&amp;action=edit" TargetMode="External"/><Relationship Id="rId865" Type="http://schemas.openxmlformats.org/officeDocument/2006/relationships/hyperlink" Target="https://africanmarketingconfederation.org/wp-admin/post.php?post=21984&amp;action=edit" TargetMode="External"/><Relationship Id="rId1050" Type="http://schemas.openxmlformats.org/officeDocument/2006/relationships/hyperlink" Target="https://africanmarketingconfederation.org/amc-forum-payments/" TargetMode="External"/><Relationship Id="rId1288" Type="http://schemas.openxmlformats.org/officeDocument/2006/relationships/hyperlink" Target="https://africanmarketingconfederation.org/wp-admin/post.php?post=10823&amp;action=edit" TargetMode="External"/><Relationship Id="rId297" Type="http://schemas.openxmlformats.org/officeDocument/2006/relationships/hyperlink" Target="https://africanmarketingconfederation.org/subscribe/" TargetMode="External"/><Relationship Id="rId518" Type="http://schemas.openxmlformats.org/officeDocument/2006/relationships/hyperlink" Target="https://africanmarketingconfederation.org/wp-admin/post.php?post=5619&amp;action=edit" TargetMode="External"/><Relationship Id="rId725" Type="http://schemas.openxmlformats.org/officeDocument/2006/relationships/hyperlink" Target="https://africanmarketingconfederation.org/education/" TargetMode="External"/><Relationship Id="rId932" Type="http://schemas.openxmlformats.org/officeDocument/2006/relationships/hyperlink" Target="https://africanmarketingconfederation.org/wp-admin/post.php?post=16548&amp;action=edit" TargetMode="External"/><Relationship Id="rId1148" Type="http://schemas.openxmlformats.org/officeDocument/2006/relationships/hyperlink" Target="https://africanmarketingconfederation.org/wp-admin/post.php?post=3&amp;action=edit" TargetMode="External"/><Relationship Id="rId1355" Type="http://schemas.openxmlformats.org/officeDocument/2006/relationships/hyperlink" Target="https://africanmarketingconfederation.org/african-marketing-confederation-tourism-chapter/" TargetMode="External"/><Relationship Id="rId157" Type="http://schemas.openxmlformats.org/officeDocument/2006/relationships/hyperlink" Target="https://africanmarketingconfederation.org/sub-committees/" TargetMode="External"/><Relationship Id="rId364" Type="http://schemas.openxmlformats.org/officeDocument/2006/relationships/hyperlink" Target="https://africanmarketingconfederation.org/wp-admin/post.php?post=12945&amp;action=edit" TargetMode="External"/><Relationship Id="rId1008" Type="http://schemas.openxmlformats.org/officeDocument/2006/relationships/hyperlink" Target="https://africanmarketingconfederation.org/wp-admin/post.php?post=12407&amp;action=edit" TargetMode="External"/><Relationship Id="rId1215" Type="http://schemas.openxmlformats.org/officeDocument/2006/relationships/hyperlink" Target="https://africanmarketingconfederation.org/amc-conference-2023/speakers/" TargetMode="External"/><Relationship Id="rId61" Type="http://schemas.openxmlformats.org/officeDocument/2006/relationships/hyperlink" Target="https://africanmarketingconfederation.org/amc-conference-sponsors/" TargetMode="External"/><Relationship Id="rId571" Type="http://schemas.openxmlformats.org/officeDocument/2006/relationships/hyperlink" Target="https://africanmarketingconfederation.org/amc-conference-2024-sponsors-packages/" TargetMode="External"/><Relationship Id="rId669" Type="http://schemas.openxmlformats.org/officeDocument/2006/relationships/hyperlink" Target="https://africanmarketingconfederation.org/amc-sponsors-2025/" TargetMode="External"/><Relationship Id="rId876" Type="http://schemas.openxmlformats.org/officeDocument/2006/relationships/hyperlink" Target="https://africanmarketingconfederation.org/amc-marketing-conference-2024/amc-programme-2025/" TargetMode="External"/><Relationship Id="rId1299" Type="http://schemas.openxmlformats.org/officeDocument/2006/relationships/hyperlink" Target="https://africanmarketingconfederation.org/download-brochure/" TargetMode="External"/><Relationship Id="rId19" Type="http://schemas.openxmlformats.org/officeDocument/2006/relationships/hyperlink" Target="https://africanmarketingconfederation.org/amc-conference-2022-prospectus/" TargetMode="External"/><Relationship Id="rId224" Type="http://schemas.openxmlformats.org/officeDocument/2006/relationships/hyperlink" Target="https://africanmarketingconfederation.org/amc-marketing-conference-2024/amc-conference-2025-ghana-sponsors/" TargetMode="External"/><Relationship Id="rId431" Type="http://schemas.openxmlformats.org/officeDocument/2006/relationships/hyperlink" Target="https://africanmarketingconfederation.org/certified-professional-marketer-africa/" TargetMode="External"/><Relationship Id="rId529" Type="http://schemas.openxmlformats.org/officeDocument/2006/relationships/hyperlink" Target="https://africanmarketingconfederation.org/amc-conference-2023/" TargetMode="External"/><Relationship Id="rId736" Type="http://schemas.openxmlformats.org/officeDocument/2006/relationships/hyperlink" Target="https://africanmarketingconfederation.org/wp-admin/post.php?post=31820&amp;action=edit" TargetMode="External"/><Relationship Id="rId1061" Type="http://schemas.openxmlformats.org/officeDocument/2006/relationships/hyperlink" Target="https://africanmarketingconfederation.org/wp-admin/post.php?post=25788&amp;action=edit" TargetMode="External"/><Relationship Id="rId1159" Type="http://schemas.openxmlformats.org/officeDocument/2006/relationships/hyperlink" Target="https://africanmarketingconfederation.org/speakers/" TargetMode="External"/><Relationship Id="rId1366" Type="http://schemas.openxmlformats.org/officeDocument/2006/relationships/hyperlink" Target="https://africanmarketingconfederation.org/wp-admin/post.php?post=33280&amp;action=edit" TargetMode="External"/><Relationship Id="rId168" Type="http://schemas.openxmlformats.org/officeDocument/2006/relationships/hyperlink" Target="https://africanmarketingconfederation.org/wp-admin/post.php?post=17195&amp;action=edit" TargetMode="External"/><Relationship Id="rId943" Type="http://schemas.openxmlformats.org/officeDocument/2006/relationships/hyperlink" Target="https://africanmarketingconfederation.org/news-articles/" TargetMode="External"/><Relationship Id="rId1019" Type="http://schemas.openxmlformats.org/officeDocument/2006/relationships/hyperlink" Target="https://africanmarketingconfederation.org/amc-conference-2024-recap/" TargetMode="External"/><Relationship Id="rId72" Type="http://schemas.openxmlformats.org/officeDocument/2006/relationships/hyperlink" Target="https://africanmarketingconfederation.org/amc-marketing-conference-2024/amc-conference-2025-ghana-sponsors/" TargetMode="External"/><Relationship Id="rId375" Type="http://schemas.openxmlformats.org/officeDocument/2006/relationships/hyperlink" Target="https://africanmarketingconfederation.org/amc-conference-2026-awards-nominations-thank-you/" TargetMode="External"/><Relationship Id="rId582" Type="http://schemas.openxmlformats.org/officeDocument/2006/relationships/hyperlink" Target="https://africanmarketingconfederation.org/wp-admin/post.php?post=33280&amp;action=edit" TargetMode="External"/><Relationship Id="rId803" Type="http://schemas.openxmlformats.org/officeDocument/2006/relationships/hyperlink" Target="https://africanmarketingconfederation.org/upcoming-events/" TargetMode="External"/><Relationship Id="rId1226" Type="http://schemas.openxmlformats.org/officeDocument/2006/relationships/hyperlink" Target="https://africanmarketingconfederation.org/wp-admin/post.php?post=33280&amp;action=edit" TargetMode="External"/><Relationship Id="rId3" Type="http://schemas.openxmlformats.org/officeDocument/2006/relationships/hyperlink" Target="https://africanmarketingconfederation.org/amc-conference-2023/amc-awards-book-now/" TargetMode="External"/><Relationship Id="rId235" Type="http://schemas.openxmlformats.org/officeDocument/2006/relationships/hyperlink" Target="https://africanmarketingconfederation.org/amc-masterclass-bookings/" TargetMode="External"/><Relationship Id="rId442" Type="http://schemas.openxmlformats.org/officeDocument/2006/relationships/hyperlink" Target="https://africanmarketingconfederation.org/wp-admin/post.php?post=17908&amp;action=edit" TargetMode="External"/><Relationship Id="rId887" Type="http://schemas.openxmlformats.org/officeDocument/2006/relationships/hyperlink" Target="https://africanmarketingconfederation.org/amc-masterclass-bookings/" TargetMode="External"/><Relationship Id="rId1072" Type="http://schemas.openxmlformats.org/officeDocument/2006/relationships/hyperlink" Target="https://africanmarketingconfederation.org/amc-marketing-conference-2024/awards-2025/" TargetMode="External"/><Relationship Id="rId302" Type="http://schemas.openxmlformats.org/officeDocument/2006/relationships/hyperlink" Target="https://africanmarketingconfederation.org/wp-admin/post.php?post=5490&amp;action=edit" TargetMode="External"/><Relationship Id="rId747" Type="http://schemas.openxmlformats.org/officeDocument/2006/relationships/hyperlink" Target="https://africanmarketingconfederation.org/news-articles/" TargetMode="External"/><Relationship Id="rId954" Type="http://schemas.openxmlformats.org/officeDocument/2006/relationships/hyperlink" Target="https://africanmarketingconfederation.org/wp-admin/post.php?post=3252&amp;action=edit" TargetMode="External"/><Relationship Id="rId1377" Type="http://schemas.openxmlformats.org/officeDocument/2006/relationships/hyperlink" Target="https://africanmarketingconfederation.org/amc-masterclass-thank-you/" TargetMode="External"/><Relationship Id="rId83" Type="http://schemas.openxmlformats.org/officeDocument/2006/relationships/hyperlink" Target="https://africanmarketingconfederation.org/wp-admin/post.php?post=29496&amp;action=edit" TargetMode="External"/><Relationship Id="rId179" Type="http://schemas.openxmlformats.org/officeDocument/2006/relationships/hyperlink" Target="https://africanmarketingconfederation.org/" TargetMode="External"/><Relationship Id="rId386" Type="http://schemas.openxmlformats.org/officeDocument/2006/relationships/hyperlink" Target="https://africanmarketingconfederation.org/amc-forum-mombasa/" TargetMode="External"/><Relationship Id="rId593" Type="http://schemas.openxmlformats.org/officeDocument/2006/relationships/hyperlink" Target="https://africanmarketingconfederation.org/amc-conference-programme/" TargetMode="External"/><Relationship Id="rId607" Type="http://schemas.openxmlformats.org/officeDocument/2006/relationships/hyperlink" Target="https://africanmarketingconfederation.org/wp-admin/post.php?post=21984&amp;action=edit" TargetMode="External"/><Relationship Id="rId814" Type="http://schemas.openxmlformats.org/officeDocument/2006/relationships/hyperlink" Target="https://africanmarketingconfederation.org/wp-admin/post.php?post=28165&amp;action=edit" TargetMode="External"/><Relationship Id="rId1237" Type="http://schemas.openxmlformats.org/officeDocument/2006/relationships/hyperlink" Target="https://africanmarketingconfederation.org/wp-admin/post.php?post=21958&amp;action=edit" TargetMode="External"/><Relationship Id="rId246" Type="http://schemas.openxmlformats.org/officeDocument/2006/relationships/hyperlink" Target="https://africanmarketingconfederation.org/wp-admin/post.php?post=4492&amp;action=edit" TargetMode="External"/><Relationship Id="rId453" Type="http://schemas.openxmlformats.org/officeDocument/2006/relationships/hyperlink" Target="https://africanmarketingconfederation.org/education/" TargetMode="External"/><Relationship Id="rId660" Type="http://schemas.openxmlformats.org/officeDocument/2006/relationships/hyperlink" Target="https://africanmarketingconfederation.org/wp-admin/post.php?post=4492&amp;action=edit" TargetMode="External"/><Relationship Id="rId898" Type="http://schemas.openxmlformats.org/officeDocument/2006/relationships/hyperlink" Target="https://africanmarketingconfederation.org/wp-admin/post.php?post=21952&amp;action=edit" TargetMode="External"/><Relationship Id="rId1083" Type="http://schemas.openxmlformats.org/officeDocument/2006/relationships/hyperlink" Target="https://africanmarketingconfederation.org/amc-masterclass-thank-you/" TargetMode="External"/><Relationship Id="rId1290" Type="http://schemas.openxmlformats.org/officeDocument/2006/relationships/hyperlink" Target="https://africanmarketingconfederation.org/wp-admin/post.php?post=9075&amp;action=edit" TargetMode="External"/><Relationship Id="rId1304" Type="http://schemas.openxmlformats.org/officeDocument/2006/relationships/hyperlink" Target="https://africanmarketingconfederation.org/wp-admin/post.php?post=88&amp;action=edit" TargetMode="External"/><Relationship Id="rId106" Type="http://schemas.openxmlformats.org/officeDocument/2006/relationships/hyperlink" Target="https://africanmarketingconfederation.org/wp-admin/post.php?post=34552&amp;action=edit" TargetMode="External"/><Relationship Id="rId313" Type="http://schemas.openxmlformats.org/officeDocument/2006/relationships/hyperlink" Target="https://africanmarketingconfederation.org/thank-you-for-registering-2024-registrations/" TargetMode="External"/><Relationship Id="rId758" Type="http://schemas.openxmlformats.org/officeDocument/2006/relationships/hyperlink" Target="https://africanmarketingconfederation.org/wp-admin/post.php?post=3686&amp;action=edit" TargetMode="External"/><Relationship Id="rId965" Type="http://schemas.openxmlformats.org/officeDocument/2006/relationships/hyperlink" Target="https://africanmarketingconfederation.org/thank-you-for-registering-2024-registrations/" TargetMode="External"/><Relationship Id="rId1150" Type="http://schemas.openxmlformats.org/officeDocument/2006/relationships/hyperlink" Target="https://africanmarketingconfederation.org/wp-admin/post.php?post=3&amp;action=edit" TargetMode="External"/><Relationship Id="rId1388" Type="http://schemas.openxmlformats.org/officeDocument/2006/relationships/hyperlink" Target="https://africanmarketingconfederation.org/wp-admin/post.php?post=9075&amp;action=edit" TargetMode="External"/><Relationship Id="rId10" Type="http://schemas.openxmlformats.org/officeDocument/2006/relationships/hyperlink" Target="https://africanmarketingconfederation.org/wp-admin/post.php?post=20341&amp;action=edit" TargetMode="External"/><Relationship Id="rId94" Type="http://schemas.openxmlformats.org/officeDocument/2006/relationships/hyperlink" Target="https://africanmarketingconfederation.org/wp-admin/post.php?post=6553&amp;action=edit" TargetMode="External"/><Relationship Id="rId397" Type="http://schemas.openxmlformats.org/officeDocument/2006/relationships/hyperlink" Target="https://africanmarketingconfederation.org/wp-admin/post.php?post=25788&amp;action=edit" TargetMode="External"/><Relationship Id="rId520" Type="http://schemas.openxmlformats.org/officeDocument/2006/relationships/hyperlink" Target="https://africanmarketingconfederation.org/wp-admin/post.php?post=5619&amp;action=edit" TargetMode="External"/><Relationship Id="rId618" Type="http://schemas.openxmlformats.org/officeDocument/2006/relationships/hyperlink" Target="https://africanmarketingconfederation.org/amc-marketing-conference-2024/amc-conference-2025-ghana-sponsors/" TargetMode="External"/><Relationship Id="rId825" Type="http://schemas.openxmlformats.org/officeDocument/2006/relationships/hyperlink" Target="https://africanmarketingconfederation.org/amc-conference-2023/amc-awards-book-now/" TargetMode="External"/><Relationship Id="rId1248" Type="http://schemas.openxmlformats.org/officeDocument/2006/relationships/hyperlink" Target="https://africanmarketingconfederation.org/amc-marketing-conference-2024/amc-preregister-2025/" TargetMode="External"/><Relationship Id="rId257" Type="http://schemas.openxmlformats.org/officeDocument/2006/relationships/hyperlink" Target="https://africanmarketingconfederation.org/checkout/" TargetMode="External"/><Relationship Id="rId464" Type="http://schemas.openxmlformats.org/officeDocument/2006/relationships/hyperlink" Target="https://africanmarketingconfederation.org/wp-admin/post.php?post=33050&amp;action=edit" TargetMode="External"/><Relationship Id="rId1010" Type="http://schemas.openxmlformats.org/officeDocument/2006/relationships/hyperlink" Target="https://africanmarketingconfederation.org/wp-admin/post.php?post=13098&amp;action=edit" TargetMode="External"/><Relationship Id="rId1094" Type="http://schemas.openxmlformats.org/officeDocument/2006/relationships/hyperlink" Target="https://africanmarketingconfederation.org/wp-admin/post.php?post=22679&amp;action=edit" TargetMode="External"/><Relationship Id="rId1108" Type="http://schemas.openxmlformats.org/officeDocument/2006/relationships/hyperlink" Target="https://africanmarketingconfederation.org/wp-admin/post.php?post=28742&amp;action=edit" TargetMode="External"/><Relationship Id="rId1315" Type="http://schemas.openxmlformats.org/officeDocument/2006/relationships/hyperlink" Target="https://africanmarketingconfederation.org/members/" TargetMode="External"/><Relationship Id="rId117" Type="http://schemas.openxmlformats.org/officeDocument/2006/relationships/hyperlink" Target="https://africanmarketingconfederation.org/chartered-marketer-africa/" TargetMode="External"/><Relationship Id="rId671" Type="http://schemas.openxmlformats.org/officeDocument/2006/relationships/hyperlink" Target="https://africanmarketingconfederation.org/amc-testimony-page-2024/" TargetMode="External"/><Relationship Id="rId769" Type="http://schemas.openxmlformats.org/officeDocument/2006/relationships/hyperlink" Target="https://africanmarketingconfederation.org/subscribe/" TargetMode="External"/><Relationship Id="rId976" Type="http://schemas.openxmlformats.org/officeDocument/2006/relationships/hyperlink" Target="https://africanmarketingconfederation.org/wp-admin/post.php?post=5290&amp;action=edit" TargetMode="External"/><Relationship Id="rId1399" Type="http://schemas.openxmlformats.org/officeDocument/2006/relationships/hyperlink" Target="https://africanmarketingconfederation.org/speakers-2025/" TargetMode="External"/><Relationship Id="rId324" Type="http://schemas.openxmlformats.org/officeDocument/2006/relationships/hyperlink" Target="https://africanmarketingconfederation.org/wp-admin/post.php?post=17196&amp;action=edit" TargetMode="External"/><Relationship Id="rId531" Type="http://schemas.openxmlformats.org/officeDocument/2006/relationships/hyperlink" Target="https://africanmarketingconfederation.org/amc-conference-2023/" TargetMode="External"/><Relationship Id="rId629" Type="http://schemas.openxmlformats.org/officeDocument/2006/relationships/hyperlink" Target="https://africanmarketingconfederation.org/wp-admin/post.php?post=26290&amp;action=edit" TargetMode="External"/><Relationship Id="rId1161" Type="http://schemas.openxmlformats.org/officeDocument/2006/relationships/hyperlink" Target="https://africanmarketingconfederation.org/sub-committees/" TargetMode="External"/><Relationship Id="rId1259" Type="http://schemas.openxmlformats.org/officeDocument/2006/relationships/hyperlink" Target="https://africanmarketingconfederation.org/amc-marketing-conference-2024/testimony-thank-you-page/" TargetMode="External"/><Relationship Id="rId836" Type="http://schemas.openxmlformats.org/officeDocument/2006/relationships/hyperlink" Target="https://africanmarketingconfederation.org/wp-admin/post.php?post=13549&amp;action=edit" TargetMode="External"/><Relationship Id="rId1021" Type="http://schemas.openxmlformats.org/officeDocument/2006/relationships/hyperlink" Target="https://africanmarketingconfederation.org/amc-conference-2024-recap/" TargetMode="External"/><Relationship Id="rId1119" Type="http://schemas.openxmlformats.org/officeDocument/2006/relationships/hyperlink" Target="https://africanmarketingconfederation.org/conference-faq-2025/" TargetMode="External"/><Relationship Id="rId903" Type="http://schemas.openxmlformats.org/officeDocument/2006/relationships/hyperlink" Target="https://africanmarketingconfederation.org/awards-2026-test/" TargetMode="External"/><Relationship Id="rId1326" Type="http://schemas.openxmlformats.org/officeDocument/2006/relationships/hyperlink" Target="https://africanmarketingconfederation.org/wp-admin/post.php?post=21962&amp;action=edit" TargetMode="External"/><Relationship Id="rId32" Type="http://schemas.openxmlformats.org/officeDocument/2006/relationships/hyperlink" Target="https://africanmarketingconfederation.org/wp-admin/post.php?post=12497&amp;action=edit" TargetMode="External"/><Relationship Id="rId181" Type="http://schemas.openxmlformats.org/officeDocument/2006/relationships/hyperlink" Target="https://africanmarketingconfederation.org/about-us/" TargetMode="External"/><Relationship Id="rId279" Type="http://schemas.openxmlformats.org/officeDocument/2006/relationships/hyperlink" Target="https://africanmarketingconfederation.org/general-enquiry-form-thank-you/" TargetMode="External"/><Relationship Id="rId486" Type="http://schemas.openxmlformats.org/officeDocument/2006/relationships/hyperlink" Target="https://africanmarketingconfederation.org/wp-admin/post.php?post=27352&amp;action=edit" TargetMode="External"/><Relationship Id="rId693" Type="http://schemas.openxmlformats.org/officeDocument/2006/relationships/hyperlink" Target="https://africanmarketingconfederation.org/chartered-marketer-africa-programme-fee/" TargetMode="External"/><Relationship Id="rId139" Type="http://schemas.openxmlformats.org/officeDocument/2006/relationships/hyperlink" Target="https://africanmarketingconfederation.org/general-enquiry-form-thank-you/" TargetMode="External"/><Relationship Id="rId346" Type="http://schemas.openxmlformats.org/officeDocument/2006/relationships/hyperlink" Target="https://africanmarketingconfederation.org/wp-admin/post.php?post=4494&amp;action=edit" TargetMode="External"/><Relationship Id="rId553" Type="http://schemas.openxmlformats.org/officeDocument/2006/relationships/hyperlink" Target="https://africanmarketingconfederation.org/amc-conference-2023/gallery/" TargetMode="External"/><Relationship Id="rId760" Type="http://schemas.openxmlformats.org/officeDocument/2006/relationships/hyperlink" Target="https://africanmarketingconfederation.org/wp-admin/post.php?post=21962&amp;action=edit" TargetMode="External"/><Relationship Id="rId998" Type="http://schemas.openxmlformats.org/officeDocument/2006/relationships/hyperlink" Target="https://africanmarketingconfederation.org/wp-admin/post.php?post=12371&amp;action=edit" TargetMode="External"/><Relationship Id="rId1183" Type="http://schemas.openxmlformats.org/officeDocument/2006/relationships/hyperlink" Target="https://africanmarketingconfederation.org/" TargetMode="External"/><Relationship Id="rId1390" Type="http://schemas.openxmlformats.org/officeDocument/2006/relationships/hyperlink" Target="https://africanmarketingconfederation.org/wp-admin/post.php?post=17908&amp;action=edit" TargetMode="External"/><Relationship Id="rId206" Type="http://schemas.openxmlformats.org/officeDocument/2006/relationships/hyperlink" Target="https://africanmarketingconfederation.org/wp-admin/post.php?post=13549&amp;action=edit" TargetMode="External"/><Relationship Id="rId413" Type="http://schemas.openxmlformats.org/officeDocument/2006/relationships/hyperlink" Target="https://africanmarketingconfederation.org/amc-masterclass-thank-you/" TargetMode="External"/><Relationship Id="rId858" Type="http://schemas.openxmlformats.org/officeDocument/2006/relationships/hyperlink" Target="https://africanmarketingconfederation.org/wp-admin/post.php?post=5057&amp;action=edit" TargetMode="External"/><Relationship Id="rId1043" Type="http://schemas.openxmlformats.org/officeDocument/2006/relationships/hyperlink" Target="https://africanmarketingconfederation.org/amc-conference-programme/" TargetMode="External"/><Relationship Id="rId620" Type="http://schemas.openxmlformats.org/officeDocument/2006/relationships/hyperlink" Target="https://africanmarketingconfederation.org/amc-marketing-conference-2024/amc-conference-2025-ghana-sponsors/" TargetMode="External"/><Relationship Id="rId718" Type="http://schemas.openxmlformats.org/officeDocument/2006/relationships/hyperlink" Target="https://africanmarketingconfederation.org/wp-admin/post.php?post=18478&amp;action=edit" TargetMode="External"/><Relationship Id="rId925" Type="http://schemas.openxmlformats.org/officeDocument/2006/relationships/hyperlink" Target="https://africanmarketingconfederation.org/download-brochure/" TargetMode="External"/><Relationship Id="rId1250" Type="http://schemas.openxmlformats.org/officeDocument/2006/relationships/hyperlink" Target="https://africanmarketingconfederation.org/amc-marketing-conference-2024/amc-programme-2025/" TargetMode="External"/><Relationship Id="rId1348" Type="http://schemas.openxmlformats.org/officeDocument/2006/relationships/hyperlink" Target="https://africanmarketingconfederation.org/wp-admin/post.php?post=4909&amp;action=edit" TargetMode="External"/><Relationship Id="rId1110" Type="http://schemas.openxmlformats.org/officeDocument/2006/relationships/hyperlink" Target="https://africanmarketingconfederation.org/wp-admin/post.php?post=20001&amp;action=edit" TargetMode="External"/><Relationship Id="rId1208" Type="http://schemas.openxmlformats.org/officeDocument/2006/relationships/hyperlink" Target="https://africanmarketingconfederation.org/wp-admin/post.php?post=13098&amp;action=edit" TargetMode="External"/><Relationship Id="rId54" Type="http://schemas.openxmlformats.org/officeDocument/2006/relationships/hyperlink" Target="https://africanmarketingconfederation.org/wp-admin/post.php?post=33280&amp;action=edit" TargetMode="External"/><Relationship Id="rId270" Type="http://schemas.openxmlformats.org/officeDocument/2006/relationships/hyperlink" Target="https://africanmarketingconfederation.org/wp-admin/post.php?post=88&amp;action=edit" TargetMode="External"/><Relationship Id="rId130" Type="http://schemas.openxmlformats.org/officeDocument/2006/relationships/hyperlink" Target="https://africanmarketingconfederation.org/wp-admin/post.php?post=19172&amp;action=edit" TargetMode="External"/><Relationship Id="rId368" Type="http://schemas.openxmlformats.org/officeDocument/2006/relationships/hyperlink" Target="https://africanmarketingconfederation.org/wp-admin/post.php?post=22401&amp;action=edit" TargetMode="External"/><Relationship Id="rId575" Type="http://schemas.openxmlformats.org/officeDocument/2006/relationships/hyperlink" Target="https://africanmarketingconfederation.org/amc-conference-2025-highlights/" TargetMode="External"/><Relationship Id="rId782" Type="http://schemas.openxmlformats.org/officeDocument/2006/relationships/hyperlink" Target="https://africanmarketingconfederation.org/wp-admin/post.php?post=21591&amp;action=edit" TargetMode="External"/><Relationship Id="rId228" Type="http://schemas.openxmlformats.org/officeDocument/2006/relationships/hyperlink" Target="https://africanmarketingconfederation.org/amc-marketing-conference-2024/amc-speakers-presentations-2024/" TargetMode="External"/><Relationship Id="rId435" Type="http://schemas.openxmlformats.org/officeDocument/2006/relationships/hyperlink" Target="https://africanmarketingconfederation.org/chartered-marketer-africa-programme-fee/" TargetMode="External"/><Relationship Id="rId642" Type="http://schemas.openxmlformats.org/officeDocument/2006/relationships/hyperlink" Target="https://africanmarketingconfederation.org/amc-marketing-conference-2024/programme-2024/" TargetMode="External"/><Relationship Id="rId1065" Type="http://schemas.openxmlformats.org/officeDocument/2006/relationships/hyperlink" Target="https://africanmarketingconfederation.org/wp-admin/post.php?post=24882&amp;action=edit" TargetMode="External"/><Relationship Id="rId1272" Type="http://schemas.openxmlformats.org/officeDocument/2006/relationships/hyperlink" Target="https://africanmarketingconfederation.org/wp-admin/post.php?post=21952&amp;action=edit" TargetMode="External"/><Relationship Id="rId502" Type="http://schemas.openxmlformats.org/officeDocument/2006/relationships/hyperlink" Target="https://africanmarketingconfederation.org/amc-marketing-conference-2024/speakers-2024/" TargetMode="External"/><Relationship Id="rId947" Type="http://schemas.openxmlformats.org/officeDocument/2006/relationships/hyperlink" Target="https://africanmarketingconfederation.org/publication-download-list/" TargetMode="External"/><Relationship Id="rId1132" Type="http://schemas.openxmlformats.org/officeDocument/2006/relationships/hyperlink" Target="https://africanmarketingconfederation.org/wp-admin/post.php?post=88&amp;action=edit" TargetMode="External"/><Relationship Id="rId76" Type="http://schemas.openxmlformats.org/officeDocument/2006/relationships/hyperlink" Target="https://africanmarketingconfederation.org/amc-marketing-conference-2024/amc-preregister-2025/" TargetMode="External"/><Relationship Id="rId807" Type="http://schemas.openxmlformats.org/officeDocument/2006/relationships/hyperlink" Target="https://africanmarketingconfederation.org/virtual-programme/" TargetMode="External"/><Relationship Id="rId292" Type="http://schemas.openxmlformats.org/officeDocument/2006/relationships/hyperlink" Target="https://africanmarketingconfederation.org/wp-admin/post.php?post=3686&amp;action=edit" TargetMode="External"/><Relationship Id="rId597" Type="http://schemas.openxmlformats.org/officeDocument/2006/relationships/hyperlink" Target="https://africanmarketingconfederation.org/amc-conference-sponsors/" TargetMode="External"/><Relationship Id="rId152" Type="http://schemas.openxmlformats.org/officeDocument/2006/relationships/hyperlink" Target="https://africanmarketingconfederation.org/wp-admin/post.php?post=3686&amp;action=edit" TargetMode="External"/><Relationship Id="rId457" Type="http://schemas.openxmlformats.org/officeDocument/2006/relationships/hyperlink" Target="https://africanmarketingconfederation.org/elementor-20341/" TargetMode="External"/><Relationship Id="rId1087" Type="http://schemas.openxmlformats.org/officeDocument/2006/relationships/hyperlink" Target="https://africanmarketingconfederation.org/amc-relaunch-programme/" TargetMode="External"/><Relationship Id="rId1294" Type="http://schemas.openxmlformats.org/officeDocument/2006/relationships/hyperlink" Target="https://africanmarketingconfederation.org/wp-admin/post.php?post=24640&amp;action=edit" TargetMode="External"/><Relationship Id="rId664" Type="http://schemas.openxmlformats.org/officeDocument/2006/relationships/hyperlink" Target="https://africanmarketingconfederation.org/wp-admin/post.php?post=23001&amp;action=edit" TargetMode="External"/><Relationship Id="rId871" Type="http://schemas.openxmlformats.org/officeDocument/2006/relationships/hyperlink" Target="https://africanmarketingconfederation.org/wp-admin/post.php?post=25857&amp;action=edit" TargetMode="External"/><Relationship Id="rId969" Type="http://schemas.openxmlformats.org/officeDocument/2006/relationships/hyperlink" Target="https://africanmarketingconfederation.org/thank-you-for-the-nomination-2024/" TargetMode="External"/><Relationship Id="rId317" Type="http://schemas.openxmlformats.org/officeDocument/2006/relationships/hyperlink" Target="https://africanmarketingconfederation.org/thank-you-for-subscribing/" TargetMode="External"/><Relationship Id="rId524" Type="http://schemas.openxmlformats.org/officeDocument/2006/relationships/hyperlink" Target="https://africanmarketingconfederation.org/wp-admin/post.php?post=4941&amp;action=edit" TargetMode="External"/><Relationship Id="rId731" Type="http://schemas.openxmlformats.org/officeDocument/2006/relationships/hyperlink" Target="https://africanmarketingconfederation.org/elementor-20341/" TargetMode="External"/><Relationship Id="rId1154" Type="http://schemas.openxmlformats.org/officeDocument/2006/relationships/hyperlink" Target="https://africanmarketingconfederation.org/wp-admin/post.php?post=3686&amp;action=edit" TargetMode="External"/><Relationship Id="rId1361" Type="http://schemas.openxmlformats.org/officeDocument/2006/relationships/hyperlink" Target="https://africanmarketingconfederation.org/amc-conference-2025-highlights/" TargetMode="External"/><Relationship Id="rId98" Type="http://schemas.openxmlformats.org/officeDocument/2006/relationships/hyperlink" Target="https://africanmarketingconfederation.org/wp-admin/post.php?post=23001&amp;action=edit" TargetMode="External"/><Relationship Id="rId829" Type="http://schemas.openxmlformats.org/officeDocument/2006/relationships/hyperlink" Target="https://africanmarketingconfederation.org/amc-conference-2023/book-now-thank-you/" TargetMode="External"/><Relationship Id="rId1014" Type="http://schemas.openxmlformats.org/officeDocument/2006/relationships/hyperlink" Target="https://africanmarketingconfederation.org/wp-admin/post.php?post=13282&amp;action=edit" TargetMode="External"/><Relationship Id="rId1221" Type="http://schemas.openxmlformats.org/officeDocument/2006/relationships/hyperlink" Target="https://africanmarketingconfederation.org/amc-conference-2025-highlights/" TargetMode="External"/><Relationship Id="rId1319" Type="http://schemas.openxmlformats.org/officeDocument/2006/relationships/hyperlink" Target="https://africanmarketingconfederation.org/privacy-policy/" TargetMode="External"/><Relationship Id="rId25" Type="http://schemas.openxmlformats.org/officeDocument/2006/relationships/hyperlink" Target="https://africanmarketingconfederation.org/amc-conference-2023/" TargetMode="External"/><Relationship Id="rId174" Type="http://schemas.openxmlformats.org/officeDocument/2006/relationships/hyperlink" Target="https://africanmarketingconfederation.org/wp-admin/post.php?post=17196&amp;action=edit" TargetMode="External"/><Relationship Id="rId381" Type="http://schemas.openxmlformats.org/officeDocument/2006/relationships/hyperlink" Target="https://africanmarketingconfederation.org/amc-conference-programme/" TargetMode="External"/><Relationship Id="rId241" Type="http://schemas.openxmlformats.org/officeDocument/2006/relationships/hyperlink" Target="https://africanmarketingconfederation.org/amc-masterclass/" TargetMode="External"/><Relationship Id="rId479" Type="http://schemas.openxmlformats.org/officeDocument/2006/relationships/hyperlink" Target="https://africanmarketingconfederation.org/sub-committees/" TargetMode="External"/><Relationship Id="rId686" Type="http://schemas.openxmlformats.org/officeDocument/2006/relationships/hyperlink" Target="https://africanmarketingconfederation.org/wp-admin/post.php?post=28742&amp;action=edit" TargetMode="External"/><Relationship Id="rId893" Type="http://schemas.openxmlformats.org/officeDocument/2006/relationships/hyperlink" Target="https://africanmarketingconfederation.org/amc-relaunch-programme/" TargetMode="External"/><Relationship Id="rId339" Type="http://schemas.openxmlformats.org/officeDocument/2006/relationships/hyperlink" Target="https://africanmarketingconfederation.org/amc-awards-2024/" TargetMode="External"/><Relationship Id="rId546" Type="http://schemas.openxmlformats.org/officeDocument/2006/relationships/hyperlink" Target="https://africanmarketingconfederation.org/wp-admin/post.php?post=12407&amp;action=edit" TargetMode="External"/><Relationship Id="rId753" Type="http://schemas.openxmlformats.org/officeDocument/2006/relationships/hyperlink" Target="https://africanmarketingconfederation.org/publication-download-list/" TargetMode="External"/><Relationship Id="rId1176" Type="http://schemas.openxmlformats.org/officeDocument/2006/relationships/hyperlink" Target="https://africanmarketingconfederation.org/wp-admin/post.php?post=17000&amp;action=edit" TargetMode="External"/><Relationship Id="rId1383" Type="http://schemas.openxmlformats.org/officeDocument/2006/relationships/hyperlink" Target="https://africanmarketingconfederation.org/chartered-marketer-africa-programme-fee/" TargetMode="External"/><Relationship Id="rId101" Type="http://schemas.openxmlformats.org/officeDocument/2006/relationships/hyperlink" Target="https://africanmarketingconfederation.org/amc-testimony-page-2024/" TargetMode="External"/><Relationship Id="rId406" Type="http://schemas.openxmlformats.org/officeDocument/2006/relationships/hyperlink" Target="https://africanmarketingconfederation.org/amc-marketing-conference-2024/programme-2024/" TargetMode="External"/><Relationship Id="rId960" Type="http://schemas.openxmlformats.org/officeDocument/2006/relationships/hyperlink" Target="https://africanmarketingconfederation.org/wp-admin/post.php?post=5490&amp;action=edit" TargetMode="External"/><Relationship Id="rId1036" Type="http://schemas.openxmlformats.org/officeDocument/2006/relationships/hyperlink" Target="https://africanmarketingconfederation.org/wp-admin/post.php?post=33280&amp;action=edit" TargetMode="External"/><Relationship Id="rId1243" Type="http://schemas.openxmlformats.org/officeDocument/2006/relationships/hyperlink" Target="https://africanmarketingconfederation.org/wp-admin/post.php?post=21958&amp;action=edit" TargetMode="External"/><Relationship Id="rId613" Type="http://schemas.openxmlformats.org/officeDocument/2006/relationships/hyperlink" Target="https://africanmarketingconfederation.org/wp-admin/post.php?post=33131&amp;action=edit" TargetMode="External"/><Relationship Id="rId820" Type="http://schemas.openxmlformats.org/officeDocument/2006/relationships/hyperlink" Target="https://africanmarketingconfederation.org/wp-admin/post.php?post=4941&amp;action=edit" TargetMode="External"/><Relationship Id="rId918" Type="http://schemas.openxmlformats.org/officeDocument/2006/relationships/hyperlink" Target="https://africanmarketingconfederation.org/wp-admin/post.php?post=17908&amp;action=edit" TargetMode="External"/><Relationship Id="rId1103" Type="http://schemas.openxmlformats.org/officeDocument/2006/relationships/hyperlink" Target="https://africanmarketingconfederation.org/awards-2026/" TargetMode="External"/><Relationship Id="rId1310" Type="http://schemas.openxmlformats.org/officeDocument/2006/relationships/hyperlink" Target="https://africanmarketingconfederation.org/wp-admin/post.php?post=31820&amp;action=edit" TargetMode="External"/><Relationship Id="rId1408" Type="http://schemas.openxmlformats.org/officeDocument/2006/relationships/hyperlink" Target="https://africanmarketingconfederation.org/wp-admin/post.php?post=17196&amp;action=edit" TargetMode="External"/><Relationship Id="rId47" Type="http://schemas.openxmlformats.org/officeDocument/2006/relationships/hyperlink" Target="https://africanmarketingconfederation.org/amc-conference-2024-sponsors-packages/" TargetMode="External"/><Relationship Id="rId196" Type="http://schemas.openxmlformats.org/officeDocument/2006/relationships/hyperlink" Target="https://africanmarketingconfederation.org/wp-admin/post.php?post=13164&amp;action=edit" TargetMode="External"/><Relationship Id="rId263" Type="http://schemas.openxmlformats.org/officeDocument/2006/relationships/hyperlink" Target="https://africanmarketingconfederation.org/download-brochure/" TargetMode="External"/><Relationship Id="rId470" Type="http://schemas.openxmlformats.org/officeDocument/2006/relationships/hyperlink" Target="https://africanmarketingconfederation.org/wp-admin/post.php?post=3&amp;action=edit" TargetMode="External"/><Relationship Id="rId123" Type="http://schemas.openxmlformats.org/officeDocument/2006/relationships/hyperlink" Target="https://africanmarketingconfederation.org/conference-registrations-2024/" TargetMode="External"/><Relationship Id="rId330" Type="http://schemas.openxmlformats.org/officeDocument/2006/relationships/hyperlink" Target="https://africanmarketingconfederation.org/wp-admin/post.php?post=4909&amp;action=edit" TargetMode="External"/><Relationship Id="rId568" Type="http://schemas.openxmlformats.org/officeDocument/2006/relationships/hyperlink" Target="https://africanmarketingconfederation.org/wp-admin/post.php?post=22401&amp;action=edit" TargetMode="External"/><Relationship Id="rId775" Type="http://schemas.openxmlformats.org/officeDocument/2006/relationships/hyperlink" Target="https://africanmarketingconfederation.org/test-homeslider/" TargetMode="External"/><Relationship Id="rId982" Type="http://schemas.openxmlformats.org/officeDocument/2006/relationships/hyperlink" Target="https://africanmarketingconfederation.org/wp-admin/post.php?post=84&amp;action=edit" TargetMode="External"/><Relationship Id="rId1198" Type="http://schemas.openxmlformats.org/officeDocument/2006/relationships/hyperlink" Target="https://africanmarketingconfederation.org/wp-admin/post.php?post=12371&amp;action=edit" TargetMode="External"/><Relationship Id="rId428" Type="http://schemas.openxmlformats.org/officeDocument/2006/relationships/hyperlink" Target="https://africanmarketingconfederation.org/wp-admin/post.php?post=34552&amp;action=edit" TargetMode="External"/><Relationship Id="rId635" Type="http://schemas.openxmlformats.org/officeDocument/2006/relationships/hyperlink" Target="https://africanmarketingconfederation.org/wp-admin/post.php?post=22595&amp;action=edit" TargetMode="External"/><Relationship Id="rId842" Type="http://schemas.openxmlformats.org/officeDocument/2006/relationships/hyperlink" Target="https://africanmarketingconfederation.org/wp-admin/post.php?post=13179&amp;action=edit" TargetMode="External"/><Relationship Id="rId1058" Type="http://schemas.openxmlformats.org/officeDocument/2006/relationships/hyperlink" Target="https://africanmarketingconfederation.org/amc-marketing-conference-2024/amc-conference-2025-ghana-sponsors/" TargetMode="External"/><Relationship Id="rId1265" Type="http://schemas.openxmlformats.org/officeDocument/2006/relationships/hyperlink" Target="https://africanmarketingconfederation.org/amc-masterclass/" TargetMode="External"/><Relationship Id="rId702" Type="http://schemas.openxmlformats.org/officeDocument/2006/relationships/hyperlink" Target="https://africanmarketingconfederation.org/wp-admin/post.php?post=17908&amp;action=edit" TargetMode="External"/><Relationship Id="rId1125" Type="http://schemas.openxmlformats.org/officeDocument/2006/relationships/hyperlink" Target="https://africanmarketingconfederation.org/contact-us/" TargetMode="External"/><Relationship Id="rId1332" Type="http://schemas.openxmlformats.org/officeDocument/2006/relationships/hyperlink" Target="https://africanmarketingconfederation.org/wp-admin/post.php?post=7781&amp;action=edit" TargetMode="External"/><Relationship Id="rId69" Type="http://schemas.openxmlformats.org/officeDocument/2006/relationships/hyperlink" Target="https://africanmarketingconfederation.org/wp-admin/post.php?post=33131&amp;action=edit" TargetMode="External"/><Relationship Id="rId285" Type="http://schemas.openxmlformats.org/officeDocument/2006/relationships/hyperlink" Target="https://africanmarketingconfederation.org/news-articles/" TargetMode="External"/><Relationship Id="rId492" Type="http://schemas.openxmlformats.org/officeDocument/2006/relationships/hyperlink" Target="https://africanmarketingconfederation.org/wp-admin/post.php?post=7916&amp;action=edit" TargetMode="External"/><Relationship Id="rId797" Type="http://schemas.openxmlformats.org/officeDocument/2006/relationships/hyperlink" Target="https://africanmarketingconfederation.org/thank-you-for-the-submission-2024/" TargetMode="External"/><Relationship Id="rId145" Type="http://schemas.openxmlformats.org/officeDocument/2006/relationships/hyperlink" Target="https://africanmarketingconfederation.org/news-articles/" TargetMode="External"/><Relationship Id="rId352" Type="http://schemas.openxmlformats.org/officeDocument/2006/relationships/hyperlink" Target="https://africanmarketingconfederation.org/wp-admin/post.php?post=12954&amp;action=edit" TargetMode="External"/><Relationship Id="rId1287" Type="http://schemas.openxmlformats.org/officeDocument/2006/relationships/hyperlink" Target="https://africanmarketingconfederation.org/chartered-marketer-africa-thank-you/" TargetMode="External"/><Relationship Id="rId212" Type="http://schemas.openxmlformats.org/officeDocument/2006/relationships/hyperlink" Target="https://africanmarketingconfederation.org/wp-admin/post.php?post=33280&amp;action=edit" TargetMode="External"/><Relationship Id="rId657" Type="http://schemas.openxmlformats.org/officeDocument/2006/relationships/hyperlink" Target="https://africanmarketingconfederation.org/amc-masterclass/" TargetMode="External"/><Relationship Id="rId864" Type="http://schemas.openxmlformats.org/officeDocument/2006/relationships/hyperlink" Target="https://africanmarketingconfederation.org/amc-forum-payments/" TargetMode="External"/><Relationship Id="rId517" Type="http://schemas.openxmlformats.org/officeDocument/2006/relationships/hyperlink" Target="https://africanmarketingconfederation.org/amc-conference-2022-prospectus/" TargetMode="External"/><Relationship Id="rId724" Type="http://schemas.openxmlformats.org/officeDocument/2006/relationships/hyperlink" Target="https://africanmarketingconfederation.org/wp-admin/post.php?post=88&amp;action=edit" TargetMode="External"/><Relationship Id="rId931" Type="http://schemas.openxmlformats.org/officeDocument/2006/relationships/hyperlink" Target="https://africanmarketingconfederation.org/elementor-16548/" TargetMode="External"/><Relationship Id="rId1147" Type="http://schemas.openxmlformats.org/officeDocument/2006/relationships/hyperlink" Target="https://africanmarketingconfederation.org/privacy-policy/" TargetMode="External"/><Relationship Id="rId1354" Type="http://schemas.openxmlformats.org/officeDocument/2006/relationships/hyperlink" Target="https://africanmarketingconfederation.org/wp-admin/post.php?post=84&amp;action=edit" TargetMode="External"/><Relationship Id="rId60" Type="http://schemas.openxmlformats.org/officeDocument/2006/relationships/hyperlink" Target="https://africanmarketingconfederation.org/wp-admin/post.php?post=5057&amp;action=edit" TargetMode="External"/><Relationship Id="rId1007" Type="http://schemas.openxmlformats.org/officeDocument/2006/relationships/hyperlink" Target="https://africanmarketingconfederation.org/amc-conference-2023/book-now/" TargetMode="External"/><Relationship Id="rId1214" Type="http://schemas.openxmlformats.org/officeDocument/2006/relationships/hyperlink" Target="https://africanmarketingconfederation.org/wp-admin/post.php?post=12945&amp;action=edit" TargetMode="External"/><Relationship Id="rId18" Type="http://schemas.openxmlformats.org/officeDocument/2006/relationships/hyperlink" Target="https://africanmarketingconfederation.org/wp-admin/post.php?post=16125&amp;action=edit" TargetMode="External"/><Relationship Id="rId167" Type="http://schemas.openxmlformats.org/officeDocument/2006/relationships/hyperlink" Target="https://africanmarketingconfederation.org/thank-you-for-registering-2024-registrations/" TargetMode="External"/><Relationship Id="rId374" Type="http://schemas.openxmlformats.org/officeDocument/2006/relationships/hyperlink" Target="https://africanmarketingconfederation.org/wp-admin/post.php?post=23710&amp;action=edit" TargetMode="External"/><Relationship Id="rId581" Type="http://schemas.openxmlformats.org/officeDocument/2006/relationships/hyperlink" Target="https://africanmarketingconfederation.org/amc-conference-2026-awards-nominations-thank-you/" TargetMode="External"/><Relationship Id="rId234" Type="http://schemas.openxmlformats.org/officeDocument/2006/relationships/hyperlink" Target="https://africanmarketingconfederation.org/wp-admin/post.php?post=6816&amp;action=edit" TargetMode="External"/><Relationship Id="rId679" Type="http://schemas.openxmlformats.org/officeDocument/2006/relationships/hyperlink" Target="https://africanmarketingconfederation.org/awards-2026-test/" TargetMode="External"/><Relationship Id="rId886" Type="http://schemas.openxmlformats.org/officeDocument/2006/relationships/hyperlink" Target="https://africanmarketingconfederation.org/wp-admin/post.php?post=23021&amp;action=edit" TargetMode="External"/><Relationship Id="rId2" Type="http://schemas.openxmlformats.org/officeDocument/2006/relationships/hyperlink" Target="https://africanmarketingconfederation.org/amc-marketing-conference-2024/speakers-2024/" TargetMode="External"/><Relationship Id="rId441" Type="http://schemas.openxmlformats.org/officeDocument/2006/relationships/hyperlink" Target="https://africanmarketingconfederation.org/checkout/" TargetMode="External"/><Relationship Id="rId539" Type="http://schemas.openxmlformats.org/officeDocument/2006/relationships/hyperlink" Target="https://africanmarketingconfederation.org/amc-conference-2023/book-now-thank-you/" TargetMode="External"/><Relationship Id="rId746" Type="http://schemas.openxmlformats.org/officeDocument/2006/relationships/hyperlink" Target="https://africanmarketingconfederation.org/wp-admin/post.php?post=86&amp;action=edit" TargetMode="External"/><Relationship Id="rId1071" Type="http://schemas.openxmlformats.org/officeDocument/2006/relationships/hyperlink" Target="https://africanmarketingconfederation.org/wp-admin/post.php?post=22595&amp;action=edit" TargetMode="External"/><Relationship Id="rId1169" Type="http://schemas.openxmlformats.org/officeDocument/2006/relationships/hyperlink" Target="https://africanmarketingconfederation.org/thank-you-for-registering-2024-registrations-kenya/" TargetMode="External"/><Relationship Id="rId1376" Type="http://schemas.openxmlformats.org/officeDocument/2006/relationships/hyperlink" Target="https://africanmarketingconfederation.org/wp-admin/post.php?post=22595&amp;action=edit" TargetMode="External"/><Relationship Id="rId301" Type="http://schemas.openxmlformats.org/officeDocument/2006/relationships/hyperlink" Target="https://africanmarketingconfederation.org/test-homeslider/" TargetMode="External"/><Relationship Id="rId953" Type="http://schemas.openxmlformats.org/officeDocument/2006/relationships/hyperlink" Target="https://africanmarketingconfederation.org/speakers/" TargetMode="External"/><Relationship Id="rId1029" Type="http://schemas.openxmlformats.org/officeDocument/2006/relationships/hyperlink" Target="https://africanmarketingconfederation.org/amc-conference-2025/" TargetMode="External"/><Relationship Id="rId1236" Type="http://schemas.openxmlformats.org/officeDocument/2006/relationships/hyperlink" Target="https://africanmarketingconfederation.org/amc-forum-mombasa/" TargetMode="External"/><Relationship Id="rId82" Type="http://schemas.openxmlformats.org/officeDocument/2006/relationships/hyperlink" Target="https://africanmarketingconfederation.org/amc-marketing-conference-2024/awards-2025/" TargetMode="External"/><Relationship Id="rId606" Type="http://schemas.openxmlformats.org/officeDocument/2006/relationships/hyperlink" Target="https://africanmarketingconfederation.org/amc-forum-payments/" TargetMode="External"/><Relationship Id="rId813" Type="http://schemas.openxmlformats.org/officeDocument/2006/relationships/hyperlink" Target="https://africanmarketingconfederation.org/african-marketing-confederation-tourism-chapter/" TargetMode="External"/><Relationship Id="rId1303" Type="http://schemas.openxmlformats.org/officeDocument/2006/relationships/hyperlink" Target="https://africanmarketingconfederation.org/education/" TargetMode="External"/><Relationship Id="rId189" Type="http://schemas.openxmlformats.org/officeDocument/2006/relationships/hyperlink" Target="https://africanmarketingconfederation.org/amc-conference-2022/" TargetMode="External"/><Relationship Id="rId396" Type="http://schemas.openxmlformats.org/officeDocument/2006/relationships/hyperlink" Target="https://africanmarketingconfederation.org/amc-marketing-conference-2024/amc-launch-event-2025/" TargetMode="External"/><Relationship Id="rId256" Type="http://schemas.openxmlformats.org/officeDocument/2006/relationships/hyperlink" Target="https://africanmarketingconfederation.org/wp-admin/post.php?post=10823&amp;action=edit" TargetMode="External"/><Relationship Id="rId463" Type="http://schemas.openxmlformats.org/officeDocument/2006/relationships/hyperlink" Target="https://africanmarketingconfederation.org/launch-event-2026-amc-conference/" TargetMode="External"/><Relationship Id="rId670" Type="http://schemas.openxmlformats.org/officeDocument/2006/relationships/hyperlink" Target="https://africanmarketingconfederation.org/wp-admin/post.php?post=21952&amp;action=edit" TargetMode="External"/><Relationship Id="rId1093" Type="http://schemas.openxmlformats.org/officeDocument/2006/relationships/hyperlink" Target="https://africanmarketingconfederation.org/amc-testimony-page-2024/" TargetMode="External"/><Relationship Id="rId116" Type="http://schemas.openxmlformats.org/officeDocument/2006/relationships/hyperlink" Target="https://africanmarketingconfederation.org/wp-admin/post.php?post=10823&amp;action=edit" TargetMode="External"/><Relationship Id="rId323" Type="http://schemas.openxmlformats.org/officeDocument/2006/relationships/hyperlink" Target="https://africanmarketingconfederation.org/thank-you-for-the-submission-2024/" TargetMode="External"/><Relationship Id="rId530" Type="http://schemas.openxmlformats.org/officeDocument/2006/relationships/hyperlink" Target="https://africanmarketingconfederation.org/wp-admin/post.php?post=12371&amp;action=edit" TargetMode="External"/><Relationship Id="rId768" Type="http://schemas.openxmlformats.org/officeDocument/2006/relationships/hyperlink" Target="https://africanmarketingconfederation.org/wp-admin/post.php?post=3634&amp;action=edit" TargetMode="External"/><Relationship Id="rId975" Type="http://schemas.openxmlformats.org/officeDocument/2006/relationships/hyperlink" Target="https://africanmarketingconfederation.org/virtual-programme/" TargetMode="External"/><Relationship Id="rId1160" Type="http://schemas.openxmlformats.org/officeDocument/2006/relationships/hyperlink" Target="https://africanmarketingconfederation.org/wp-admin/post.php?post=3252&amp;action=edit" TargetMode="External"/><Relationship Id="rId1398" Type="http://schemas.openxmlformats.org/officeDocument/2006/relationships/hyperlink" Target="https://africanmarketingconfederation.org/wp-admin/post.php?post=33050&amp;action=edit" TargetMode="External"/><Relationship Id="rId628" Type="http://schemas.openxmlformats.org/officeDocument/2006/relationships/hyperlink" Target="https://africanmarketingconfederation.org/amc-marketing-conference-2024/amc-preregister-2025/" TargetMode="External"/><Relationship Id="rId835" Type="http://schemas.openxmlformats.org/officeDocument/2006/relationships/hyperlink" Target="https://africanmarketingconfederation.org/amc-conference-2023/gallery/" TargetMode="External"/><Relationship Id="rId1258" Type="http://schemas.openxmlformats.org/officeDocument/2006/relationships/hyperlink" Target="https://africanmarketingconfederation.org/amc-marketing-conference-2024/speakers-2024/" TargetMode="External"/><Relationship Id="rId1020" Type="http://schemas.openxmlformats.org/officeDocument/2006/relationships/hyperlink" Target="https://africanmarketingconfederation.org/wp-admin/post.php?post=22401&amp;action=edit" TargetMode="External"/><Relationship Id="rId1118" Type="http://schemas.openxmlformats.org/officeDocument/2006/relationships/hyperlink" Target="https://africanmarketingconfederation.org/wp-admin/post.php?post=17908&amp;action=edit" TargetMode="External"/><Relationship Id="rId1325" Type="http://schemas.openxmlformats.org/officeDocument/2006/relationships/hyperlink" Target="https://africanmarketingconfederation.org/speakers-2025/" TargetMode="External"/><Relationship Id="rId902" Type="http://schemas.openxmlformats.org/officeDocument/2006/relationships/hyperlink" Target="https://africanmarketingconfederation.org/wp-admin/post.php?post=32554&amp;action=edit" TargetMode="External"/><Relationship Id="rId31" Type="http://schemas.openxmlformats.org/officeDocument/2006/relationships/hyperlink" Target="https://africanmarketingconfederation.org/amc-conference-2023/book-now-thank-you/" TargetMode="External"/><Relationship Id="rId180" Type="http://schemas.openxmlformats.org/officeDocument/2006/relationships/hyperlink" Target="https://africanmarketingconfederation.org/wp-admin/post.php?post=8&amp;action=edit" TargetMode="External"/><Relationship Id="rId278" Type="http://schemas.openxmlformats.org/officeDocument/2006/relationships/hyperlink" Target="https://africanmarketingconfederation.org/wp-admin/post.php?post=20341&amp;action=edit" TargetMode="External"/><Relationship Id="rId485" Type="http://schemas.openxmlformats.org/officeDocument/2006/relationships/hyperlink" Target="https://africanmarketingconfederation.org/test-payment-gate/" TargetMode="External"/><Relationship Id="rId692" Type="http://schemas.openxmlformats.org/officeDocument/2006/relationships/hyperlink" Target="https://africanmarketingconfederation.org/wp-admin/post.php?post=19980&amp;action=edit" TargetMode="External"/><Relationship Id="rId138" Type="http://schemas.openxmlformats.org/officeDocument/2006/relationships/hyperlink" Target="https://africanmarketingconfederation.org/wp-admin/post.php?post=31820&amp;action=edit" TargetMode="External"/><Relationship Id="rId345" Type="http://schemas.openxmlformats.org/officeDocument/2006/relationships/hyperlink" Target="https://africanmarketingconfederation.org/amc-conference-2022/" TargetMode="External"/><Relationship Id="rId552" Type="http://schemas.openxmlformats.org/officeDocument/2006/relationships/hyperlink" Target="https://africanmarketingconfederation.org/wp-admin/post.php?post=13549&amp;action=edit" TargetMode="External"/><Relationship Id="rId997" Type="http://schemas.openxmlformats.org/officeDocument/2006/relationships/hyperlink" Target="https://africanmarketingconfederation.org/amc-conference-2023/" TargetMode="External"/><Relationship Id="rId1182" Type="http://schemas.openxmlformats.org/officeDocument/2006/relationships/hyperlink" Target="https://africanmarketingconfederation.org/wp-admin/post.php?post=5290&amp;action=edit" TargetMode="External"/><Relationship Id="rId205" Type="http://schemas.openxmlformats.org/officeDocument/2006/relationships/hyperlink" Target="https://africanmarketingconfederation.org/amc-conference-2023/gallery/" TargetMode="External"/><Relationship Id="rId412" Type="http://schemas.openxmlformats.org/officeDocument/2006/relationships/hyperlink" Target="https://africanmarketingconfederation.org/wp-admin/post.php?post=6816&amp;action=edit" TargetMode="External"/><Relationship Id="rId857" Type="http://schemas.openxmlformats.org/officeDocument/2006/relationships/hyperlink" Target="https://africanmarketingconfederation.org/amc-conference-programme/" TargetMode="External"/><Relationship Id="rId1042" Type="http://schemas.openxmlformats.org/officeDocument/2006/relationships/hyperlink" Target="https://africanmarketingconfederation.org/wp-admin/post.php?post=31478&amp;action=edit" TargetMode="External"/><Relationship Id="rId717" Type="http://schemas.openxmlformats.org/officeDocument/2006/relationships/hyperlink" Target="https://africanmarketingconfederation.org/download-brochure/" TargetMode="External"/><Relationship Id="rId924" Type="http://schemas.openxmlformats.org/officeDocument/2006/relationships/hyperlink" Target="https://africanmarketingconfederation.org/wp-admin/post.php?post=92&amp;action=edit" TargetMode="External"/><Relationship Id="rId1347" Type="http://schemas.openxmlformats.org/officeDocument/2006/relationships/hyperlink" Target="https://africanmarketingconfederation.org/upcoming-events/" TargetMode="External"/><Relationship Id="rId53" Type="http://schemas.openxmlformats.org/officeDocument/2006/relationships/hyperlink" Target="https://africanmarketingconfederation.org/amc-conference-2026-awards-nominations-thank-you/" TargetMode="External"/><Relationship Id="rId1207" Type="http://schemas.openxmlformats.org/officeDocument/2006/relationships/hyperlink" Target="https://africanmarketingconfederation.org/amc-conference-2023/download-prospectus/" TargetMode="External"/><Relationship Id="rId367" Type="http://schemas.openxmlformats.org/officeDocument/2006/relationships/hyperlink" Target="https://africanmarketingconfederation.org/amc-conference-2024-recap/" TargetMode="External"/><Relationship Id="rId574" Type="http://schemas.openxmlformats.org/officeDocument/2006/relationships/hyperlink" Target="https://africanmarketingconfederation.org/wp-admin/post.php?post=18318&amp;action=edit" TargetMode="External"/><Relationship Id="rId227" Type="http://schemas.openxmlformats.org/officeDocument/2006/relationships/hyperlink" Target="https://africanmarketingconfederation.org/wp-admin/post.php?post=24882&amp;action=edit" TargetMode="External"/><Relationship Id="rId781" Type="http://schemas.openxmlformats.org/officeDocument/2006/relationships/hyperlink" Target="https://africanmarketingconfederation.org/thank-you-for-registering-2024-registrations-kenya/" TargetMode="External"/><Relationship Id="rId879" Type="http://schemas.openxmlformats.org/officeDocument/2006/relationships/hyperlink" Target="https://africanmarketingconfederation.org/wp-admin/post.php?post=22595&amp;action=edit" TargetMode="External"/><Relationship Id="rId434" Type="http://schemas.openxmlformats.org/officeDocument/2006/relationships/hyperlink" Target="https://africanmarketingconfederation.org/wp-admin/post.php?post=20001&amp;action=edit" TargetMode="External"/><Relationship Id="rId641" Type="http://schemas.openxmlformats.org/officeDocument/2006/relationships/hyperlink" Target="https://africanmarketingconfederation.org/wp-admin/post.php?post=16104&amp;action=edit" TargetMode="External"/><Relationship Id="rId739" Type="http://schemas.openxmlformats.org/officeDocument/2006/relationships/hyperlink" Target="https://africanmarketingconfederation.org/launch-event-2026-amc-conference/" TargetMode="External"/><Relationship Id="rId1064" Type="http://schemas.openxmlformats.org/officeDocument/2006/relationships/hyperlink" Target="https://africanmarketingconfederation.org/amc-marketing-conference-2024/amc-programme-2025/" TargetMode="External"/><Relationship Id="rId1271" Type="http://schemas.openxmlformats.org/officeDocument/2006/relationships/hyperlink" Target="https://africanmarketingconfederation.org/amc-sponsors-2025/" TargetMode="External"/><Relationship Id="rId1369" Type="http://schemas.openxmlformats.org/officeDocument/2006/relationships/hyperlink" Target="https://africanmarketingconfederation.org/amc-launch-event-zambia-thank-you-2026/" TargetMode="External"/><Relationship Id="rId501" Type="http://schemas.openxmlformats.org/officeDocument/2006/relationships/hyperlink" Target="https://africanmarketingconfederation.org/amc-conference-sponsors/" TargetMode="External"/><Relationship Id="rId946" Type="http://schemas.openxmlformats.org/officeDocument/2006/relationships/hyperlink" Target="https://africanmarketingconfederation.org/wp-admin/post.php?post=3&amp;action=edit" TargetMode="External"/><Relationship Id="rId1131" Type="http://schemas.openxmlformats.org/officeDocument/2006/relationships/hyperlink" Target="https://africanmarketingconfederation.org/education/" TargetMode="External"/><Relationship Id="rId1229" Type="http://schemas.openxmlformats.org/officeDocument/2006/relationships/hyperlink" Target="https://africanmarketingconfederation.org/amc-conference-2026/" TargetMode="External"/><Relationship Id="rId75" Type="http://schemas.openxmlformats.org/officeDocument/2006/relationships/hyperlink" Target="https://africanmarketingconfederation.org/wp-admin/post.php?post=25788&amp;action=edit" TargetMode="External"/><Relationship Id="rId806" Type="http://schemas.openxmlformats.org/officeDocument/2006/relationships/hyperlink" Target="https://africanmarketingconfederation.org/wp-admin/post.php?post=5290&amp;action=edit" TargetMode="External"/><Relationship Id="rId291" Type="http://schemas.openxmlformats.org/officeDocument/2006/relationships/hyperlink" Target="https://africanmarketingconfederation.org/publications-2/" TargetMode="External"/><Relationship Id="rId151" Type="http://schemas.openxmlformats.org/officeDocument/2006/relationships/hyperlink" Target="https://africanmarketingconfederation.org/publications-2/" TargetMode="External"/><Relationship Id="rId389" Type="http://schemas.openxmlformats.org/officeDocument/2006/relationships/hyperlink" Target="https://africanmarketingconfederation.org/wp-admin/post.php?post=21984&amp;action=edit" TargetMode="External"/><Relationship Id="rId596" Type="http://schemas.openxmlformats.org/officeDocument/2006/relationships/hyperlink" Target="https://africanmarketingconfederation.org/wp-admin/post.php?post=5057&amp;action=edit" TargetMode="External"/><Relationship Id="rId249" Type="http://schemas.openxmlformats.org/officeDocument/2006/relationships/hyperlink" Target="https://africanmarketingconfederation.org/chartered-marketer-africa-final-submission-fee/" TargetMode="External"/><Relationship Id="rId456" Type="http://schemas.openxmlformats.org/officeDocument/2006/relationships/hyperlink" Target="https://africanmarketingconfederation.org/wp-admin/post.php?post=16548&amp;action=edit" TargetMode="External"/><Relationship Id="rId663" Type="http://schemas.openxmlformats.org/officeDocument/2006/relationships/hyperlink" Target="https://africanmarketingconfederation.org/amc-sign-up-now-form-2025/" TargetMode="External"/><Relationship Id="rId870" Type="http://schemas.openxmlformats.org/officeDocument/2006/relationships/hyperlink" Target="https://africanmarketingconfederation.org/amc-marketing-conference-2024/amc-conference-2025-ghana-sponsors/" TargetMode="External"/><Relationship Id="rId1086" Type="http://schemas.openxmlformats.org/officeDocument/2006/relationships/hyperlink" Target="https://africanmarketingconfederation.org/wp-admin/post.php?post=6553&amp;action=edit" TargetMode="External"/><Relationship Id="rId1293" Type="http://schemas.openxmlformats.org/officeDocument/2006/relationships/hyperlink" Target="https://africanmarketingconfederation.org/conference-faq-2025/" TargetMode="External"/><Relationship Id="rId109" Type="http://schemas.openxmlformats.org/officeDocument/2006/relationships/hyperlink" Target="https://africanmarketingconfederation.org/certified-professional-marketer-africa/" TargetMode="External"/><Relationship Id="rId316" Type="http://schemas.openxmlformats.org/officeDocument/2006/relationships/hyperlink" Target="https://africanmarketingconfederation.org/wp-admin/post.php?post=7916&amp;action=edit" TargetMode="External"/><Relationship Id="rId523" Type="http://schemas.openxmlformats.org/officeDocument/2006/relationships/hyperlink" Target="https://africanmarketingconfederation.org/amc-conference-2022-thank-you/" TargetMode="External"/><Relationship Id="rId968" Type="http://schemas.openxmlformats.org/officeDocument/2006/relationships/hyperlink" Target="https://africanmarketingconfederation.org/wp-admin/post.php?post=7916&amp;action=edit" TargetMode="External"/><Relationship Id="rId1153" Type="http://schemas.openxmlformats.org/officeDocument/2006/relationships/hyperlink" Target="https://africanmarketingconfederation.org/publications-2/" TargetMode="External"/><Relationship Id="rId97" Type="http://schemas.openxmlformats.org/officeDocument/2006/relationships/hyperlink" Target="https://africanmarketingconfederation.org/amc-sign-up-now-form-2025/" TargetMode="External"/><Relationship Id="rId730" Type="http://schemas.openxmlformats.org/officeDocument/2006/relationships/hyperlink" Target="https://africanmarketingconfederation.org/wp-admin/post.php?post=16548&amp;action=edit" TargetMode="External"/><Relationship Id="rId828" Type="http://schemas.openxmlformats.org/officeDocument/2006/relationships/hyperlink" Target="https://africanmarketingconfederation.org/wp-admin/post.php?post=12954&amp;action=edit" TargetMode="External"/><Relationship Id="rId1013" Type="http://schemas.openxmlformats.org/officeDocument/2006/relationships/hyperlink" Target="https://africanmarketingconfederation.org/amc-conference-2023/partners/" TargetMode="External"/><Relationship Id="rId1360" Type="http://schemas.openxmlformats.org/officeDocument/2006/relationships/hyperlink" Target="https://africanmarketingconfederation.org/wp-admin/post.php?post=4941&amp;action=edit" TargetMode="External"/><Relationship Id="rId1220" Type="http://schemas.openxmlformats.org/officeDocument/2006/relationships/hyperlink" Target="https://africanmarketingconfederation.org/wp-admin/post.php?post=18318&amp;action=edit" TargetMode="External"/><Relationship Id="rId1318" Type="http://schemas.openxmlformats.org/officeDocument/2006/relationships/hyperlink" Target="https://africanmarketingconfederation.org/wp-admin/post.php?post=2196&amp;action=edit" TargetMode="External"/><Relationship Id="rId24" Type="http://schemas.openxmlformats.org/officeDocument/2006/relationships/hyperlink" Target="https://africanmarketingconfederation.org/wp-admin/post.php?post=4494&amp;action=edit" TargetMode="External"/><Relationship Id="rId173" Type="http://schemas.openxmlformats.org/officeDocument/2006/relationships/hyperlink" Target="https://africanmarketingconfederation.org/thank-you-for-the-submission-2024/" TargetMode="External"/><Relationship Id="rId380" Type="http://schemas.openxmlformats.org/officeDocument/2006/relationships/hyperlink" Target="https://africanmarketingconfederation.org/wp-admin/post.php?post=31478&amp;action=edit" TargetMode="External"/><Relationship Id="rId240" Type="http://schemas.openxmlformats.org/officeDocument/2006/relationships/hyperlink" Target="https://africanmarketingconfederation.org/wp-admin/post.php?post=6822&amp;action=edit" TargetMode="External"/><Relationship Id="rId478" Type="http://schemas.openxmlformats.org/officeDocument/2006/relationships/hyperlink" Target="https://africanmarketingconfederation.org/wp-admin/post.php?post=3252&amp;action=edit" TargetMode="External"/><Relationship Id="rId685" Type="http://schemas.openxmlformats.org/officeDocument/2006/relationships/hyperlink" Target="https://africanmarketingconfederation.org/certified-professional-marketer-africa/" TargetMode="External"/><Relationship Id="rId892" Type="http://schemas.openxmlformats.org/officeDocument/2006/relationships/hyperlink" Target="https://africanmarketingconfederation.org/wp-admin/post.php?post=6553&amp;action=edit" TargetMode="External"/><Relationship Id="rId100" Type="http://schemas.openxmlformats.org/officeDocument/2006/relationships/hyperlink" Target="https://africanmarketingconfederation.org/wp-admin/post.php?post=21952&amp;action=edit" TargetMode="External"/><Relationship Id="rId338" Type="http://schemas.openxmlformats.org/officeDocument/2006/relationships/hyperlink" Target="https://africanmarketingconfederation.org/wp-admin/post.php?post=28165&amp;action=edit" TargetMode="External"/><Relationship Id="rId545" Type="http://schemas.openxmlformats.org/officeDocument/2006/relationships/hyperlink" Target="https://africanmarketingconfederation.org/amc-conference-2023/book-now/" TargetMode="External"/><Relationship Id="rId752" Type="http://schemas.openxmlformats.org/officeDocument/2006/relationships/hyperlink" Target="https://africanmarketingconfederation.org/wp-admin/post.php?post=3&amp;action=edit" TargetMode="External"/><Relationship Id="rId1175" Type="http://schemas.openxmlformats.org/officeDocument/2006/relationships/hyperlink" Target="https://africanmarketingconfederation.org/thank-you-for-the-nomination-2024/" TargetMode="External"/><Relationship Id="rId1382" Type="http://schemas.openxmlformats.org/officeDocument/2006/relationships/hyperlink" Target="https://africanmarketingconfederation.org/wp-admin/post.php?post=20001&amp;action=edit" TargetMode="External"/><Relationship Id="rId405" Type="http://schemas.openxmlformats.org/officeDocument/2006/relationships/hyperlink" Target="https://africanmarketingconfederation.org/wp-admin/post.php?post=29496&amp;action=edit" TargetMode="External"/><Relationship Id="rId612" Type="http://schemas.openxmlformats.org/officeDocument/2006/relationships/hyperlink" Target="https://africanmarketingconfederation.org/amc-launch-event-zambia-thank-you-2026/" TargetMode="External"/><Relationship Id="rId1035" Type="http://schemas.openxmlformats.org/officeDocument/2006/relationships/hyperlink" Target="https://africanmarketingconfederation.org/amc-conference-2026-awards-nominations-thank-you/" TargetMode="External"/><Relationship Id="rId1242" Type="http://schemas.openxmlformats.org/officeDocument/2006/relationships/hyperlink" Target="https://africanmarketingconfederation.org/amc-marketing-conference-2024/" TargetMode="External"/><Relationship Id="rId917" Type="http://schemas.openxmlformats.org/officeDocument/2006/relationships/hyperlink" Target="https://africanmarketingconfederation.org/checkout/" TargetMode="External"/><Relationship Id="rId1102" Type="http://schemas.openxmlformats.org/officeDocument/2006/relationships/hyperlink" Target="https://africanmarketingconfederation.org/wp-admin/post.php?post=34552&amp;action=edit" TargetMode="External"/><Relationship Id="rId46" Type="http://schemas.openxmlformats.org/officeDocument/2006/relationships/hyperlink" Target="https://africanmarketingconfederation.org/wp-admin/post.php?post=22401&amp;action=edit" TargetMode="External"/><Relationship Id="rId1407" Type="http://schemas.openxmlformats.org/officeDocument/2006/relationships/hyperlink" Target="https://africanmarketingconfederation.org/thank-you-for-the-submission-2024/" TargetMode="External"/><Relationship Id="rId195" Type="http://schemas.openxmlformats.org/officeDocument/2006/relationships/hyperlink" Target="https://africanmarketingconfederation.org/amc-conference-2023/amc-awards-book-now/" TargetMode="External"/><Relationship Id="rId262" Type="http://schemas.openxmlformats.org/officeDocument/2006/relationships/hyperlink" Target="https://africanmarketingconfederation.org/wp-admin/post.php?post=18478&amp;action=edit" TargetMode="External"/><Relationship Id="rId567" Type="http://schemas.openxmlformats.org/officeDocument/2006/relationships/hyperlink" Target="https://africanmarketingconfederation.org/amc-conference-2024-recap/" TargetMode="External"/><Relationship Id="rId1197" Type="http://schemas.openxmlformats.org/officeDocument/2006/relationships/hyperlink" Target="https://africanmarketingconfederation.org/amc-conference-2023/" TargetMode="External"/><Relationship Id="rId122" Type="http://schemas.openxmlformats.org/officeDocument/2006/relationships/hyperlink" Target="https://africanmarketingconfederation.org/wp-admin/post.php?post=24640&amp;action=edit" TargetMode="External"/><Relationship Id="rId774" Type="http://schemas.openxmlformats.org/officeDocument/2006/relationships/hyperlink" Target="https://africanmarketingconfederation.org/wp-admin/post.php?post=5490&amp;action=edit" TargetMode="External"/><Relationship Id="rId981" Type="http://schemas.openxmlformats.org/officeDocument/2006/relationships/hyperlink" Target="https://africanmarketingconfederation.org/about-us/" TargetMode="External"/><Relationship Id="rId1057" Type="http://schemas.openxmlformats.org/officeDocument/2006/relationships/hyperlink" Target="https://africanmarketingconfederation.org/wp-admin/post.php?post=21958&amp;action=edit" TargetMode="External"/><Relationship Id="rId427" Type="http://schemas.openxmlformats.org/officeDocument/2006/relationships/hyperlink" Target="https://africanmarketingconfederation.org/awards-2026-test/" TargetMode="External"/><Relationship Id="rId634" Type="http://schemas.openxmlformats.org/officeDocument/2006/relationships/hyperlink" Target="https://africanmarketingconfederation.org/amc-marketing-conference-2024/amc-speakers-presentations-2024/" TargetMode="External"/><Relationship Id="rId841" Type="http://schemas.openxmlformats.org/officeDocument/2006/relationships/hyperlink" Target="https://africanmarketingconfederation.org/amc-conference-2023/speakers/" TargetMode="External"/><Relationship Id="rId1264" Type="http://schemas.openxmlformats.org/officeDocument/2006/relationships/hyperlink" Target="https://africanmarketingconfederation.org/wp-admin/post.php?post=6822&amp;action=edit"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s://africanmarketingconfederation.org/conference-registrations-2024/" TargetMode="External"/><Relationship Id="rId21"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mc-forum-mombasa/"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amc-conference-2023/amc-awards/"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speakers/" TargetMode="External"/><Relationship Id="rId16" Type="http://schemas.openxmlformats.org/officeDocument/2006/relationships/hyperlink" Target="https://africanmarketingconfederation.org/awards-2026-1/" TargetMode="External"/><Relationship Id="rId11" Type="http://schemas.openxmlformats.org/officeDocument/2006/relationships/hyperlink" Target="https://africanmarketingconfederation.org/news-articles/" TargetMode="External"/><Relationship Id="rId32" Type="http://schemas.openxmlformats.org/officeDocument/2006/relationships/hyperlink" Target="https://africanmarketingconfederation.org/amc-conference-2022-prospectus/" TargetMode="External"/><Relationship Id="rId37" Type="http://schemas.openxmlformats.org/officeDocument/2006/relationships/hyperlink" Target="https://africanmarketingconfederation.org/amc-marketing-conference-2024/amc-conference-2025-ghana-sponsors/" TargetMode="External"/><Relationship Id="rId53" Type="http://schemas.openxmlformats.org/officeDocument/2006/relationships/hyperlink" Target="https://africanmarketingconfederation.org/subscribe/" TargetMode="External"/><Relationship Id="rId58" Type="http://schemas.openxmlformats.org/officeDocument/2006/relationships/hyperlink" Target="https://africanmarketingconfederation.org/thank-you-for-the-nomination-2024/" TargetMode="External"/><Relationship Id="rId74" Type="http://schemas.openxmlformats.org/officeDocument/2006/relationships/hyperlink" Target="https://africanmarketingconfederation.org/thank-you-for-subscribing/" TargetMode="External"/><Relationship Id="rId79" Type="http://schemas.openxmlformats.org/officeDocument/2006/relationships/hyperlink" Target="https://africanmarketingconfederation.org/amc-conference-programme/" TargetMode="External"/><Relationship Id="rId5" Type="http://schemas.openxmlformats.org/officeDocument/2006/relationships/hyperlink" Target="https://africanmarketingconfederation.org/amc-conference-2026/" TargetMode="External"/><Relationship Id="rId19" Type="http://schemas.openxmlformats.org/officeDocument/2006/relationships/hyperlink" Target="https://africanmarketingconfederation.org/amc-conference-2026-awards-nominations-thank-you/" TargetMode="External"/><Relationship Id="rId14" Type="http://schemas.openxmlformats.org/officeDocument/2006/relationships/hyperlink" Target="https://africanmarketingconfederation.org/sub-committees/" TargetMode="External"/><Relationship Id="rId22" Type="http://schemas.openxmlformats.org/officeDocument/2006/relationships/hyperlink" Target="https://africanmarketingconfederation.org/amc-marketing-conference-2024/awards-2025/" TargetMode="External"/><Relationship Id="rId27" Type="http://schemas.openxmlformats.org/officeDocument/2006/relationships/hyperlink" Target="https://africanmarketingconfederation.org/elementor-31820/" TargetMode="External"/><Relationship Id="rId30" Type="http://schemas.openxmlformats.org/officeDocument/2006/relationships/hyperlink" Target="https://africanmarketingconfederation.org/amc-conference-2025/"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rketing-conference-2024/" TargetMode="External"/><Relationship Id="rId48" Type="http://schemas.openxmlformats.org/officeDocument/2006/relationships/hyperlink" Target="https://africanmarketingconfederation.org/amc-conference-sponsors/" TargetMode="External"/><Relationship Id="rId56" Type="http://schemas.openxmlformats.org/officeDocument/2006/relationships/hyperlink" Target="https://africanmarketingconfederation.org/chartered-marketer-africa-final-submission-fee/" TargetMode="External"/><Relationship Id="rId64" Type="http://schemas.openxmlformats.org/officeDocument/2006/relationships/hyperlink" Target="https://africanmarketingconfederation.org/amc-conference-2023/programme/" TargetMode="External"/><Relationship Id="rId69" Type="http://schemas.openxmlformats.org/officeDocument/2006/relationships/hyperlink" Target="https://africanmarketingconfederation.org/amc-conference-2023/book-now/" TargetMode="External"/><Relationship Id="rId77" Type="http://schemas.openxmlformats.org/officeDocument/2006/relationships/hyperlink" Target="https://africanmarketingconfederation.org/amc-masterclass-thank-you/" TargetMode="External"/><Relationship Id="rId8" Type="http://schemas.openxmlformats.org/officeDocument/2006/relationships/hyperlink" Target="https://africanmarketingconfederation.org/education/" TargetMode="External"/><Relationship Id="rId51" Type="http://schemas.openxmlformats.org/officeDocument/2006/relationships/hyperlink" Target="https://africanmarketingconfederation.org/download-prospectus-2024/" TargetMode="External"/><Relationship Id="rId72" Type="http://schemas.openxmlformats.org/officeDocument/2006/relationships/hyperlink" Target="https://africanmarketingconfederation.org/amc-conference-thank-you/" TargetMode="External"/><Relationship Id="rId80" Type="http://schemas.openxmlformats.org/officeDocument/2006/relationships/hyperlink" Target="https://africanmarketingconfederation.org/virtual-programme/" TargetMode="External"/><Relationship Id="rId85" Type="http://schemas.openxmlformats.org/officeDocument/2006/relationships/hyperlink" Target="https://africanmarketingconfederation.org/privacy-policy/" TargetMode="External"/><Relationship Id="rId3" Type="http://schemas.openxmlformats.org/officeDocument/2006/relationships/hyperlink" Target="https://africanmarketingconfederation.org/publication-download-list/" TargetMode="External"/><Relationship Id="rId12" Type="http://schemas.openxmlformats.org/officeDocument/2006/relationships/hyperlink" Target="https://africanmarketingconfederation.org/african-marketing-confederation-tourism-chapter/" TargetMode="External"/><Relationship Id="rId17" Type="http://schemas.openxmlformats.org/officeDocument/2006/relationships/hyperlink" Target="https://africanmarketingconfederation.org/awards-2026-test/" TargetMode="External"/><Relationship Id="rId25" Type="http://schemas.openxmlformats.org/officeDocument/2006/relationships/hyperlink" Target="https://africanmarketingconfederation.org/amc-conference-2023/gallery/" TargetMode="External"/><Relationship Id="rId33" Type="http://schemas.openxmlformats.org/officeDocument/2006/relationships/hyperlink" Target="https://africanmarketingconfederation.org/test-payment-gate/" TargetMode="External"/><Relationship Id="rId38" Type="http://schemas.openxmlformats.org/officeDocument/2006/relationships/hyperlink" Target="https://africanmarketingconfederation.org/amc-marketing-conference-2024/amc-launch-event-2025/" TargetMode="External"/><Relationship Id="rId46" Type="http://schemas.openxmlformats.org/officeDocument/2006/relationships/hyperlink" Target="https://africanmarketingconfederation.org/amc-sign-up-now-form-2025/" TargetMode="External"/><Relationship Id="rId59" Type="http://schemas.openxmlformats.org/officeDocument/2006/relationships/hyperlink" Target="https://africanmarketingconfederation.org/amc-conference-2024-sponsors-packages/" TargetMode="External"/><Relationship Id="rId67" Type="http://schemas.openxmlformats.org/officeDocument/2006/relationships/hyperlink" Target="https://africanmarketingconfederation.org/chartered-marketer-africa-thank-you/" TargetMode="External"/><Relationship Id="rId20" Type="http://schemas.openxmlformats.org/officeDocument/2006/relationships/hyperlink" Target="https://africanmarketingconfederation.org/amc-conference-2026-zambia-thank-you/" TargetMode="External"/><Relationship Id="rId41"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elementor-20341/" TargetMode="External"/><Relationship Id="rId62" Type="http://schemas.openxmlformats.org/officeDocument/2006/relationships/hyperlink" Target="https://africanmarketingconfederation.org/amc-marketing-conference-2024/programme-2024/" TargetMode="External"/><Relationship Id="rId70" Type="http://schemas.openxmlformats.org/officeDocument/2006/relationships/hyperlink" Target="https://africanmarketingconfederation.org/amc-conference-2023/download-prospectus/" TargetMode="External"/><Relationship Id="rId75" Type="http://schemas.openxmlformats.org/officeDocument/2006/relationships/hyperlink" Target="https://africanmarketingconfederation.org/amc-relaunch-programme/" TargetMode="External"/><Relationship Id="rId83" Type="http://schemas.openxmlformats.org/officeDocument/2006/relationships/hyperlink" Target="https://africanmarketingconfederation.org/amc-conference-2022-thank-you/"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15"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2024-recap/" TargetMode="External"/><Relationship Id="rId36" Type="http://schemas.openxmlformats.org/officeDocument/2006/relationships/hyperlink" Target="https://africanmarketingconfederation.org/conference-faq-2025/" TargetMode="External"/><Relationship Id="rId49" Type="http://schemas.openxmlformats.org/officeDocument/2006/relationships/hyperlink" Target="https://africanmarketingconfederation.org/amc-marketing-conference-2024/speakers-2024/" TargetMode="External"/><Relationship Id="rId57" Type="http://schemas.openxmlformats.org/officeDocument/2006/relationships/hyperlink" Target="https://africanmarketingconfederation.org/download-brochure/" TargetMode="External"/><Relationship Id="rId10" Type="http://schemas.openxmlformats.org/officeDocument/2006/relationships/hyperlink" Target="https://africanmarketingconfederation.org/contact-us/" TargetMode="External"/><Relationship Id="rId31" Type="http://schemas.openxmlformats.org/officeDocument/2006/relationships/hyperlink" Target="https://africanmarketingconfederation.org/amc-sponsors-2025/" TargetMode="External"/><Relationship Id="rId44" Type="http://schemas.openxmlformats.org/officeDocument/2006/relationships/hyperlink" Target="https://africanmarketingconfederation.org/amc-marketing-conference-2024/amc-speakers-presentations-2024/" TargetMode="External"/><Relationship Id="rId52" Type="http://schemas.openxmlformats.org/officeDocument/2006/relationships/hyperlink" Target="https://africanmarketingconfederation.org/thank-you-for-registering-2024-registrations-kenya/" TargetMode="External"/><Relationship Id="rId60" Type="http://schemas.openxmlformats.org/officeDocument/2006/relationships/hyperlink" Target="https://africanmarketingconfederation.org/thank-you-for-the-submission-2024/" TargetMode="External"/><Relationship Id="rId65" Type="http://schemas.openxmlformats.org/officeDocument/2006/relationships/hyperlink" Target="https://africanmarketingconfederation.org/amc-conference-2023/partners/" TargetMode="External"/><Relationship Id="rId73" Type="http://schemas.openxmlformats.org/officeDocument/2006/relationships/hyperlink" Target="https://africanmarketingconfederation.org/upcoming-events/" TargetMode="External"/><Relationship Id="rId78" Type="http://schemas.openxmlformats.org/officeDocument/2006/relationships/hyperlink" Target="https://africanmarketingconfederation.org/amc-masterclass-bookings/" TargetMode="External"/><Relationship Id="rId81" Type="http://schemas.openxmlformats.org/officeDocument/2006/relationships/hyperlink" Target="https://africanmarketingconfederation.org/test-homeslider/" TargetMode="External"/><Relationship Id="rId4" Type="http://schemas.openxmlformats.org/officeDocument/2006/relationships/hyperlink" Target="https://africanmarketingconfederation.org/launch-event-2026-amc-conference/" TargetMode="External"/><Relationship Id="rId9" Type="http://schemas.openxmlformats.org/officeDocument/2006/relationships/hyperlink" Target="https://africanmarketingconfederation.org/awards-2026/" TargetMode="External"/><Relationship Id="rId13" Type="http://schemas.openxmlformats.org/officeDocument/2006/relationships/hyperlink" Target="https://africanmarketingconfederation.org/members/" TargetMode="External"/><Relationship Id="rId18" Type="http://schemas.openxmlformats.org/officeDocument/2006/relationships/hyperlink" Target="https://africanmarketingconfederation.org/speakers-2025/" TargetMode="External"/><Relationship Id="rId39" Type="http://schemas.openxmlformats.org/officeDocument/2006/relationships/hyperlink" Target="https://africanmarketingconfederation.org/amc-forum-payments/" TargetMode="External"/><Relationship Id="rId34" Type="http://schemas.openxmlformats.org/officeDocument/2006/relationships/hyperlink" Target="https://africanmarketingconfederation.org/checkout/" TargetMode="External"/><Relationship Id="rId50" Type="http://schemas.openxmlformats.org/officeDocument/2006/relationships/hyperlink" Target="https://africanmarketingconfederation.org/thank-you-for-registering-2024-registrations/" TargetMode="External"/><Relationship Id="rId55"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mc-masterclass/" TargetMode="External"/><Relationship Id="rId7" Type="http://schemas.openxmlformats.org/officeDocument/2006/relationships/hyperlink" Target="https://africanmarketingconfederation.org/chartered-marketer-africa/" TargetMode="External"/><Relationship Id="rId71"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mc-marketing-conference-2024/amc-programme-2025/" TargetMode="External"/><Relationship Id="rId24" Type="http://schemas.openxmlformats.org/officeDocument/2006/relationships/hyperlink" Target="https://africanmarketingconfederation.org/amc-conference-2022/" TargetMode="External"/><Relationship Id="rId40" Type="http://schemas.openxmlformats.org/officeDocument/2006/relationships/hyperlink" Target="https://africanmarketingconfederation.org/amc-conference-2023/" TargetMode="External"/><Relationship Id="rId45" Type="http://schemas.openxmlformats.org/officeDocument/2006/relationships/hyperlink" Target="https://africanmarketingconfederation.org/amc-marketing-conference-2024/testimony-thank-you-page/" TargetMode="External"/><Relationship Id="rId66" Type="http://schemas.openxmlformats.org/officeDocument/2006/relationships/hyperlink" Target="https://africanmarketingconfederation.org/amc-conference-2023/speakers/" TargetMode="External"/><Relationship Id="rId61" Type="http://schemas.openxmlformats.org/officeDocument/2006/relationships/hyperlink" Target="https://africanmarketingconfederation.org/elementor-16548/" TargetMode="External"/><Relationship Id="rId82" Type="http://schemas.openxmlformats.org/officeDocument/2006/relationships/hyperlink" Target="https://africanmarketingconfederation.org/general-enquiry-form-thank-you/"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s://africanmarketingconfederation.org/conference-registrations-2024/" TargetMode="External"/><Relationship Id="rId21"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mc-forum-mombasa/"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amc-conference-2023/amc-awards/"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speakers/" TargetMode="External"/><Relationship Id="rId16" Type="http://schemas.openxmlformats.org/officeDocument/2006/relationships/hyperlink" Target="https://africanmarketingconfederation.org/awards-2026-1/" TargetMode="External"/><Relationship Id="rId11" Type="http://schemas.openxmlformats.org/officeDocument/2006/relationships/hyperlink" Target="https://africanmarketingconfederation.org/news-articles/" TargetMode="External"/><Relationship Id="rId32" Type="http://schemas.openxmlformats.org/officeDocument/2006/relationships/hyperlink" Target="https://africanmarketingconfederation.org/amc-conference-2022-prospectus/" TargetMode="External"/><Relationship Id="rId37" Type="http://schemas.openxmlformats.org/officeDocument/2006/relationships/hyperlink" Target="https://africanmarketingconfederation.org/amc-marketing-conference-2024/amc-conference-2025-ghana-sponsors/" TargetMode="External"/><Relationship Id="rId53" Type="http://schemas.openxmlformats.org/officeDocument/2006/relationships/hyperlink" Target="https://africanmarketingconfederation.org/subscribe/" TargetMode="External"/><Relationship Id="rId58" Type="http://schemas.openxmlformats.org/officeDocument/2006/relationships/hyperlink" Target="https://africanmarketingconfederation.org/thank-you-for-the-nomination-2024/" TargetMode="External"/><Relationship Id="rId74" Type="http://schemas.openxmlformats.org/officeDocument/2006/relationships/hyperlink" Target="https://africanmarketingconfederation.org/thank-you-for-subscribing/" TargetMode="External"/><Relationship Id="rId79" Type="http://schemas.openxmlformats.org/officeDocument/2006/relationships/hyperlink" Target="https://africanmarketingconfederation.org/amc-conference-programme/" TargetMode="External"/><Relationship Id="rId5" Type="http://schemas.openxmlformats.org/officeDocument/2006/relationships/hyperlink" Target="https://africanmarketingconfederation.org/amc-conference-2026/" TargetMode="External"/><Relationship Id="rId19" Type="http://schemas.openxmlformats.org/officeDocument/2006/relationships/hyperlink" Target="https://africanmarketingconfederation.org/amc-conference-2026-awards-nominations-thank-you/" TargetMode="External"/><Relationship Id="rId14" Type="http://schemas.openxmlformats.org/officeDocument/2006/relationships/hyperlink" Target="https://africanmarketingconfederation.org/sub-committees/" TargetMode="External"/><Relationship Id="rId22" Type="http://schemas.openxmlformats.org/officeDocument/2006/relationships/hyperlink" Target="https://africanmarketingconfederation.org/amc-marketing-conference-2024/awards-2025/" TargetMode="External"/><Relationship Id="rId27" Type="http://schemas.openxmlformats.org/officeDocument/2006/relationships/hyperlink" Target="https://africanmarketingconfederation.org/elementor-31820/" TargetMode="External"/><Relationship Id="rId30" Type="http://schemas.openxmlformats.org/officeDocument/2006/relationships/hyperlink" Target="https://africanmarketingconfederation.org/amc-conference-2025/"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rketing-conference-2024/" TargetMode="External"/><Relationship Id="rId48" Type="http://schemas.openxmlformats.org/officeDocument/2006/relationships/hyperlink" Target="https://africanmarketingconfederation.org/amc-conference-sponsors/" TargetMode="External"/><Relationship Id="rId56" Type="http://schemas.openxmlformats.org/officeDocument/2006/relationships/hyperlink" Target="https://africanmarketingconfederation.org/chartered-marketer-africa-final-submission-fee/" TargetMode="External"/><Relationship Id="rId64" Type="http://schemas.openxmlformats.org/officeDocument/2006/relationships/hyperlink" Target="https://africanmarketingconfederation.org/amc-conference-2023/programme/" TargetMode="External"/><Relationship Id="rId69" Type="http://schemas.openxmlformats.org/officeDocument/2006/relationships/hyperlink" Target="https://africanmarketingconfederation.org/amc-conference-2023/book-now/" TargetMode="External"/><Relationship Id="rId77" Type="http://schemas.openxmlformats.org/officeDocument/2006/relationships/hyperlink" Target="https://africanmarketingconfederation.org/amc-masterclass-thank-you/" TargetMode="External"/><Relationship Id="rId8" Type="http://schemas.openxmlformats.org/officeDocument/2006/relationships/hyperlink" Target="https://africanmarketingconfederation.org/education/" TargetMode="External"/><Relationship Id="rId51" Type="http://schemas.openxmlformats.org/officeDocument/2006/relationships/hyperlink" Target="https://africanmarketingconfederation.org/download-prospectus-2024/" TargetMode="External"/><Relationship Id="rId72" Type="http://schemas.openxmlformats.org/officeDocument/2006/relationships/hyperlink" Target="https://africanmarketingconfederation.org/amc-conference-thank-you/" TargetMode="External"/><Relationship Id="rId80" Type="http://schemas.openxmlformats.org/officeDocument/2006/relationships/hyperlink" Target="https://africanmarketingconfederation.org/virtual-programme/" TargetMode="External"/><Relationship Id="rId85" Type="http://schemas.openxmlformats.org/officeDocument/2006/relationships/hyperlink" Target="https://africanmarketingconfederation.org/privacy-policy/" TargetMode="External"/><Relationship Id="rId3" Type="http://schemas.openxmlformats.org/officeDocument/2006/relationships/hyperlink" Target="https://africanmarketingconfederation.org/publication-download-list/" TargetMode="External"/><Relationship Id="rId12" Type="http://schemas.openxmlformats.org/officeDocument/2006/relationships/hyperlink" Target="https://africanmarketingconfederation.org/african-marketing-confederation-tourism-chapter/" TargetMode="External"/><Relationship Id="rId17" Type="http://schemas.openxmlformats.org/officeDocument/2006/relationships/hyperlink" Target="https://africanmarketingconfederation.org/awards-2026-test/" TargetMode="External"/><Relationship Id="rId25" Type="http://schemas.openxmlformats.org/officeDocument/2006/relationships/hyperlink" Target="https://africanmarketingconfederation.org/amc-conference-2023/gallery/" TargetMode="External"/><Relationship Id="rId33" Type="http://schemas.openxmlformats.org/officeDocument/2006/relationships/hyperlink" Target="https://africanmarketingconfederation.org/test-payment-gate/" TargetMode="External"/><Relationship Id="rId38" Type="http://schemas.openxmlformats.org/officeDocument/2006/relationships/hyperlink" Target="https://africanmarketingconfederation.org/amc-marketing-conference-2024/amc-launch-event-2025/" TargetMode="External"/><Relationship Id="rId46" Type="http://schemas.openxmlformats.org/officeDocument/2006/relationships/hyperlink" Target="https://africanmarketingconfederation.org/amc-sign-up-now-form-2025/" TargetMode="External"/><Relationship Id="rId59" Type="http://schemas.openxmlformats.org/officeDocument/2006/relationships/hyperlink" Target="https://africanmarketingconfederation.org/amc-conference-2024-sponsors-packages/" TargetMode="External"/><Relationship Id="rId67" Type="http://schemas.openxmlformats.org/officeDocument/2006/relationships/hyperlink" Target="https://africanmarketingconfederation.org/chartered-marketer-africa-thank-you/" TargetMode="External"/><Relationship Id="rId20" Type="http://schemas.openxmlformats.org/officeDocument/2006/relationships/hyperlink" Target="https://africanmarketingconfederation.org/amc-conference-2026-zambia-thank-you/" TargetMode="External"/><Relationship Id="rId41"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elementor-20341/" TargetMode="External"/><Relationship Id="rId62" Type="http://schemas.openxmlformats.org/officeDocument/2006/relationships/hyperlink" Target="https://africanmarketingconfederation.org/amc-marketing-conference-2024/programme-2024/" TargetMode="External"/><Relationship Id="rId70" Type="http://schemas.openxmlformats.org/officeDocument/2006/relationships/hyperlink" Target="https://africanmarketingconfederation.org/amc-conference-2023/download-prospectus/" TargetMode="External"/><Relationship Id="rId75" Type="http://schemas.openxmlformats.org/officeDocument/2006/relationships/hyperlink" Target="https://africanmarketingconfederation.org/amc-relaunch-programme/" TargetMode="External"/><Relationship Id="rId83" Type="http://schemas.openxmlformats.org/officeDocument/2006/relationships/hyperlink" Target="https://africanmarketingconfederation.org/amc-conference-2022-thank-you/"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15"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2024-recap/" TargetMode="External"/><Relationship Id="rId36" Type="http://schemas.openxmlformats.org/officeDocument/2006/relationships/hyperlink" Target="https://africanmarketingconfederation.org/conference-faq-2025/" TargetMode="External"/><Relationship Id="rId49" Type="http://schemas.openxmlformats.org/officeDocument/2006/relationships/hyperlink" Target="https://africanmarketingconfederation.org/amc-marketing-conference-2024/speakers-2024/" TargetMode="External"/><Relationship Id="rId57" Type="http://schemas.openxmlformats.org/officeDocument/2006/relationships/hyperlink" Target="https://africanmarketingconfederation.org/download-brochure/" TargetMode="External"/><Relationship Id="rId10" Type="http://schemas.openxmlformats.org/officeDocument/2006/relationships/hyperlink" Target="https://africanmarketingconfederation.org/contact-us/" TargetMode="External"/><Relationship Id="rId31" Type="http://schemas.openxmlformats.org/officeDocument/2006/relationships/hyperlink" Target="https://africanmarketingconfederation.org/amc-sponsors-2025/" TargetMode="External"/><Relationship Id="rId44" Type="http://schemas.openxmlformats.org/officeDocument/2006/relationships/hyperlink" Target="https://africanmarketingconfederation.org/amc-marketing-conference-2024/amc-speakers-presentations-2024/" TargetMode="External"/><Relationship Id="rId52" Type="http://schemas.openxmlformats.org/officeDocument/2006/relationships/hyperlink" Target="https://africanmarketingconfederation.org/thank-you-for-registering-2024-registrations-kenya/" TargetMode="External"/><Relationship Id="rId60" Type="http://schemas.openxmlformats.org/officeDocument/2006/relationships/hyperlink" Target="https://africanmarketingconfederation.org/thank-you-for-the-submission-2024/" TargetMode="External"/><Relationship Id="rId65" Type="http://schemas.openxmlformats.org/officeDocument/2006/relationships/hyperlink" Target="https://africanmarketingconfederation.org/amc-conference-2023/partners/" TargetMode="External"/><Relationship Id="rId73" Type="http://schemas.openxmlformats.org/officeDocument/2006/relationships/hyperlink" Target="https://africanmarketingconfederation.org/upcoming-events/" TargetMode="External"/><Relationship Id="rId78" Type="http://schemas.openxmlformats.org/officeDocument/2006/relationships/hyperlink" Target="https://africanmarketingconfederation.org/amc-masterclass-bookings/" TargetMode="External"/><Relationship Id="rId81" Type="http://schemas.openxmlformats.org/officeDocument/2006/relationships/hyperlink" Target="https://africanmarketingconfederation.org/test-homeslider/" TargetMode="External"/><Relationship Id="rId4" Type="http://schemas.openxmlformats.org/officeDocument/2006/relationships/hyperlink" Target="https://africanmarketingconfederation.org/launch-event-2026-amc-conference/" TargetMode="External"/><Relationship Id="rId9" Type="http://schemas.openxmlformats.org/officeDocument/2006/relationships/hyperlink" Target="https://africanmarketingconfederation.org/awards-2026/" TargetMode="External"/><Relationship Id="rId13" Type="http://schemas.openxmlformats.org/officeDocument/2006/relationships/hyperlink" Target="https://africanmarketingconfederation.org/members/" TargetMode="External"/><Relationship Id="rId18" Type="http://schemas.openxmlformats.org/officeDocument/2006/relationships/hyperlink" Target="https://africanmarketingconfederation.org/speakers-2025/" TargetMode="External"/><Relationship Id="rId39" Type="http://schemas.openxmlformats.org/officeDocument/2006/relationships/hyperlink" Target="https://africanmarketingconfederation.org/amc-forum-payments/" TargetMode="External"/><Relationship Id="rId34" Type="http://schemas.openxmlformats.org/officeDocument/2006/relationships/hyperlink" Target="https://africanmarketingconfederation.org/checkout/" TargetMode="External"/><Relationship Id="rId50" Type="http://schemas.openxmlformats.org/officeDocument/2006/relationships/hyperlink" Target="https://africanmarketingconfederation.org/thank-you-for-registering-2024-registrations/" TargetMode="External"/><Relationship Id="rId55"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mc-masterclass/" TargetMode="External"/><Relationship Id="rId7" Type="http://schemas.openxmlformats.org/officeDocument/2006/relationships/hyperlink" Target="https://africanmarketingconfederation.org/chartered-marketer-africa/" TargetMode="External"/><Relationship Id="rId71"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mc-marketing-conference-2024/amc-programme-2025/" TargetMode="External"/><Relationship Id="rId24" Type="http://schemas.openxmlformats.org/officeDocument/2006/relationships/hyperlink" Target="https://africanmarketingconfederation.org/amc-conference-2022/" TargetMode="External"/><Relationship Id="rId40" Type="http://schemas.openxmlformats.org/officeDocument/2006/relationships/hyperlink" Target="https://africanmarketingconfederation.org/amc-conference-2023/" TargetMode="External"/><Relationship Id="rId45" Type="http://schemas.openxmlformats.org/officeDocument/2006/relationships/hyperlink" Target="https://africanmarketingconfederation.org/amc-marketing-conference-2024/testimony-thank-you-page/" TargetMode="External"/><Relationship Id="rId66" Type="http://schemas.openxmlformats.org/officeDocument/2006/relationships/hyperlink" Target="https://africanmarketingconfederation.org/amc-conference-2023/speakers/" TargetMode="External"/><Relationship Id="rId61" Type="http://schemas.openxmlformats.org/officeDocument/2006/relationships/hyperlink" Target="https://africanmarketingconfederation.org/elementor-16548/" TargetMode="External"/><Relationship Id="rId82" Type="http://schemas.openxmlformats.org/officeDocument/2006/relationships/hyperlink" Target="https://africanmarketingconfederation.org/general-enquiry-form-thank-you/"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s://africanmarketingconfederation.org/conference-registrations-2024/" TargetMode="External"/><Relationship Id="rId21"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mc-forum-mombasa/"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amc-conference-2023/amc-awards/"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speakers/" TargetMode="External"/><Relationship Id="rId16" Type="http://schemas.openxmlformats.org/officeDocument/2006/relationships/hyperlink" Target="https://africanmarketingconfederation.org/awards-2026-1/" TargetMode="External"/><Relationship Id="rId11" Type="http://schemas.openxmlformats.org/officeDocument/2006/relationships/hyperlink" Target="https://africanmarketingconfederation.org/news-articles/" TargetMode="External"/><Relationship Id="rId32" Type="http://schemas.openxmlformats.org/officeDocument/2006/relationships/hyperlink" Target="https://africanmarketingconfederation.org/amc-conference-2022-prospectus/" TargetMode="External"/><Relationship Id="rId37" Type="http://schemas.openxmlformats.org/officeDocument/2006/relationships/hyperlink" Target="https://africanmarketingconfederation.org/amc-marketing-conference-2024/amc-conference-2025-ghana-sponsors/" TargetMode="External"/><Relationship Id="rId53" Type="http://schemas.openxmlformats.org/officeDocument/2006/relationships/hyperlink" Target="https://africanmarketingconfederation.org/subscribe/" TargetMode="External"/><Relationship Id="rId58" Type="http://schemas.openxmlformats.org/officeDocument/2006/relationships/hyperlink" Target="https://africanmarketingconfederation.org/thank-you-for-the-nomination-2024/" TargetMode="External"/><Relationship Id="rId74" Type="http://schemas.openxmlformats.org/officeDocument/2006/relationships/hyperlink" Target="https://africanmarketingconfederation.org/thank-you-for-subscribing/" TargetMode="External"/><Relationship Id="rId79" Type="http://schemas.openxmlformats.org/officeDocument/2006/relationships/hyperlink" Target="https://africanmarketingconfederation.org/amc-conference-programme/" TargetMode="External"/><Relationship Id="rId5" Type="http://schemas.openxmlformats.org/officeDocument/2006/relationships/hyperlink" Target="https://africanmarketingconfederation.org/amc-conference-2026/" TargetMode="External"/><Relationship Id="rId19" Type="http://schemas.openxmlformats.org/officeDocument/2006/relationships/hyperlink" Target="https://africanmarketingconfederation.org/amc-conference-2026-awards-nominations-thank-you/" TargetMode="External"/><Relationship Id="rId14" Type="http://schemas.openxmlformats.org/officeDocument/2006/relationships/hyperlink" Target="https://africanmarketingconfederation.org/sub-committees/" TargetMode="External"/><Relationship Id="rId22" Type="http://schemas.openxmlformats.org/officeDocument/2006/relationships/hyperlink" Target="https://africanmarketingconfederation.org/amc-marketing-conference-2024/awards-2025/" TargetMode="External"/><Relationship Id="rId27" Type="http://schemas.openxmlformats.org/officeDocument/2006/relationships/hyperlink" Target="https://africanmarketingconfederation.org/elementor-31820/" TargetMode="External"/><Relationship Id="rId30" Type="http://schemas.openxmlformats.org/officeDocument/2006/relationships/hyperlink" Target="https://africanmarketingconfederation.org/amc-conference-2025/"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rketing-conference-2024/" TargetMode="External"/><Relationship Id="rId48" Type="http://schemas.openxmlformats.org/officeDocument/2006/relationships/hyperlink" Target="https://africanmarketingconfederation.org/amc-conference-sponsors/" TargetMode="External"/><Relationship Id="rId56" Type="http://schemas.openxmlformats.org/officeDocument/2006/relationships/hyperlink" Target="https://africanmarketingconfederation.org/chartered-marketer-africa-final-submission-fee/" TargetMode="External"/><Relationship Id="rId64" Type="http://schemas.openxmlformats.org/officeDocument/2006/relationships/hyperlink" Target="https://africanmarketingconfederation.org/amc-conference-2023/programme/" TargetMode="External"/><Relationship Id="rId69" Type="http://schemas.openxmlformats.org/officeDocument/2006/relationships/hyperlink" Target="https://africanmarketingconfederation.org/amc-conference-2023/book-now/" TargetMode="External"/><Relationship Id="rId77" Type="http://schemas.openxmlformats.org/officeDocument/2006/relationships/hyperlink" Target="https://africanmarketingconfederation.org/amc-masterclass-thank-you/" TargetMode="External"/><Relationship Id="rId8" Type="http://schemas.openxmlformats.org/officeDocument/2006/relationships/hyperlink" Target="https://africanmarketingconfederation.org/education/" TargetMode="External"/><Relationship Id="rId51" Type="http://schemas.openxmlformats.org/officeDocument/2006/relationships/hyperlink" Target="https://africanmarketingconfederation.org/download-prospectus-2024/" TargetMode="External"/><Relationship Id="rId72" Type="http://schemas.openxmlformats.org/officeDocument/2006/relationships/hyperlink" Target="https://africanmarketingconfederation.org/amc-conference-thank-you/" TargetMode="External"/><Relationship Id="rId80" Type="http://schemas.openxmlformats.org/officeDocument/2006/relationships/hyperlink" Target="https://africanmarketingconfederation.org/virtual-programme/" TargetMode="External"/><Relationship Id="rId85" Type="http://schemas.openxmlformats.org/officeDocument/2006/relationships/hyperlink" Target="https://africanmarketingconfederation.org/privacy-policy/" TargetMode="External"/><Relationship Id="rId3" Type="http://schemas.openxmlformats.org/officeDocument/2006/relationships/hyperlink" Target="https://africanmarketingconfederation.org/publication-download-list/" TargetMode="External"/><Relationship Id="rId12" Type="http://schemas.openxmlformats.org/officeDocument/2006/relationships/hyperlink" Target="https://africanmarketingconfederation.org/african-marketing-confederation-tourism-chapter/" TargetMode="External"/><Relationship Id="rId17" Type="http://schemas.openxmlformats.org/officeDocument/2006/relationships/hyperlink" Target="https://africanmarketingconfederation.org/awards-2026-test/" TargetMode="External"/><Relationship Id="rId25" Type="http://schemas.openxmlformats.org/officeDocument/2006/relationships/hyperlink" Target="https://africanmarketingconfederation.org/amc-conference-2023/gallery/" TargetMode="External"/><Relationship Id="rId33" Type="http://schemas.openxmlformats.org/officeDocument/2006/relationships/hyperlink" Target="https://africanmarketingconfederation.org/test-payment-gate/" TargetMode="External"/><Relationship Id="rId38" Type="http://schemas.openxmlformats.org/officeDocument/2006/relationships/hyperlink" Target="https://africanmarketingconfederation.org/amc-marketing-conference-2024/amc-launch-event-2025/" TargetMode="External"/><Relationship Id="rId46" Type="http://schemas.openxmlformats.org/officeDocument/2006/relationships/hyperlink" Target="https://africanmarketingconfederation.org/amc-sign-up-now-form-2025/" TargetMode="External"/><Relationship Id="rId59" Type="http://schemas.openxmlformats.org/officeDocument/2006/relationships/hyperlink" Target="https://africanmarketingconfederation.org/amc-conference-2024-sponsors-packages/" TargetMode="External"/><Relationship Id="rId67" Type="http://schemas.openxmlformats.org/officeDocument/2006/relationships/hyperlink" Target="https://africanmarketingconfederation.org/chartered-marketer-africa-thank-you/" TargetMode="External"/><Relationship Id="rId20" Type="http://schemas.openxmlformats.org/officeDocument/2006/relationships/hyperlink" Target="https://africanmarketingconfederation.org/amc-conference-2026-zambia-thank-you/" TargetMode="External"/><Relationship Id="rId41"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elementor-20341/" TargetMode="External"/><Relationship Id="rId62" Type="http://schemas.openxmlformats.org/officeDocument/2006/relationships/hyperlink" Target="https://africanmarketingconfederation.org/amc-marketing-conference-2024/programme-2024/" TargetMode="External"/><Relationship Id="rId70" Type="http://schemas.openxmlformats.org/officeDocument/2006/relationships/hyperlink" Target="https://africanmarketingconfederation.org/amc-conference-2023/download-prospectus/" TargetMode="External"/><Relationship Id="rId75" Type="http://schemas.openxmlformats.org/officeDocument/2006/relationships/hyperlink" Target="https://africanmarketingconfederation.org/amc-relaunch-programme/" TargetMode="External"/><Relationship Id="rId83" Type="http://schemas.openxmlformats.org/officeDocument/2006/relationships/hyperlink" Target="https://africanmarketingconfederation.org/amc-conference-2022-thank-you/"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15"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2024-recap/" TargetMode="External"/><Relationship Id="rId36" Type="http://schemas.openxmlformats.org/officeDocument/2006/relationships/hyperlink" Target="https://africanmarketingconfederation.org/conference-faq-2025/" TargetMode="External"/><Relationship Id="rId49" Type="http://schemas.openxmlformats.org/officeDocument/2006/relationships/hyperlink" Target="https://africanmarketingconfederation.org/amc-marketing-conference-2024/speakers-2024/" TargetMode="External"/><Relationship Id="rId57" Type="http://schemas.openxmlformats.org/officeDocument/2006/relationships/hyperlink" Target="https://africanmarketingconfederation.org/download-brochure/" TargetMode="External"/><Relationship Id="rId10" Type="http://schemas.openxmlformats.org/officeDocument/2006/relationships/hyperlink" Target="https://africanmarketingconfederation.org/contact-us/" TargetMode="External"/><Relationship Id="rId31" Type="http://schemas.openxmlformats.org/officeDocument/2006/relationships/hyperlink" Target="https://africanmarketingconfederation.org/amc-sponsors-2025/" TargetMode="External"/><Relationship Id="rId44" Type="http://schemas.openxmlformats.org/officeDocument/2006/relationships/hyperlink" Target="https://africanmarketingconfederation.org/amc-marketing-conference-2024/amc-speakers-presentations-2024/" TargetMode="External"/><Relationship Id="rId52" Type="http://schemas.openxmlformats.org/officeDocument/2006/relationships/hyperlink" Target="https://africanmarketingconfederation.org/thank-you-for-registering-2024-registrations-kenya/" TargetMode="External"/><Relationship Id="rId60" Type="http://schemas.openxmlformats.org/officeDocument/2006/relationships/hyperlink" Target="https://africanmarketingconfederation.org/thank-you-for-the-submission-2024/" TargetMode="External"/><Relationship Id="rId65" Type="http://schemas.openxmlformats.org/officeDocument/2006/relationships/hyperlink" Target="https://africanmarketingconfederation.org/amc-conference-2023/partners/" TargetMode="External"/><Relationship Id="rId73" Type="http://schemas.openxmlformats.org/officeDocument/2006/relationships/hyperlink" Target="https://africanmarketingconfederation.org/upcoming-events/" TargetMode="External"/><Relationship Id="rId78" Type="http://schemas.openxmlformats.org/officeDocument/2006/relationships/hyperlink" Target="https://africanmarketingconfederation.org/amc-masterclass-bookings/" TargetMode="External"/><Relationship Id="rId81" Type="http://schemas.openxmlformats.org/officeDocument/2006/relationships/hyperlink" Target="https://africanmarketingconfederation.org/test-homeslider/" TargetMode="External"/><Relationship Id="rId4" Type="http://schemas.openxmlformats.org/officeDocument/2006/relationships/hyperlink" Target="https://africanmarketingconfederation.org/launch-event-2026-amc-conference/" TargetMode="External"/><Relationship Id="rId9" Type="http://schemas.openxmlformats.org/officeDocument/2006/relationships/hyperlink" Target="https://africanmarketingconfederation.org/awards-2026/" TargetMode="External"/><Relationship Id="rId13" Type="http://schemas.openxmlformats.org/officeDocument/2006/relationships/hyperlink" Target="https://africanmarketingconfederation.org/members/" TargetMode="External"/><Relationship Id="rId18" Type="http://schemas.openxmlformats.org/officeDocument/2006/relationships/hyperlink" Target="https://africanmarketingconfederation.org/speakers-2025/" TargetMode="External"/><Relationship Id="rId39" Type="http://schemas.openxmlformats.org/officeDocument/2006/relationships/hyperlink" Target="https://africanmarketingconfederation.org/amc-forum-payments/" TargetMode="External"/><Relationship Id="rId34" Type="http://schemas.openxmlformats.org/officeDocument/2006/relationships/hyperlink" Target="https://africanmarketingconfederation.org/checkout/" TargetMode="External"/><Relationship Id="rId50" Type="http://schemas.openxmlformats.org/officeDocument/2006/relationships/hyperlink" Target="https://africanmarketingconfederation.org/thank-you-for-registering-2024-registrations/" TargetMode="External"/><Relationship Id="rId55"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mc-masterclass/" TargetMode="External"/><Relationship Id="rId7" Type="http://schemas.openxmlformats.org/officeDocument/2006/relationships/hyperlink" Target="https://africanmarketingconfederation.org/chartered-marketer-africa/" TargetMode="External"/><Relationship Id="rId71"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mc-marketing-conference-2024/amc-programme-2025/" TargetMode="External"/><Relationship Id="rId24" Type="http://schemas.openxmlformats.org/officeDocument/2006/relationships/hyperlink" Target="https://africanmarketingconfederation.org/amc-conference-2022/" TargetMode="External"/><Relationship Id="rId40" Type="http://schemas.openxmlformats.org/officeDocument/2006/relationships/hyperlink" Target="https://africanmarketingconfederation.org/amc-conference-2023/" TargetMode="External"/><Relationship Id="rId45" Type="http://schemas.openxmlformats.org/officeDocument/2006/relationships/hyperlink" Target="https://africanmarketingconfederation.org/amc-marketing-conference-2024/testimony-thank-you-page/" TargetMode="External"/><Relationship Id="rId66" Type="http://schemas.openxmlformats.org/officeDocument/2006/relationships/hyperlink" Target="https://africanmarketingconfederation.org/amc-conference-2023/speakers/" TargetMode="External"/><Relationship Id="rId61" Type="http://schemas.openxmlformats.org/officeDocument/2006/relationships/hyperlink" Target="https://africanmarketingconfederation.org/elementor-16548/" TargetMode="External"/><Relationship Id="rId82" Type="http://schemas.openxmlformats.org/officeDocument/2006/relationships/hyperlink" Target="https://africanmarketingconfederation.org/general-enquiry-form-thank-you/" TargetMode="External"/></Relationships>
</file>

<file path=xl/worksheets/_rels/sheet22.xml.rels><?xml version="1.0" encoding="UTF-8" standalone="yes"?>
<Relationships xmlns="http://schemas.openxmlformats.org/package/2006/relationships"><Relationship Id="rId117" Type="http://schemas.openxmlformats.org/officeDocument/2006/relationships/hyperlink" Target="https://africanmarketingconfederation.org/members/" TargetMode="External"/><Relationship Id="rId671" Type="http://schemas.openxmlformats.org/officeDocument/2006/relationships/hyperlink" Target="https://africanmarketingconfederation.org/upcoming-events/" TargetMode="External"/><Relationship Id="rId769" Type="http://schemas.openxmlformats.org/officeDocument/2006/relationships/hyperlink" Target="https://africanmarketingconfederation.org/speakers/" TargetMode="External"/><Relationship Id="rId21" Type="http://schemas.openxmlformats.org/officeDocument/2006/relationships/hyperlink" Target="https://africanmarketingconfederation.org/publication-download-list/" TargetMode="External"/><Relationship Id="rId324" Type="http://schemas.openxmlformats.org/officeDocument/2006/relationships/hyperlink" Target="https://africanmarketingconfederation.org/conference-faq-2025/" TargetMode="External"/><Relationship Id="rId531" Type="http://schemas.openxmlformats.org/officeDocument/2006/relationships/hyperlink" Target="https://africanmarketingconfederation.org/thank-you-for-the-nomination-2024/" TargetMode="External"/><Relationship Id="rId629" Type="http://schemas.openxmlformats.org/officeDocument/2006/relationships/hyperlink" Target="https://africanmarketingconfederation.org/amc-conference-2023/book-now/" TargetMode="External"/><Relationship Id="rId170" Type="http://schemas.openxmlformats.org/officeDocument/2006/relationships/hyperlink" Target="https://africanmarketingconfederation.org/amc-conference-2026-awards-nominations-thank-you/" TargetMode="External"/><Relationship Id="rId268" Type="http://schemas.openxmlformats.org/officeDocument/2006/relationships/hyperlink" Target="https://africanmarketingconfederation.org/amc-conference-2025/" TargetMode="External"/><Relationship Id="rId475" Type="http://schemas.openxmlformats.org/officeDocument/2006/relationships/hyperlink" Target="https://africanmarketingconfederation.org/thank-you-for-registering-2024-registrations-kenya/" TargetMode="External"/><Relationship Id="rId682" Type="http://schemas.openxmlformats.org/officeDocument/2006/relationships/hyperlink" Target="https://africanmarketingconfederation.org/amc-relaunch-programme/" TargetMode="External"/><Relationship Id="rId32" Type="http://schemas.openxmlformats.org/officeDocument/2006/relationships/hyperlink" Target="https://africanmarketingconfederation.org/launch-event-2026-amc-conference/" TargetMode="External"/><Relationship Id="rId128" Type="http://schemas.openxmlformats.org/officeDocument/2006/relationships/hyperlink" Target="https://africanmarketingconfederation.org/about-us/" TargetMode="External"/><Relationship Id="rId335" Type="http://schemas.openxmlformats.org/officeDocument/2006/relationships/hyperlink" Target="https://africanmarketingconfederation.org/amc-marketing-conference-2024/amc-conference-2025-ghana-sponsors/" TargetMode="External"/><Relationship Id="rId542" Type="http://schemas.openxmlformats.org/officeDocument/2006/relationships/hyperlink" Target="https://africanmarketingconfederation.org/amc-conference-2024-sponsors-packages/" TargetMode="External"/><Relationship Id="rId181" Type="http://schemas.openxmlformats.org/officeDocument/2006/relationships/hyperlink" Target="https://africanmarketingconfederation.org/amc-conference-2026-zambia-thank-you/" TargetMode="External"/><Relationship Id="rId402" Type="http://schemas.openxmlformats.org/officeDocument/2006/relationships/hyperlink" Target="https://africanmarketingconfederation.org/amc-marketing-conference-2024/testimony-thank-you-page/" TargetMode="External"/><Relationship Id="rId279" Type="http://schemas.openxmlformats.org/officeDocument/2006/relationships/hyperlink" Target="https://africanmarketingconfederation.org/amc-sponsors-2025/" TargetMode="External"/><Relationship Id="rId486" Type="http://schemas.openxmlformats.org/officeDocument/2006/relationships/hyperlink" Target="https://africanmarketingconfederation.org/elementor-20341/" TargetMode="External"/><Relationship Id="rId693" Type="http://schemas.openxmlformats.org/officeDocument/2006/relationships/hyperlink" Target="https://africanmarketingconfederation.org/amc-masterclass/" TargetMode="External"/><Relationship Id="rId707" Type="http://schemas.openxmlformats.org/officeDocument/2006/relationships/hyperlink" Target="https://africanmarketingconfederation.org/amc-masterclass-thank-you/" TargetMode="External"/><Relationship Id="rId43" Type="http://schemas.openxmlformats.org/officeDocument/2006/relationships/hyperlink" Target="https://africanmarketingconfederation.org/amc-conference-2026/" TargetMode="External"/><Relationship Id="rId139" Type="http://schemas.openxmlformats.org/officeDocument/2006/relationships/hyperlink" Target="https://africanmarketingconfederation.org/awards-2026-1/" TargetMode="External"/><Relationship Id="rId346" Type="http://schemas.openxmlformats.org/officeDocument/2006/relationships/hyperlink" Target="https://africanmarketingconfederation.org/amc-forum-payments/" TargetMode="External"/><Relationship Id="rId553" Type="http://schemas.openxmlformats.org/officeDocument/2006/relationships/hyperlink" Target="https://africanmarketingconfederation.org/thank-you-for-the-submission-2024/" TargetMode="External"/><Relationship Id="rId760" Type="http://schemas.openxmlformats.org/officeDocument/2006/relationships/hyperlink" Target="https://africanmarketingconfederation.org/amc-conference-2022-thank-you/" TargetMode="External"/><Relationship Id="rId192" Type="http://schemas.openxmlformats.org/officeDocument/2006/relationships/hyperlink" Target="https://africanmarketingconfederation.org/amc-marketing-conference-2024/awards-2025/" TargetMode="External"/><Relationship Id="rId206" Type="http://schemas.openxmlformats.org/officeDocument/2006/relationships/hyperlink" Target="https://africanmarketingconfederation.org/amc-conference-2025-highlights/" TargetMode="External"/><Relationship Id="rId413" Type="http://schemas.openxmlformats.org/officeDocument/2006/relationships/hyperlink" Target="https://africanmarketingconfederation.org/amc-sign-up-now-form-2025/" TargetMode="External"/><Relationship Id="rId497" Type="http://schemas.openxmlformats.org/officeDocument/2006/relationships/hyperlink" Target="https://africanmarketingconfederation.org/chartered-marketer-africa-programme-fee/" TargetMode="External"/><Relationship Id="rId620" Type="http://schemas.openxmlformats.org/officeDocument/2006/relationships/hyperlink" Target="https://africanmarketingconfederation.org/amc-conference-2023/amc-awards-book-now/" TargetMode="External"/><Relationship Id="rId718" Type="http://schemas.openxmlformats.org/officeDocument/2006/relationships/hyperlink" Target="https://africanmarketingconfederation.org/amc-masterclass-bookings/" TargetMode="External"/><Relationship Id="rId357" Type="http://schemas.openxmlformats.org/officeDocument/2006/relationships/hyperlink" Target="https://africanmarketingconfederation.org/amc-conference-2023/" TargetMode="External"/><Relationship Id="rId54" Type="http://schemas.openxmlformats.org/officeDocument/2006/relationships/hyperlink" Target="https://africanmarketingconfederation.org/certified-professional-marketer-africa/" TargetMode="External"/><Relationship Id="rId217" Type="http://schemas.openxmlformats.org/officeDocument/2006/relationships/hyperlink" Target="https://africanmarketingconfederation.org/amc-conference-2022/" TargetMode="External"/><Relationship Id="rId564" Type="http://schemas.openxmlformats.org/officeDocument/2006/relationships/hyperlink" Target="https://africanmarketingconfederation.org/amc-marketing-conference-2024/programme-2024/" TargetMode="External"/><Relationship Id="rId771" Type="http://schemas.openxmlformats.org/officeDocument/2006/relationships/hyperlink" Target="https://africanmarketingconfederation.org/speakers/" TargetMode="External"/><Relationship Id="rId424" Type="http://schemas.openxmlformats.org/officeDocument/2006/relationships/hyperlink" Target="https://africanmarketingconfederation.org/amc-conference-sponsors/" TargetMode="External"/><Relationship Id="rId631" Type="http://schemas.openxmlformats.org/officeDocument/2006/relationships/hyperlink" Target="https://africanmarketingconfederation.org/amc-conference-2023/book-now/" TargetMode="External"/><Relationship Id="rId729" Type="http://schemas.openxmlformats.org/officeDocument/2006/relationships/hyperlink" Target="https://africanmarketingconfederation.org/amc-conference-programme/" TargetMode="External"/><Relationship Id="rId270" Type="http://schemas.openxmlformats.org/officeDocument/2006/relationships/hyperlink" Target="https://africanmarketingconfederation.org/amc-conference-2025/" TargetMode="External"/><Relationship Id="rId65" Type="http://schemas.openxmlformats.org/officeDocument/2006/relationships/hyperlink" Target="https://africanmarketingconfederation.org/education/" TargetMode="External"/><Relationship Id="rId130" Type="http://schemas.openxmlformats.org/officeDocument/2006/relationships/hyperlink" Target="https://africanmarketingconfederation.org/about-us/" TargetMode="External"/><Relationship Id="rId368" Type="http://schemas.openxmlformats.org/officeDocument/2006/relationships/hyperlink" Target="https://africanmarketingconfederation.org/amc-awards-2024/" TargetMode="External"/><Relationship Id="rId575" Type="http://schemas.openxmlformats.org/officeDocument/2006/relationships/hyperlink" Target="https://africanmarketingconfederation.org/amc-conference-2023/amc-awards/" TargetMode="External"/><Relationship Id="rId782" Type="http://schemas.openxmlformats.org/officeDocument/2006/relationships/hyperlink" Target="https://africanmarketingconfederation.org/privacy-policy/" TargetMode="External"/><Relationship Id="rId228" Type="http://schemas.openxmlformats.org/officeDocument/2006/relationships/hyperlink" Target="https://africanmarketingconfederation.org/amc-conference-2023/gallery/" TargetMode="External"/><Relationship Id="rId435" Type="http://schemas.openxmlformats.org/officeDocument/2006/relationships/hyperlink" Target="https://africanmarketingconfederation.org/amc-marketing-conference-2024/speakers-2024/" TargetMode="External"/><Relationship Id="rId642" Type="http://schemas.openxmlformats.org/officeDocument/2006/relationships/hyperlink" Target="https://africanmarketingconfederation.org/amc-conference-2023/download-prospectus/" TargetMode="External"/><Relationship Id="rId281" Type="http://schemas.openxmlformats.org/officeDocument/2006/relationships/hyperlink" Target="https://africanmarketingconfederation.org/amc-conference-2022-prospectus/" TargetMode="External"/><Relationship Id="rId502"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wards-2026/" TargetMode="External"/><Relationship Id="rId141" Type="http://schemas.openxmlformats.org/officeDocument/2006/relationships/hyperlink" Target="https://africanmarketingconfederation.org/awards-2026-1/" TargetMode="External"/><Relationship Id="rId379" Type="http://schemas.openxmlformats.org/officeDocument/2006/relationships/hyperlink" Target="https://africanmarketingconfederation.org/amc-marketing-conference-2024/" TargetMode="External"/><Relationship Id="rId586" Type="http://schemas.openxmlformats.org/officeDocument/2006/relationships/hyperlink" Target="https://africanmarketingconfederation.org/amc-conference-2023/programme/" TargetMode="External"/><Relationship Id="rId7" Type="http://schemas.openxmlformats.org/officeDocument/2006/relationships/hyperlink" Target="https://africanmarketingconfederation.org/publications-2/" TargetMode="External"/><Relationship Id="rId239" Type="http://schemas.openxmlformats.org/officeDocument/2006/relationships/hyperlink" Target="https://africanmarketingconfederation.org/elementor-31820/" TargetMode="External"/><Relationship Id="rId446" Type="http://schemas.openxmlformats.org/officeDocument/2006/relationships/hyperlink" Target="https://africanmarketingconfederation.org/amc-marketing-conference-2024/speakers-2024/" TargetMode="External"/><Relationship Id="rId653" Type="http://schemas.openxmlformats.org/officeDocument/2006/relationships/hyperlink" Target="https://africanmarketingconfederation.org/amc-conference-2023/book-now-thank-you/" TargetMode="External"/><Relationship Id="rId292" Type="http://schemas.openxmlformats.org/officeDocument/2006/relationships/hyperlink" Target="https://africanmarketingconfederation.org/test-payment-gate/" TargetMode="External"/><Relationship Id="rId306" Type="http://schemas.openxmlformats.org/officeDocument/2006/relationships/hyperlink" Target="https://africanmarketingconfederation.org/checkout/" TargetMode="External"/><Relationship Id="rId87" Type="http://schemas.openxmlformats.org/officeDocument/2006/relationships/hyperlink" Target="https://africanmarketingconfederation.org/contact-us/" TargetMode="External"/><Relationship Id="rId513" Type="http://schemas.openxmlformats.org/officeDocument/2006/relationships/hyperlink" Target="https://africanmarketingconfederation.org/chartered-marketer-africa-final-submission-fee/" TargetMode="External"/><Relationship Id="rId597" Type="http://schemas.openxmlformats.org/officeDocument/2006/relationships/hyperlink" Target="https://africanmarketingconfederation.org/amc-conference-2023/speakers/" TargetMode="External"/><Relationship Id="rId720" Type="http://schemas.openxmlformats.org/officeDocument/2006/relationships/hyperlink" Target="https://africanmarketingconfederation.org/amc-masterclass-bookings/" TargetMode="External"/><Relationship Id="rId152" Type="http://schemas.openxmlformats.org/officeDocument/2006/relationships/hyperlink" Target="https://africanmarketingconfederation.org/awards-2026-test/" TargetMode="External"/><Relationship Id="rId457" Type="http://schemas.openxmlformats.org/officeDocument/2006/relationships/hyperlink" Target="https://africanmarketingconfederation.org/download-prospectus-2024/" TargetMode="External"/><Relationship Id="rId664" Type="http://schemas.openxmlformats.org/officeDocument/2006/relationships/hyperlink" Target="https://africanmarketingconfederation.org/upcoming-events/" TargetMode="External"/><Relationship Id="rId14" Type="http://schemas.openxmlformats.org/officeDocument/2006/relationships/hyperlink" Target="https://africanmarketingconfederation.org/" TargetMode="External"/><Relationship Id="rId317" Type="http://schemas.openxmlformats.org/officeDocument/2006/relationships/hyperlink" Target="https://africanmarketingconfederation.org/amc-marketing-conference-2024/amc-preregister-2025/" TargetMode="External"/><Relationship Id="rId524" Type="http://schemas.openxmlformats.org/officeDocument/2006/relationships/hyperlink" Target="https://africanmarketingconfederation.org/download-brochure/" TargetMode="External"/><Relationship Id="rId731" Type="http://schemas.openxmlformats.org/officeDocument/2006/relationships/hyperlink" Target="https://africanmarketingconfederation.org/virtual-programme/" TargetMode="External"/><Relationship Id="rId98" Type="http://schemas.openxmlformats.org/officeDocument/2006/relationships/hyperlink" Target="https://africanmarketingconfederation.org/news-articles/" TargetMode="External"/><Relationship Id="rId163" Type="http://schemas.openxmlformats.org/officeDocument/2006/relationships/hyperlink" Target="https://africanmarketingconfederation.org/amc-conference-2026-awards-nominations-thank-you/" TargetMode="External"/><Relationship Id="rId370" Type="http://schemas.openxmlformats.org/officeDocument/2006/relationships/hyperlink" Target="https://africanmarketingconfederation.org/amc-awards-2024/" TargetMode="External"/><Relationship Id="rId230" Type="http://schemas.openxmlformats.org/officeDocument/2006/relationships/hyperlink" Target="https://africanmarketingconfederation.org/conference-registrations-2024/" TargetMode="External"/><Relationship Id="rId468" Type="http://schemas.openxmlformats.org/officeDocument/2006/relationships/hyperlink" Target="https://africanmarketingconfederation.org/thank-you-for-registering-2024-registrations-kenya/" TargetMode="External"/><Relationship Id="rId675" Type="http://schemas.openxmlformats.org/officeDocument/2006/relationships/hyperlink" Target="https://africanmarketingconfederation.org/thank-you-for-subscribing/" TargetMode="External"/><Relationship Id="rId25" Type="http://schemas.openxmlformats.org/officeDocument/2006/relationships/hyperlink" Target="https://africanmarketingconfederation.org/publication-download-list/" TargetMode="External"/><Relationship Id="rId328" Type="http://schemas.openxmlformats.org/officeDocument/2006/relationships/hyperlink" Target="https://africanmarketingconfederation.org/amc-marketing-conference-2024/amc-conference-2025-ghana-sponsors/" TargetMode="External"/><Relationship Id="rId535" Type="http://schemas.openxmlformats.org/officeDocument/2006/relationships/hyperlink" Target="https://africanmarketingconfederation.org/amc-conference-2024-sponsors-packages/" TargetMode="External"/><Relationship Id="rId742" Type="http://schemas.openxmlformats.org/officeDocument/2006/relationships/hyperlink" Target="https://africanmarketingconfederation.org/test-homeslider/" TargetMode="External"/><Relationship Id="rId174" Type="http://schemas.openxmlformats.org/officeDocument/2006/relationships/hyperlink" Target="https://africanmarketingconfederation.org/amc-conference-2026-zambia-thank-you/" TargetMode="External"/><Relationship Id="rId381" Type="http://schemas.openxmlformats.org/officeDocument/2006/relationships/hyperlink" Target="https://africanmarketingconfederation.org/amc-marketing-conference-2024/" TargetMode="External"/><Relationship Id="rId602" Type="http://schemas.openxmlformats.org/officeDocument/2006/relationships/hyperlink" Target="https://africanmarketingconfederation.org/amc-conference-2023/speakers/" TargetMode="External"/><Relationship Id="rId241" Type="http://schemas.openxmlformats.org/officeDocument/2006/relationships/hyperlink" Target="https://africanmarketingconfederation.org/elementor-31820/" TargetMode="External"/><Relationship Id="rId479" Type="http://schemas.openxmlformats.org/officeDocument/2006/relationships/hyperlink" Target="https://africanmarketingconfederation.org/subscribe/" TargetMode="External"/><Relationship Id="rId686" Type="http://schemas.openxmlformats.org/officeDocument/2006/relationships/hyperlink" Target="https://africanmarketingconfederation.org/amc-relaunch-programme/" TargetMode="External"/><Relationship Id="rId36" Type="http://schemas.openxmlformats.org/officeDocument/2006/relationships/hyperlink" Target="https://africanmarketingconfederation.org/launch-event-2026-amc-conference/" TargetMode="External"/><Relationship Id="rId339" Type="http://schemas.openxmlformats.org/officeDocument/2006/relationships/hyperlink" Target="https://africanmarketingconfederation.org/amc-marketing-conference-2024/amc-launch-event-2025/" TargetMode="External"/><Relationship Id="rId546" Type="http://schemas.openxmlformats.org/officeDocument/2006/relationships/hyperlink" Target="https://africanmarketingconfederation.org/thank-you-for-the-submission-2024/" TargetMode="External"/><Relationship Id="rId753" Type="http://schemas.openxmlformats.org/officeDocument/2006/relationships/hyperlink" Target="https://africanmarketingconfederation.org/general-enquiry-form-thank-you/" TargetMode="External"/><Relationship Id="rId101" Type="http://schemas.openxmlformats.org/officeDocument/2006/relationships/hyperlink" Target="https://africanmarketingconfederation.org/african-marketing-confederation-tourism-chapter/" TargetMode="External"/><Relationship Id="rId185" Type="http://schemas.openxmlformats.org/officeDocument/2006/relationships/hyperlink" Target="https://africanmarketingconfederation.org/amc-launch-event-zambia-thank-you-2026/" TargetMode="External"/><Relationship Id="rId406" Type="http://schemas.openxmlformats.org/officeDocument/2006/relationships/hyperlink" Target="https://africanmarketingconfederation.org/amc-marketing-conference-2024/testimony-thank-you-page/" TargetMode="External"/><Relationship Id="rId392" Type="http://schemas.openxmlformats.org/officeDocument/2006/relationships/hyperlink" Target="https://africanmarketingconfederation.org/amc-marketing-conference-2024/amc-speakers-presentations-2024/" TargetMode="External"/><Relationship Id="rId613" Type="http://schemas.openxmlformats.org/officeDocument/2006/relationships/hyperlink" Target="https://africanmarketingconfederation.org/chartered-marketer-africa-thank-you/" TargetMode="External"/><Relationship Id="rId697" Type="http://schemas.openxmlformats.org/officeDocument/2006/relationships/hyperlink" Target="https://africanmarketingconfederation.org/amc-masterclass/" TargetMode="External"/><Relationship Id="rId252" Type="http://schemas.openxmlformats.org/officeDocument/2006/relationships/hyperlink" Target="https://africanmarketingconfederation.org/amc-conference-2024-recap/" TargetMode="External"/><Relationship Id="rId47" Type="http://schemas.openxmlformats.org/officeDocument/2006/relationships/hyperlink" Target="https://africanmarketingconfederation.org/amc-conference-2026/" TargetMode="External"/><Relationship Id="rId112" Type="http://schemas.openxmlformats.org/officeDocument/2006/relationships/hyperlink" Target="https://africanmarketingconfederation.org/members/" TargetMode="External"/><Relationship Id="rId557" Type="http://schemas.openxmlformats.org/officeDocument/2006/relationships/hyperlink" Target="https://africanmarketingconfederation.org/elementor-16548/" TargetMode="External"/><Relationship Id="rId764" Type="http://schemas.openxmlformats.org/officeDocument/2006/relationships/hyperlink" Target="https://africanmarketingconfederation.org/amc-conference-2022-thank-you/" TargetMode="External"/><Relationship Id="rId196" Type="http://schemas.openxmlformats.org/officeDocument/2006/relationships/hyperlink" Target="https://africanmarketingconfederation.org/amc-marketing-conference-2024/awards-2025/" TargetMode="External"/><Relationship Id="rId417" Type="http://schemas.openxmlformats.org/officeDocument/2006/relationships/hyperlink" Target="https://africanmarketingconfederation.org/amc-testimony-page-2024/" TargetMode="External"/><Relationship Id="rId624" Type="http://schemas.openxmlformats.org/officeDocument/2006/relationships/hyperlink" Target="https://africanmarketingconfederation.org/amc-conference-2023/amc-awards-book-now/" TargetMode="External"/><Relationship Id="rId263" Type="http://schemas.openxmlformats.org/officeDocument/2006/relationships/hyperlink" Target="https://africanmarketingconfederation.org/amc-marketing-conference-2024/amc-programme-2025/" TargetMode="External"/><Relationship Id="rId470" Type="http://schemas.openxmlformats.org/officeDocument/2006/relationships/hyperlink" Target="https://africanmarketingconfederation.org/thank-you-for-registering-2024-registrations-kenya/" TargetMode="External"/><Relationship Id="rId58" Type="http://schemas.openxmlformats.org/officeDocument/2006/relationships/hyperlink" Target="https://africanmarketingconfederation.org/chartered-marketer-africa/" TargetMode="External"/><Relationship Id="rId123" Type="http://schemas.openxmlformats.org/officeDocument/2006/relationships/hyperlink" Target="https://africanmarketingconfederation.org/sub-committees/" TargetMode="External"/><Relationship Id="rId330" Type="http://schemas.openxmlformats.org/officeDocument/2006/relationships/hyperlink" Target="https://africanmarketingconfederation.org/amc-marketing-conference-2024/amc-conference-2025-ghana-sponsors/" TargetMode="External"/><Relationship Id="rId568" Type="http://schemas.openxmlformats.org/officeDocument/2006/relationships/hyperlink" Target="https://africanmarketingconfederation.org/amc-marketing-conference-2024/programme-2024/" TargetMode="External"/><Relationship Id="rId775" Type="http://schemas.openxmlformats.org/officeDocument/2006/relationships/hyperlink" Target="https://africanmarketingconfederation.org/speakers/" TargetMode="External"/><Relationship Id="rId428" Type="http://schemas.openxmlformats.org/officeDocument/2006/relationships/hyperlink" Target="https://africanmarketingconfederation.org/amc-conference-sponsors/" TargetMode="External"/><Relationship Id="rId635" Type="http://schemas.openxmlformats.org/officeDocument/2006/relationships/hyperlink" Target="https://africanmarketingconfederation.org/amc-conference-2023/download-prospectus/" TargetMode="External"/><Relationship Id="rId274" Type="http://schemas.openxmlformats.org/officeDocument/2006/relationships/hyperlink" Target="https://africanmarketingconfederation.org/amc-sponsors-2025/" TargetMode="External"/><Relationship Id="rId481" Type="http://schemas.openxmlformats.org/officeDocument/2006/relationships/hyperlink" Target="https://africanmarketingconfederation.org/subscribe/" TargetMode="External"/><Relationship Id="rId702" Type="http://schemas.openxmlformats.org/officeDocument/2006/relationships/hyperlink" Target="https://africanmarketingconfederation.org/amc-masterclass-thank-you/" TargetMode="External"/><Relationship Id="rId69" Type="http://schemas.openxmlformats.org/officeDocument/2006/relationships/hyperlink" Target="https://africanmarketingconfederation.org/education/" TargetMode="External"/><Relationship Id="rId134" Type="http://schemas.openxmlformats.org/officeDocument/2006/relationships/hyperlink" Target="https://africanmarketingconfederation.org/about-us/" TargetMode="External"/><Relationship Id="rId579" Type="http://schemas.openxmlformats.org/officeDocument/2006/relationships/hyperlink" Target="https://africanmarketingconfederation.org/amc-conference-2023/amc-awards/" TargetMode="External"/><Relationship Id="rId786" Type="http://schemas.openxmlformats.org/officeDocument/2006/relationships/hyperlink" Target="https://africanmarketingconfederation.org/privacy-policy/" TargetMode="External"/><Relationship Id="rId341" Type="http://schemas.openxmlformats.org/officeDocument/2006/relationships/hyperlink" Target="https://africanmarketingconfederation.org/amc-marketing-conference-2024/amc-launch-event-2025/" TargetMode="External"/><Relationship Id="rId439" Type="http://schemas.openxmlformats.org/officeDocument/2006/relationships/hyperlink" Target="https://africanmarketingconfederation.org/amc-marketing-conference-2024/speakers-2024/" TargetMode="External"/><Relationship Id="rId646" Type="http://schemas.openxmlformats.org/officeDocument/2006/relationships/hyperlink" Target="https://africanmarketingconfederation.org/amc-conference-2023/book-now-thank-you/" TargetMode="External"/><Relationship Id="rId201" Type="http://schemas.openxmlformats.org/officeDocument/2006/relationships/hyperlink" Target="https://africanmarketingconfederation.org/amc-conference-2025-highlights/" TargetMode="External"/><Relationship Id="rId285" Type="http://schemas.openxmlformats.org/officeDocument/2006/relationships/hyperlink" Target="https://africanmarketingconfederation.org/amc-conference-2022-prospectus/" TargetMode="External"/><Relationship Id="rId506" Type="http://schemas.openxmlformats.org/officeDocument/2006/relationships/hyperlink" Target="https://africanmarketingconfederation.org/chartered-marketer-africa-final-submission-fee/" TargetMode="External"/><Relationship Id="rId492" Type="http://schemas.openxmlformats.org/officeDocument/2006/relationships/hyperlink" Target="https://africanmarketingconfederation.org/elementor-20341/" TargetMode="External"/><Relationship Id="rId713" Type="http://schemas.openxmlformats.org/officeDocument/2006/relationships/hyperlink" Target="https://africanmarketingconfederation.org/amc-masterclass-bookings/" TargetMode="External"/><Relationship Id="rId145" Type="http://schemas.openxmlformats.org/officeDocument/2006/relationships/hyperlink" Target="https://africanmarketingconfederation.org/awards-2026-test/" TargetMode="External"/><Relationship Id="rId352" Type="http://schemas.openxmlformats.org/officeDocument/2006/relationships/hyperlink" Target="https://africanmarketingconfederation.org/amc-forum-payments/" TargetMode="External"/><Relationship Id="rId212" Type="http://schemas.openxmlformats.org/officeDocument/2006/relationships/hyperlink" Target="https://africanmarketingconfederation.org/amc-conference-2022/" TargetMode="External"/><Relationship Id="rId657" Type="http://schemas.openxmlformats.org/officeDocument/2006/relationships/hyperlink" Target="https://africanmarketingconfederation.org/amc-conference-thank-you/" TargetMode="External"/><Relationship Id="rId296" Type="http://schemas.openxmlformats.org/officeDocument/2006/relationships/hyperlink" Target="https://africanmarketingconfederation.org/test-payment-gate/" TargetMode="External"/><Relationship Id="rId517" Type="http://schemas.openxmlformats.org/officeDocument/2006/relationships/hyperlink" Target="https://africanmarketingconfederation.org/download-brochure/" TargetMode="External"/><Relationship Id="rId724" Type="http://schemas.openxmlformats.org/officeDocument/2006/relationships/hyperlink" Target="https://africanmarketingconfederation.org/amc-conference-programme/" TargetMode="External"/><Relationship Id="rId60" Type="http://schemas.openxmlformats.org/officeDocument/2006/relationships/hyperlink" Target="https://africanmarketingconfederation.org/chartered-marketer-africa/" TargetMode="External"/><Relationship Id="rId156" Type="http://schemas.openxmlformats.org/officeDocument/2006/relationships/hyperlink" Target="https://africanmarketingconfederation.org/speakers-2025/" TargetMode="External"/><Relationship Id="rId363" Type="http://schemas.openxmlformats.org/officeDocument/2006/relationships/hyperlink" Target="https://africanmarketingconfederation.org/amc-awards-2024/" TargetMode="External"/><Relationship Id="rId570" Type="http://schemas.openxmlformats.org/officeDocument/2006/relationships/hyperlink" Target="https://africanmarketingconfederation.org/amc-marketing-conference-2024/programme-2024/" TargetMode="External"/><Relationship Id="rId223" Type="http://schemas.openxmlformats.org/officeDocument/2006/relationships/hyperlink" Target="https://africanmarketingconfederation.org/amc-conference-2023/gallery/" TargetMode="External"/><Relationship Id="rId430" Type="http://schemas.openxmlformats.org/officeDocument/2006/relationships/hyperlink" Target="https://africanmarketingconfederation.org/amc-conference-sponsors/" TargetMode="External"/><Relationship Id="rId668" Type="http://schemas.openxmlformats.org/officeDocument/2006/relationships/hyperlink" Target="https://africanmarketingconfederation.org/upcoming-events/" TargetMode="External"/><Relationship Id="rId18" Type="http://schemas.openxmlformats.org/officeDocument/2006/relationships/hyperlink" Target="https://africanmarketingconfederation.org/" TargetMode="External"/><Relationship Id="rId528" Type="http://schemas.openxmlformats.org/officeDocument/2006/relationships/hyperlink" Target="https://africanmarketingconfederation.org/thank-you-for-the-nomination-2024/" TargetMode="External"/><Relationship Id="rId735" Type="http://schemas.openxmlformats.org/officeDocument/2006/relationships/hyperlink" Target="https://africanmarketingconfederation.org/virtual-programme/" TargetMode="External"/><Relationship Id="rId167" Type="http://schemas.openxmlformats.org/officeDocument/2006/relationships/hyperlink" Target="https://africanmarketingconfederation.org/amc-conference-2026-awards-nominations-thank-you/" TargetMode="External"/><Relationship Id="rId374" Type="http://schemas.openxmlformats.org/officeDocument/2006/relationships/hyperlink" Target="https://africanmarketingconfederation.org/amc-forum-mombasa/" TargetMode="External"/><Relationship Id="rId581" Type="http://schemas.openxmlformats.org/officeDocument/2006/relationships/hyperlink" Target="https://africanmarketingconfederation.org/amc-conference-2023/programme/" TargetMode="External"/><Relationship Id="rId71" Type="http://schemas.openxmlformats.org/officeDocument/2006/relationships/hyperlink" Target="https://africanmarketingconfederation.org/education/" TargetMode="External"/><Relationship Id="rId234" Type="http://schemas.openxmlformats.org/officeDocument/2006/relationships/hyperlink" Target="https://africanmarketingconfederation.org/conference-registrations-2024/" TargetMode="External"/><Relationship Id="rId679" Type="http://schemas.openxmlformats.org/officeDocument/2006/relationships/hyperlink" Target="https://africanmarketingconfederation.org/thank-you-for-subscribing/" TargetMode="External"/><Relationship Id="rId2" Type="http://schemas.openxmlformats.org/officeDocument/2006/relationships/hyperlink" Target="https://africanmarketingconfederation.org/publications-2/" TargetMode="External"/><Relationship Id="rId29" Type="http://schemas.openxmlformats.org/officeDocument/2006/relationships/hyperlink" Target="https://africanmarketingconfederation.org/publication-download-list/" TargetMode="External"/><Relationship Id="rId441" Type="http://schemas.openxmlformats.org/officeDocument/2006/relationships/hyperlink" Target="https://africanmarketingconfederation.org/amc-marketing-conference-2024/speakers-2024/" TargetMode="External"/><Relationship Id="rId539" Type="http://schemas.openxmlformats.org/officeDocument/2006/relationships/hyperlink" Target="https://africanmarketingconfederation.org/amc-conference-2024-sponsors-packages/" TargetMode="External"/><Relationship Id="rId746" Type="http://schemas.openxmlformats.org/officeDocument/2006/relationships/hyperlink" Target="https://africanmarketingconfederation.org/test-homeslider/" TargetMode="External"/><Relationship Id="rId178" Type="http://schemas.openxmlformats.org/officeDocument/2006/relationships/hyperlink" Target="https://africanmarketingconfederation.org/amc-conference-2026-zambia-thank-you/" TargetMode="External"/><Relationship Id="rId301" Type="http://schemas.openxmlformats.org/officeDocument/2006/relationships/hyperlink" Target="https://africanmarketingconfederation.org/checkout/" TargetMode="External"/><Relationship Id="rId82" Type="http://schemas.openxmlformats.org/officeDocument/2006/relationships/hyperlink" Target="https://africanmarketingconfederation.org/awards-2026/" TargetMode="External"/><Relationship Id="rId385" Type="http://schemas.openxmlformats.org/officeDocument/2006/relationships/hyperlink" Target="https://africanmarketingconfederation.org/amc-marketing-conference-2024/" TargetMode="External"/><Relationship Id="rId592" Type="http://schemas.openxmlformats.org/officeDocument/2006/relationships/hyperlink" Target="https://africanmarketingconfederation.org/amc-conference-2023/partners/" TargetMode="External"/><Relationship Id="rId606" Type="http://schemas.openxmlformats.org/officeDocument/2006/relationships/hyperlink" Target="https://africanmarketingconfederation.org/chartered-marketer-africa-thank-you/" TargetMode="External"/><Relationship Id="rId245" Type="http://schemas.openxmlformats.org/officeDocument/2006/relationships/hyperlink" Target="https://africanmarketingconfederation.org/amc-conference-2024-recap/" TargetMode="External"/><Relationship Id="rId452" Type="http://schemas.openxmlformats.org/officeDocument/2006/relationships/hyperlink" Target="https://africanmarketingconfederation.org/thank-you-for-registering-2024-registrations/" TargetMode="External"/><Relationship Id="rId105" Type="http://schemas.openxmlformats.org/officeDocument/2006/relationships/hyperlink" Target="https://africanmarketingconfederation.org/african-marketing-confederation-tourism-chapter/" TargetMode="External"/><Relationship Id="rId312" Type="http://schemas.openxmlformats.org/officeDocument/2006/relationships/hyperlink" Target="https://africanmarketingconfederation.org/amc-marketing-conference-2024/amc-preregister-2025/" TargetMode="External"/><Relationship Id="rId757" Type="http://schemas.openxmlformats.org/officeDocument/2006/relationships/hyperlink" Target="https://africanmarketingconfederation.org/general-enquiry-form-thank-you/" TargetMode="External"/><Relationship Id="rId93" Type="http://schemas.openxmlformats.org/officeDocument/2006/relationships/hyperlink" Target="https://africanmarketingconfederation.org/news-articles/" TargetMode="External"/><Relationship Id="rId189" Type="http://schemas.openxmlformats.org/officeDocument/2006/relationships/hyperlink" Target="https://africanmarketingconfederation.org/amc-launch-event-zambia-thank-you-2026/" TargetMode="External"/><Relationship Id="rId396" Type="http://schemas.openxmlformats.org/officeDocument/2006/relationships/hyperlink" Target="https://africanmarketingconfederation.org/amc-marketing-conference-2024/amc-speakers-presentations-2024/" TargetMode="External"/><Relationship Id="rId617" Type="http://schemas.openxmlformats.org/officeDocument/2006/relationships/hyperlink" Target="https://africanmarketingconfederation.org/amc-conference-2023/amc-awards-book-now/" TargetMode="External"/><Relationship Id="rId256" Type="http://schemas.openxmlformats.org/officeDocument/2006/relationships/hyperlink" Target="https://africanmarketingconfederation.org/amc-marketing-conference-2024/amc-programme-2025/" TargetMode="External"/><Relationship Id="rId463" Type="http://schemas.openxmlformats.org/officeDocument/2006/relationships/hyperlink" Target="https://africanmarketingconfederation.org/download-prospectus-2024/" TargetMode="External"/><Relationship Id="rId670" Type="http://schemas.openxmlformats.org/officeDocument/2006/relationships/hyperlink" Target="https://africanmarketingconfederation.org/upcoming-events/" TargetMode="External"/><Relationship Id="rId116" Type="http://schemas.openxmlformats.org/officeDocument/2006/relationships/hyperlink" Target="https://africanmarketingconfederation.org/members/" TargetMode="External"/><Relationship Id="rId323" Type="http://schemas.openxmlformats.org/officeDocument/2006/relationships/hyperlink" Target="https://africanmarketingconfederation.org/conference-faq-2025/" TargetMode="External"/><Relationship Id="rId530" Type="http://schemas.openxmlformats.org/officeDocument/2006/relationships/hyperlink" Target="https://africanmarketingconfederation.org/thank-you-for-the-nomination-2024/" TargetMode="External"/><Relationship Id="rId768" Type="http://schemas.openxmlformats.org/officeDocument/2006/relationships/hyperlink" Target="https://africanmarketingconfederation.org/amc-conference-2022-thank-you/" TargetMode="External"/><Relationship Id="rId20" Type="http://schemas.openxmlformats.org/officeDocument/2006/relationships/hyperlink" Target="https://africanmarketingconfederation.org/publication-download-list/" TargetMode="External"/><Relationship Id="rId628" Type="http://schemas.openxmlformats.org/officeDocument/2006/relationships/hyperlink" Target="https://africanmarketingconfederation.org/amc-conference-2023/book-now/" TargetMode="External"/><Relationship Id="rId267" Type="http://schemas.openxmlformats.org/officeDocument/2006/relationships/hyperlink" Target="https://africanmarketingconfederation.org/amc-conference-2025/" TargetMode="External"/><Relationship Id="rId474" Type="http://schemas.openxmlformats.org/officeDocument/2006/relationships/hyperlink" Target="https://africanmarketingconfederation.org/thank-you-for-registering-2024-registrations-kenya/" TargetMode="External"/><Relationship Id="rId127" Type="http://schemas.openxmlformats.org/officeDocument/2006/relationships/hyperlink" Target="https://africanmarketingconfederation.org/about-us/" TargetMode="External"/><Relationship Id="rId681" Type="http://schemas.openxmlformats.org/officeDocument/2006/relationships/hyperlink" Target="https://africanmarketingconfederation.org/thank-you-for-subscribing/" TargetMode="External"/><Relationship Id="rId779" Type="http://schemas.openxmlformats.org/officeDocument/2006/relationships/hyperlink" Target="https://africanmarketingconfederation.org/privacy-policy/" TargetMode="External"/><Relationship Id="rId31" Type="http://schemas.openxmlformats.org/officeDocument/2006/relationships/hyperlink" Target="https://africanmarketingconfederation.org/launch-event-2026-amc-conference/" TargetMode="External"/><Relationship Id="rId334" Type="http://schemas.openxmlformats.org/officeDocument/2006/relationships/hyperlink" Target="https://africanmarketingconfederation.org/amc-marketing-conference-2024/amc-conference-2025-ghana-sponsors/" TargetMode="External"/><Relationship Id="rId541" Type="http://schemas.openxmlformats.org/officeDocument/2006/relationships/hyperlink" Target="https://africanmarketingconfederation.org/amc-conference-2024-sponsors-packages/" TargetMode="External"/><Relationship Id="rId639" Type="http://schemas.openxmlformats.org/officeDocument/2006/relationships/hyperlink" Target="https://africanmarketingconfederation.org/amc-conference-2023/download-prospectus/" TargetMode="External"/><Relationship Id="rId180" Type="http://schemas.openxmlformats.org/officeDocument/2006/relationships/hyperlink" Target="https://africanmarketingconfederation.org/amc-conference-2026-zambia-thank-you/" TargetMode="External"/><Relationship Id="rId278" Type="http://schemas.openxmlformats.org/officeDocument/2006/relationships/hyperlink" Target="https://africanmarketingconfederation.org/amc-sponsors-2025/" TargetMode="External"/><Relationship Id="rId401" Type="http://schemas.openxmlformats.org/officeDocument/2006/relationships/hyperlink" Target="https://africanmarketingconfederation.org/amc-marketing-conference-2024/testimony-thank-you-page/" TargetMode="External"/><Relationship Id="rId485" Type="http://schemas.openxmlformats.org/officeDocument/2006/relationships/hyperlink" Target="https://africanmarketingconfederation.org/subscribe/" TargetMode="External"/><Relationship Id="rId692" Type="http://schemas.openxmlformats.org/officeDocument/2006/relationships/hyperlink" Target="https://africanmarketingconfederation.org/amc-masterclass/" TargetMode="External"/><Relationship Id="rId706" Type="http://schemas.openxmlformats.org/officeDocument/2006/relationships/hyperlink" Target="https://africanmarketingconfederation.org/amc-masterclass-thank-you/" TargetMode="External"/><Relationship Id="rId42" Type="http://schemas.openxmlformats.org/officeDocument/2006/relationships/hyperlink" Target="https://africanmarketingconfederation.org/amc-conference-2026/" TargetMode="External"/><Relationship Id="rId138" Type="http://schemas.openxmlformats.org/officeDocument/2006/relationships/hyperlink" Target="https://africanmarketingconfederation.org/awards-2026-1/" TargetMode="External"/><Relationship Id="rId345" Type="http://schemas.openxmlformats.org/officeDocument/2006/relationships/hyperlink" Target="https://africanmarketingconfederation.org/amc-forum-payments/" TargetMode="External"/><Relationship Id="rId552" Type="http://schemas.openxmlformats.org/officeDocument/2006/relationships/hyperlink" Target="https://africanmarketingconfederation.org/thank-you-for-the-submission-2024/" TargetMode="External"/><Relationship Id="rId191" Type="http://schemas.openxmlformats.org/officeDocument/2006/relationships/hyperlink" Target="https://africanmarketingconfederation.org/amc-launch-event-zambia-thank-you-2026/" TargetMode="External"/><Relationship Id="rId205" Type="http://schemas.openxmlformats.org/officeDocument/2006/relationships/hyperlink" Target="https://africanmarketingconfederation.org/amc-conference-2025-highlights/" TargetMode="External"/><Relationship Id="rId412" Type="http://schemas.openxmlformats.org/officeDocument/2006/relationships/hyperlink" Target="https://africanmarketingconfederation.org/amc-sign-up-now-form-2025/" TargetMode="External"/><Relationship Id="rId289" Type="http://schemas.openxmlformats.org/officeDocument/2006/relationships/hyperlink" Target="https://africanmarketingconfederation.org/amc-conference-2022-prospectus/" TargetMode="External"/><Relationship Id="rId496" Type="http://schemas.openxmlformats.org/officeDocument/2006/relationships/hyperlink" Target="https://africanmarketingconfederation.org/elementor-20341/" TargetMode="External"/><Relationship Id="rId717" Type="http://schemas.openxmlformats.org/officeDocument/2006/relationships/hyperlink" Target="https://africanmarketingconfederation.org/amc-masterclass-bookings/" TargetMode="External"/><Relationship Id="rId53" Type="http://schemas.openxmlformats.org/officeDocument/2006/relationships/hyperlink" Target="https://africanmarketingconfederation.org/certified-professional-marketer-africa/" TargetMode="External"/><Relationship Id="rId149" Type="http://schemas.openxmlformats.org/officeDocument/2006/relationships/hyperlink" Target="https://africanmarketingconfederation.org/awards-2026-test/" TargetMode="External"/><Relationship Id="rId356" Type="http://schemas.openxmlformats.org/officeDocument/2006/relationships/hyperlink" Target="https://africanmarketingconfederation.org/amc-conference-2023/" TargetMode="External"/><Relationship Id="rId563" Type="http://schemas.openxmlformats.org/officeDocument/2006/relationships/hyperlink" Target="https://africanmarketingconfederation.org/elementor-16548/" TargetMode="External"/><Relationship Id="rId770" Type="http://schemas.openxmlformats.org/officeDocument/2006/relationships/hyperlink" Target="https://africanmarketingconfederation.org/speakers/" TargetMode="External"/><Relationship Id="rId95" Type="http://schemas.openxmlformats.org/officeDocument/2006/relationships/hyperlink" Target="https://africanmarketingconfederation.org/news-articles/" TargetMode="External"/><Relationship Id="rId160" Type="http://schemas.openxmlformats.org/officeDocument/2006/relationships/hyperlink" Target="https://africanmarketingconfederation.org/speakers-2025/" TargetMode="External"/><Relationship Id="rId216" Type="http://schemas.openxmlformats.org/officeDocument/2006/relationships/hyperlink" Target="https://africanmarketingconfederation.org/amc-conference-2022/" TargetMode="External"/><Relationship Id="rId423" Type="http://schemas.openxmlformats.org/officeDocument/2006/relationships/hyperlink" Target="https://africanmarketingconfederation.org/amc-conference-sponsors/" TargetMode="External"/><Relationship Id="rId258" Type="http://schemas.openxmlformats.org/officeDocument/2006/relationships/hyperlink" Target="https://africanmarketingconfederation.org/amc-marketing-conference-2024/amc-programme-2025/" TargetMode="External"/><Relationship Id="rId465" Type="http://schemas.openxmlformats.org/officeDocument/2006/relationships/hyperlink" Target="https://africanmarketingconfederation.org/download-prospectus-2024/" TargetMode="External"/><Relationship Id="rId630" Type="http://schemas.openxmlformats.org/officeDocument/2006/relationships/hyperlink" Target="https://africanmarketingconfederation.org/amc-conference-2023/book-now/" TargetMode="External"/><Relationship Id="rId672" Type="http://schemas.openxmlformats.org/officeDocument/2006/relationships/hyperlink" Target="https://africanmarketingconfederation.org/thank-you-for-subscribing/" TargetMode="External"/><Relationship Id="rId728" Type="http://schemas.openxmlformats.org/officeDocument/2006/relationships/hyperlink" Target="https://africanmarketingconfederation.org/amc-conference-programme/" TargetMode="External"/><Relationship Id="rId22" Type="http://schemas.openxmlformats.org/officeDocument/2006/relationships/hyperlink" Target="https://africanmarketingconfederation.org/publication-download-list/" TargetMode="External"/><Relationship Id="rId64" Type="http://schemas.openxmlformats.org/officeDocument/2006/relationships/hyperlink" Target="https://africanmarketingconfederation.org/chartered-marketer-africa/" TargetMode="External"/><Relationship Id="rId118" Type="http://schemas.openxmlformats.org/officeDocument/2006/relationships/hyperlink" Target="https://africanmarketingconfederation.org/sub-committees/" TargetMode="External"/><Relationship Id="rId325" Type="http://schemas.openxmlformats.org/officeDocument/2006/relationships/hyperlink" Target="https://africanmarketingconfederation.org/conference-faq-2025/" TargetMode="External"/><Relationship Id="rId367" Type="http://schemas.openxmlformats.org/officeDocument/2006/relationships/hyperlink" Target="https://africanmarketingconfederation.org/amc-awards-2024/" TargetMode="External"/><Relationship Id="rId532" Type="http://schemas.openxmlformats.org/officeDocument/2006/relationships/hyperlink" Target="https://africanmarketingconfederation.org/thank-you-for-the-nomination-2024/" TargetMode="External"/><Relationship Id="rId574" Type="http://schemas.openxmlformats.org/officeDocument/2006/relationships/hyperlink" Target="https://africanmarketingconfederation.org/amc-conference-2023/amc-awards/" TargetMode="External"/><Relationship Id="rId171" Type="http://schemas.openxmlformats.org/officeDocument/2006/relationships/hyperlink" Target="https://africanmarketingconfederation.org/amc-conference-2026-awards-nominations-thank-you/" TargetMode="External"/><Relationship Id="rId227" Type="http://schemas.openxmlformats.org/officeDocument/2006/relationships/hyperlink" Target="https://africanmarketingconfederation.org/amc-conference-2023/gallery/" TargetMode="External"/><Relationship Id="rId781" Type="http://schemas.openxmlformats.org/officeDocument/2006/relationships/hyperlink" Target="https://africanmarketingconfederation.org/privacy-policy/" TargetMode="External"/><Relationship Id="rId269" Type="http://schemas.openxmlformats.org/officeDocument/2006/relationships/hyperlink" Target="https://africanmarketingconfederation.org/amc-conference-2025/" TargetMode="External"/><Relationship Id="rId434" Type="http://schemas.openxmlformats.org/officeDocument/2006/relationships/hyperlink" Target="https://africanmarketingconfederation.org/amc-conference-sponsors/" TargetMode="External"/><Relationship Id="rId476" Type="http://schemas.openxmlformats.org/officeDocument/2006/relationships/hyperlink" Target="https://africanmarketingconfederation.org/thank-you-for-registering-2024-registrations-kenya/" TargetMode="External"/><Relationship Id="rId641" Type="http://schemas.openxmlformats.org/officeDocument/2006/relationships/hyperlink" Target="https://africanmarketingconfederation.org/amc-conference-2023/download-prospectus/" TargetMode="External"/><Relationship Id="rId683" Type="http://schemas.openxmlformats.org/officeDocument/2006/relationships/hyperlink" Target="https://africanmarketingconfederation.org/amc-relaunch-programme/" TargetMode="External"/><Relationship Id="rId739" Type="http://schemas.openxmlformats.org/officeDocument/2006/relationships/hyperlink" Target="https://africanmarketingconfederation.org/virtual-programme/" TargetMode="External"/><Relationship Id="rId33" Type="http://schemas.openxmlformats.org/officeDocument/2006/relationships/hyperlink" Target="https://africanmarketingconfederation.org/launch-event-2026-amc-conference/" TargetMode="External"/><Relationship Id="rId129" Type="http://schemas.openxmlformats.org/officeDocument/2006/relationships/hyperlink" Target="https://africanmarketingconfederation.org/about-us/" TargetMode="External"/><Relationship Id="rId280" Type="http://schemas.openxmlformats.org/officeDocument/2006/relationships/hyperlink" Target="https://africanmarketingconfederation.org/amc-sponsors-2025/" TargetMode="External"/><Relationship Id="rId336" Type="http://schemas.openxmlformats.org/officeDocument/2006/relationships/hyperlink" Target="https://africanmarketingconfederation.org/amc-marketing-conference-2024/amc-launch-event-2025/" TargetMode="External"/><Relationship Id="rId501" Type="http://schemas.openxmlformats.org/officeDocument/2006/relationships/hyperlink" Target="https://africanmarketingconfederation.org/chartered-marketer-africa-programme-fee/" TargetMode="External"/><Relationship Id="rId543" Type="http://schemas.openxmlformats.org/officeDocument/2006/relationships/hyperlink" Target="https://africanmarketingconfederation.org/amc-conference-2024-sponsors-packages/" TargetMode="External"/><Relationship Id="rId75" Type="http://schemas.openxmlformats.org/officeDocument/2006/relationships/hyperlink" Target="https://africanmarketingconfederation.org/awards-2026/" TargetMode="External"/><Relationship Id="rId140" Type="http://schemas.openxmlformats.org/officeDocument/2006/relationships/hyperlink" Target="https://africanmarketingconfederation.org/awards-2026-1/" TargetMode="External"/><Relationship Id="rId182" Type="http://schemas.openxmlformats.org/officeDocument/2006/relationships/hyperlink" Target="https://africanmarketingconfederation.org/amc-launch-event-zambia-thank-you-2026/" TargetMode="External"/><Relationship Id="rId378" Type="http://schemas.openxmlformats.org/officeDocument/2006/relationships/hyperlink" Target="https://africanmarketingconfederation.org/amc-forum-mombasa/" TargetMode="External"/><Relationship Id="rId403" Type="http://schemas.openxmlformats.org/officeDocument/2006/relationships/hyperlink" Target="https://africanmarketingconfederation.org/amc-marketing-conference-2024/testimony-thank-you-page/" TargetMode="External"/><Relationship Id="rId585" Type="http://schemas.openxmlformats.org/officeDocument/2006/relationships/hyperlink" Target="https://africanmarketingconfederation.org/amc-conference-2023/programme/" TargetMode="External"/><Relationship Id="rId750" Type="http://schemas.openxmlformats.org/officeDocument/2006/relationships/hyperlink" Target="https://africanmarketingconfederation.org/general-enquiry-form-thank-you/" TargetMode="External"/><Relationship Id="rId6" Type="http://schemas.openxmlformats.org/officeDocument/2006/relationships/hyperlink" Target="https://africanmarketingconfederation.org/publications-2/" TargetMode="External"/><Relationship Id="rId238" Type="http://schemas.openxmlformats.org/officeDocument/2006/relationships/hyperlink" Target="https://africanmarketingconfederation.org/elementor-31820/" TargetMode="External"/><Relationship Id="rId445" Type="http://schemas.openxmlformats.org/officeDocument/2006/relationships/hyperlink" Target="https://africanmarketingconfederation.org/amc-marketing-conference-2024/speakers-2024/" TargetMode="External"/><Relationship Id="rId487" Type="http://schemas.openxmlformats.org/officeDocument/2006/relationships/hyperlink" Target="https://africanmarketingconfederation.org/elementor-20341/" TargetMode="External"/><Relationship Id="rId610" Type="http://schemas.openxmlformats.org/officeDocument/2006/relationships/hyperlink" Target="https://africanmarketingconfederation.org/chartered-marketer-africa-thank-you/" TargetMode="External"/><Relationship Id="rId652" Type="http://schemas.openxmlformats.org/officeDocument/2006/relationships/hyperlink" Target="https://africanmarketingconfederation.org/amc-conference-2023/book-now-thank-you/" TargetMode="External"/><Relationship Id="rId694" Type="http://schemas.openxmlformats.org/officeDocument/2006/relationships/hyperlink" Target="https://africanmarketingconfederation.org/amc-masterclass/" TargetMode="External"/><Relationship Id="rId708" Type="http://schemas.openxmlformats.org/officeDocument/2006/relationships/hyperlink" Target="https://africanmarketingconfederation.org/amc-masterclass-thank-you/" TargetMode="External"/><Relationship Id="rId291" Type="http://schemas.openxmlformats.org/officeDocument/2006/relationships/hyperlink" Target="https://africanmarketingconfederation.org/test-payment-gate/" TargetMode="External"/><Relationship Id="rId305" Type="http://schemas.openxmlformats.org/officeDocument/2006/relationships/hyperlink" Target="https://africanmarketingconfederation.org/checkout/" TargetMode="External"/><Relationship Id="rId347" Type="http://schemas.openxmlformats.org/officeDocument/2006/relationships/hyperlink" Target="https://africanmarketingconfederation.org/amc-forum-payments/" TargetMode="External"/><Relationship Id="rId512" Type="http://schemas.openxmlformats.org/officeDocument/2006/relationships/hyperlink" Target="https://africanmarketingconfederation.org/chartered-marketer-africa-final-submission-fee/" TargetMode="External"/><Relationship Id="rId44" Type="http://schemas.openxmlformats.org/officeDocument/2006/relationships/hyperlink" Target="https://africanmarketingconfederation.org/amc-conference-2026/" TargetMode="External"/><Relationship Id="rId86" Type="http://schemas.openxmlformats.org/officeDocument/2006/relationships/hyperlink" Target="https://africanmarketingconfederation.org/contact-us/" TargetMode="External"/><Relationship Id="rId151" Type="http://schemas.openxmlformats.org/officeDocument/2006/relationships/hyperlink" Target="https://africanmarketingconfederation.org/awards-2026-test/" TargetMode="External"/><Relationship Id="rId389" Type="http://schemas.openxmlformats.org/officeDocument/2006/relationships/hyperlink" Target="https://africanmarketingconfederation.org/amc-marketing-conference-2024/amc-speakers-presentations-2024/" TargetMode="External"/><Relationship Id="rId554" Type="http://schemas.openxmlformats.org/officeDocument/2006/relationships/hyperlink" Target="https://africanmarketingconfederation.org/elementor-16548/" TargetMode="External"/><Relationship Id="rId596" Type="http://schemas.openxmlformats.org/officeDocument/2006/relationships/hyperlink" Target="https://africanmarketingconfederation.org/amc-conference-2023/partners/" TargetMode="External"/><Relationship Id="rId761" Type="http://schemas.openxmlformats.org/officeDocument/2006/relationships/hyperlink" Target="https://africanmarketingconfederation.org/amc-conference-2022-thank-you/" TargetMode="External"/><Relationship Id="rId193" Type="http://schemas.openxmlformats.org/officeDocument/2006/relationships/hyperlink" Target="https://africanmarketingconfederation.org/amc-marketing-conference-2024/awards-2025/" TargetMode="External"/><Relationship Id="rId207" Type="http://schemas.openxmlformats.org/officeDocument/2006/relationships/hyperlink" Target="https://africanmarketingconfederation.org/amc-conference-2025-highlights/" TargetMode="External"/><Relationship Id="rId249" Type="http://schemas.openxmlformats.org/officeDocument/2006/relationships/hyperlink" Target="https://africanmarketingconfederation.org/amc-conference-2024-recap/" TargetMode="External"/><Relationship Id="rId414" Type="http://schemas.openxmlformats.org/officeDocument/2006/relationships/hyperlink" Target="https://africanmarketingconfederation.org/amc-sign-up-now-form-2025/" TargetMode="External"/><Relationship Id="rId456" Type="http://schemas.openxmlformats.org/officeDocument/2006/relationships/hyperlink" Target="https://africanmarketingconfederation.org/thank-you-for-registering-2024-registrations/" TargetMode="External"/><Relationship Id="rId498" Type="http://schemas.openxmlformats.org/officeDocument/2006/relationships/hyperlink" Target="https://africanmarketingconfederation.org/chartered-marketer-africa-programme-fee/" TargetMode="External"/><Relationship Id="rId621" Type="http://schemas.openxmlformats.org/officeDocument/2006/relationships/hyperlink" Target="https://africanmarketingconfederation.org/amc-conference-2023/amc-awards-book-now/" TargetMode="External"/><Relationship Id="rId663" Type="http://schemas.openxmlformats.org/officeDocument/2006/relationships/hyperlink" Target="https://africanmarketingconfederation.org/upcoming-events/" TargetMode="External"/><Relationship Id="rId13" Type="http://schemas.openxmlformats.org/officeDocument/2006/relationships/hyperlink" Target="https://africanmarketingconfederation.org/" TargetMode="External"/><Relationship Id="rId109" Type="http://schemas.openxmlformats.org/officeDocument/2006/relationships/hyperlink" Target="https://africanmarketingconfederation.org/african-marketing-confederation-tourism-chapter/" TargetMode="External"/><Relationship Id="rId260" Type="http://schemas.openxmlformats.org/officeDocument/2006/relationships/hyperlink" Target="https://africanmarketingconfederation.org/amc-marketing-conference-2024/amc-programme-2025/" TargetMode="External"/><Relationship Id="rId316" Type="http://schemas.openxmlformats.org/officeDocument/2006/relationships/hyperlink" Target="https://africanmarketingconfederation.org/amc-marketing-conference-2024/amc-preregister-2025/" TargetMode="External"/><Relationship Id="rId523" Type="http://schemas.openxmlformats.org/officeDocument/2006/relationships/hyperlink" Target="https://africanmarketingconfederation.org/download-brochure/" TargetMode="External"/><Relationship Id="rId719" Type="http://schemas.openxmlformats.org/officeDocument/2006/relationships/hyperlink" Target="https://africanmarketingconfederation.org/amc-masterclass-bookings/" TargetMode="External"/><Relationship Id="rId55" Type="http://schemas.openxmlformats.org/officeDocument/2006/relationships/hyperlink" Target="https://africanmarketingconfederation.org/certified-professional-marketer-africa/" TargetMode="External"/><Relationship Id="rId97" Type="http://schemas.openxmlformats.org/officeDocument/2006/relationships/hyperlink" Target="https://africanmarketingconfederation.org/news-articles/" TargetMode="External"/><Relationship Id="rId120" Type="http://schemas.openxmlformats.org/officeDocument/2006/relationships/hyperlink" Target="https://africanmarketingconfederation.org/sub-committees/" TargetMode="External"/><Relationship Id="rId358" Type="http://schemas.openxmlformats.org/officeDocument/2006/relationships/hyperlink" Target="https://africanmarketingconfederation.org/amc-conference-2023/" TargetMode="External"/><Relationship Id="rId565" Type="http://schemas.openxmlformats.org/officeDocument/2006/relationships/hyperlink" Target="https://africanmarketingconfederation.org/amc-marketing-conference-2024/programme-2024/" TargetMode="External"/><Relationship Id="rId730" Type="http://schemas.openxmlformats.org/officeDocument/2006/relationships/hyperlink" Target="https://africanmarketingconfederation.org/amc-conference-programme/" TargetMode="External"/><Relationship Id="rId772" Type="http://schemas.openxmlformats.org/officeDocument/2006/relationships/hyperlink" Target="https://africanmarketingconfederation.org/speakers/" TargetMode="External"/><Relationship Id="rId162" Type="http://schemas.openxmlformats.org/officeDocument/2006/relationships/hyperlink" Target="https://africanmarketingconfederation.org/amc-conference-2026-awards-nominations-thank-you/" TargetMode="External"/><Relationship Id="rId218" Type="http://schemas.openxmlformats.org/officeDocument/2006/relationships/hyperlink" Target="https://africanmarketingconfederation.org/amc-conference-2022/" TargetMode="External"/><Relationship Id="rId425" Type="http://schemas.openxmlformats.org/officeDocument/2006/relationships/hyperlink" Target="https://africanmarketingconfederation.org/amc-conference-sponsors/" TargetMode="External"/><Relationship Id="rId467" Type="http://schemas.openxmlformats.org/officeDocument/2006/relationships/hyperlink" Target="https://africanmarketingconfederation.org/thank-you-for-registering-2024-registrations-kenya/" TargetMode="External"/><Relationship Id="rId632" Type="http://schemas.openxmlformats.org/officeDocument/2006/relationships/hyperlink" Target="https://africanmarketingconfederation.org/amc-conference-2023/book-now/" TargetMode="External"/><Relationship Id="rId271" Type="http://schemas.openxmlformats.org/officeDocument/2006/relationships/hyperlink" Target="https://africanmarketingconfederation.org/amc-conference-2025/" TargetMode="External"/><Relationship Id="rId674" Type="http://schemas.openxmlformats.org/officeDocument/2006/relationships/hyperlink" Target="https://africanmarketingconfederation.org/thank-you-for-subscribing/" TargetMode="External"/><Relationship Id="rId24" Type="http://schemas.openxmlformats.org/officeDocument/2006/relationships/hyperlink" Target="https://africanmarketingconfederation.org/publication-download-list/" TargetMode="External"/><Relationship Id="rId66" Type="http://schemas.openxmlformats.org/officeDocument/2006/relationships/hyperlink" Target="https://africanmarketingconfederation.org/education/" TargetMode="External"/><Relationship Id="rId131" Type="http://schemas.openxmlformats.org/officeDocument/2006/relationships/hyperlink" Target="https://africanmarketingconfederation.org/about-us/" TargetMode="External"/><Relationship Id="rId327" Type="http://schemas.openxmlformats.org/officeDocument/2006/relationships/hyperlink" Target="https://africanmarketingconfederation.org/amc-marketing-conference-2024/amc-conference-2025-ghana-sponsors/" TargetMode="External"/><Relationship Id="rId369" Type="http://schemas.openxmlformats.org/officeDocument/2006/relationships/hyperlink" Target="https://africanmarketingconfederation.org/amc-awards-2024/" TargetMode="External"/><Relationship Id="rId534" Type="http://schemas.openxmlformats.org/officeDocument/2006/relationships/hyperlink" Target="https://africanmarketingconfederation.org/thank-you-for-the-nomination-2024/" TargetMode="External"/><Relationship Id="rId576" Type="http://schemas.openxmlformats.org/officeDocument/2006/relationships/hyperlink" Target="https://africanmarketingconfederation.org/amc-conference-2023/amc-awards/" TargetMode="External"/><Relationship Id="rId741" Type="http://schemas.openxmlformats.org/officeDocument/2006/relationships/hyperlink" Target="https://africanmarketingconfederation.org/test-homeslider/" TargetMode="External"/><Relationship Id="rId783" Type="http://schemas.openxmlformats.org/officeDocument/2006/relationships/hyperlink" Target="https://africanmarketingconfederation.org/privacy-policy/" TargetMode="External"/><Relationship Id="rId173" Type="http://schemas.openxmlformats.org/officeDocument/2006/relationships/hyperlink" Target="https://africanmarketingconfederation.org/amc-conference-2026-zambia-thank-you/" TargetMode="External"/><Relationship Id="rId229" Type="http://schemas.openxmlformats.org/officeDocument/2006/relationships/hyperlink" Target="https://africanmarketingconfederation.org/conference-registrations-2024/" TargetMode="External"/><Relationship Id="rId380" Type="http://schemas.openxmlformats.org/officeDocument/2006/relationships/hyperlink" Target="https://africanmarketingconfederation.org/amc-marketing-conference-2024/" TargetMode="External"/><Relationship Id="rId436" Type="http://schemas.openxmlformats.org/officeDocument/2006/relationships/hyperlink" Target="https://africanmarketingconfederation.org/amc-marketing-conference-2024/speakers-2024/" TargetMode="External"/><Relationship Id="rId601" Type="http://schemas.openxmlformats.org/officeDocument/2006/relationships/hyperlink" Target="https://africanmarketingconfederation.org/amc-conference-2023/speakers/" TargetMode="External"/><Relationship Id="rId643" Type="http://schemas.openxmlformats.org/officeDocument/2006/relationships/hyperlink" Target="https://africanmarketingconfederation.org/amc-conference-2023/download-prospectus/" TargetMode="External"/><Relationship Id="rId240" Type="http://schemas.openxmlformats.org/officeDocument/2006/relationships/hyperlink" Target="https://africanmarketingconfederation.org/elementor-31820/" TargetMode="External"/><Relationship Id="rId478" Type="http://schemas.openxmlformats.org/officeDocument/2006/relationships/hyperlink" Target="https://africanmarketingconfederation.org/subscribe/" TargetMode="External"/><Relationship Id="rId685" Type="http://schemas.openxmlformats.org/officeDocument/2006/relationships/hyperlink" Target="https://africanmarketingconfederation.org/amc-relaunch-programme/" TargetMode="External"/><Relationship Id="rId35" Type="http://schemas.openxmlformats.org/officeDocument/2006/relationships/hyperlink" Target="https://africanmarketingconfederation.org/launch-event-2026-amc-conference/" TargetMode="External"/><Relationship Id="rId77" Type="http://schemas.openxmlformats.org/officeDocument/2006/relationships/hyperlink" Target="https://africanmarketingconfederation.org/awards-2026/" TargetMode="External"/><Relationship Id="rId100" Type="http://schemas.openxmlformats.org/officeDocument/2006/relationships/hyperlink" Target="https://africanmarketingconfederation.org/news-articles/" TargetMode="External"/><Relationship Id="rId282" Type="http://schemas.openxmlformats.org/officeDocument/2006/relationships/hyperlink" Target="https://africanmarketingconfederation.org/amc-conference-2022-prospectus/" TargetMode="External"/><Relationship Id="rId338" Type="http://schemas.openxmlformats.org/officeDocument/2006/relationships/hyperlink" Target="https://africanmarketingconfederation.org/amc-marketing-conference-2024/amc-launch-event-2025/" TargetMode="External"/><Relationship Id="rId503" Type="http://schemas.openxmlformats.org/officeDocument/2006/relationships/hyperlink" Target="https://africanmarketingconfederation.org/chartered-marketer-africa-programme-fee/" TargetMode="External"/><Relationship Id="rId545" Type="http://schemas.openxmlformats.org/officeDocument/2006/relationships/hyperlink" Target="https://africanmarketingconfederation.org/thank-you-for-the-submission-2024/" TargetMode="External"/><Relationship Id="rId587" Type="http://schemas.openxmlformats.org/officeDocument/2006/relationships/hyperlink" Target="https://africanmarketingconfederation.org/amc-conference-2023/programme/" TargetMode="External"/><Relationship Id="rId710" Type="http://schemas.openxmlformats.org/officeDocument/2006/relationships/hyperlink" Target="https://africanmarketingconfederation.org/amc-masterclass-thank-you/" TargetMode="External"/><Relationship Id="rId752" Type="http://schemas.openxmlformats.org/officeDocument/2006/relationships/hyperlink" Target="https://africanmarketingconfederation.org/general-enquiry-form-thank-you/" TargetMode="External"/><Relationship Id="rId8" Type="http://schemas.openxmlformats.org/officeDocument/2006/relationships/hyperlink" Target="https://africanmarketingconfederation.org/publications-2/" TargetMode="External"/><Relationship Id="rId142" Type="http://schemas.openxmlformats.org/officeDocument/2006/relationships/hyperlink" Target="https://africanmarketingconfederation.org/awards-2026-1/" TargetMode="External"/><Relationship Id="rId184" Type="http://schemas.openxmlformats.org/officeDocument/2006/relationships/hyperlink" Target="https://africanmarketingconfederation.org/amc-launch-event-zambia-thank-you-2026/" TargetMode="External"/><Relationship Id="rId391" Type="http://schemas.openxmlformats.org/officeDocument/2006/relationships/hyperlink" Target="https://africanmarketingconfederation.org/amc-marketing-conference-2024/amc-speakers-presentations-2024/" TargetMode="External"/><Relationship Id="rId405" Type="http://schemas.openxmlformats.org/officeDocument/2006/relationships/hyperlink" Target="https://africanmarketingconfederation.org/amc-marketing-conference-2024/testimony-thank-you-page/" TargetMode="External"/><Relationship Id="rId447" Type="http://schemas.openxmlformats.org/officeDocument/2006/relationships/hyperlink" Target="https://africanmarketingconfederation.org/thank-you-for-registering-2024-registrations/" TargetMode="External"/><Relationship Id="rId612" Type="http://schemas.openxmlformats.org/officeDocument/2006/relationships/hyperlink" Target="https://africanmarketingconfederation.org/chartered-marketer-africa-thank-you/" TargetMode="External"/><Relationship Id="rId251" Type="http://schemas.openxmlformats.org/officeDocument/2006/relationships/hyperlink" Target="https://africanmarketingconfederation.org/amc-conference-2024-recap/" TargetMode="External"/><Relationship Id="rId489" Type="http://schemas.openxmlformats.org/officeDocument/2006/relationships/hyperlink" Target="https://africanmarketingconfederation.org/elementor-20341/" TargetMode="External"/><Relationship Id="rId654" Type="http://schemas.openxmlformats.org/officeDocument/2006/relationships/hyperlink" Target="https://africanmarketingconfederation.org/amc-conference-thank-you/" TargetMode="External"/><Relationship Id="rId696" Type="http://schemas.openxmlformats.org/officeDocument/2006/relationships/hyperlink" Target="https://africanmarketingconfederation.org/amc-masterclass/" TargetMode="External"/><Relationship Id="rId46" Type="http://schemas.openxmlformats.org/officeDocument/2006/relationships/hyperlink" Target="https://africanmarketingconfederation.org/amc-conference-2026/" TargetMode="External"/><Relationship Id="rId293" Type="http://schemas.openxmlformats.org/officeDocument/2006/relationships/hyperlink" Target="https://africanmarketingconfederation.org/test-payment-gate/" TargetMode="External"/><Relationship Id="rId307" Type="http://schemas.openxmlformats.org/officeDocument/2006/relationships/hyperlink" Target="https://africanmarketingconfederation.org/checkout/" TargetMode="External"/><Relationship Id="rId349" Type="http://schemas.openxmlformats.org/officeDocument/2006/relationships/hyperlink" Target="https://africanmarketingconfederation.org/amc-forum-payments/" TargetMode="External"/><Relationship Id="rId514" Type="http://schemas.openxmlformats.org/officeDocument/2006/relationships/hyperlink" Target="https://africanmarketingconfederation.org/chartered-marketer-africa-final-submission-fee/" TargetMode="External"/><Relationship Id="rId556" Type="http://schemas.openxmlformats.org/officeDocument/2006/relationships/hyperlink" Target="https://africanmarketingconfederation.org/elementor-16548/" TargetMode="External"/><Relationship Id="rId721" Type="http://schemas.openxmlformats.org/officeDocument/2006/relationships/hyperlink" Target="https://africanmarketingconfederation.org/amc-masterclass-bookings/" TargetMode="External"/><Relationship Id="rId763" Type="http://schemas.openxmlformats.org/officeDocument/2006/relationships/hyperlink" Target="https://africanmarketingconfederation.org/amc-conference-2022-thank-you/" TargetMode="External"/><Relationship Id="rId88" Type="http://schemas.openxmlformats.org/officeDocument/2006/relationships/hyperlink" Target="https://africanmarketingconfederation.org/contact-us/" TargetMode="External"/><Relationship Id="rId111" Type="http://schemas.openxmlformats.org/officeDocument/2006/relationships/hyperlink" Target="https://africanmarketingconfederation.org/members/" TargetMode="External"/><Relationship Id="rId153" Type="http://schemas.openxmlformats.org/officeDocument/2006/relationships/hyperlink" Target="https://africanmarketingconfederation.org/speakers-2025/" TargetMode="External"/><Relationship Id="rId195" Type="http://schemas.openxmlformats.org/officeDocument/2006/relationships/hyperlink" Target="https://africanmarketingconfederation.org/amc-marketing-conference-2024/awards-2025/" TargetMode="External"/><Relationship Id="rId209" Type="http://schemas.openxmlformats.org/officeDocument/2006/relationships/hyperlink" Target="https://africanmarketingconfederation.org/amc-conference-2025-highlights/" TargetMode="External"/><Relationship Id="rId360" Type="http://schemas.openxmlformats.org/officeDocument/2006/relationships/hyperlink" Target="https://africanmarketingconfederation.org/amc-conference-2023/" TargetMode="External"/><Relationship Id="rId416" Type="http://schemas.openxmlformats.org/officeDocument/2006/relationships/hyperlink" Target="https://africanmarketingconfederation.org/amc-testimony-page-2024/" TargetMode="External"/><Relationship Id="rId598" Type="http://schemas.openxmlformats.org/officeDocument/2006/relationships/hyperlink" Target="https://africanmarketingconfederation.org/amc-conference-2023/speakers/" TargetMode="External"/><Relationship Id="rId220" Type="http://schemas.openxmlformats.org/officeDocument/2006/relationships/hyperlink" Target="https://africanmarketingconfederation.org/amc-conference-2023/gallery/" TargetMode="External"/><Relationship Id="rId458" Type="http://schemas.openxmlformats.org/officeDocument/2006/relationships/hyperlink" Target="https://africanmarketingconfederation.org/download-prospectus-2024/" TargetMode="External"/><Relationship Id="rId623" Type="http://schemas.openxmlformats.org/officeDocument/2006/relationships/hyperlink" Target="https://africanmarketingconfederation.org/amc-conference-2023/amc-awards-book-now/" TargetMode="External"/><Relationship Id="rId665" Type="http://schemas.openxmlformats.org/officeDocument/2006/relationships/hyperlink" Target="https://africanmarketingconfederation.org/upcoming-events/" TargetMode="External"/><Relationship Id="rId15" Type="http://schemas.openxmlformats.org/officeDocument/2006/relationships/hyperlink" Target="https://africanmarketingconfederation.org/" TargetMode="External"/><Relationship Id="rId57" Type="http://schemas.openxmlformats.org/officeDocument/2006/relationships/hyperlink" Target="https://africanmarketingconfederation.org/chartered-marketer-africa/" TargetMode="External"/><Relationship Id="rId262" Type="http://schemas.openxmlformats.org/officeDocument/2006/relationships/hyperlink" Target="https://africanmarketingconfederation.org/amc-marketing-conference-2024/amc-programme-2025/" TargetMode="External"/><Relationship Id="rId318" Type="http://schemas.openxmlformats.org/officeDocument/2006/relationships/hyperlink" Target="https://africanmarketingconfederation.org/amc-marketing-conference-2024/amc-preregister-2025/" TargetMode="External"/><Relationship Id="rId525" Type="http://schemas.openxmlformats.org/officeDocument/2006/relationships/hyperlink" Target="https://africanmarketingconfederation.org/thank-you-for-the-nomination-2024/" TargetMode="External"/><Relationship Id="rId567" Type="http://schemas.openxmlformats.org/officeDocument/2006/relationships/hyperlink" Target="https://africanmarketingconfederation.org/amc-marketing-conference-2024/programme-2024/" TargetMode="External"/><Relationship Id="rId732" Type="http://schemas.openxmlformats.org/officeDocument/2006/relationships/hyperlink" Target="https://africanmarketingconfederation.org/virtual-programme/" TargetMode="External"/><Relationship Id="rId99" Type="http://schemas.openxmlformats.org/officeDocument/2006/relationships/hyperlink" Target="https://africanmarketingconfederation.org/news-articles/" TargetMode="External"/><Relationship Id="rId122" Type="http://schemas.openxmlformats.org/officeDocument/2006/relationships/hyperlink" Target="https://africanmarketingconfederation.org/sub-committees/" TargetMode="External"/><Relationship Id="rId164" Type="http://schemas.openxmlformats.org/officeDocument/2006/relationships/hyperlink" Target="https://africanmarketingconfederation.org/amc-conference-2026-awards-nominations-thank-you/" TargetMode="External"/><Relationship Id="rId371" Type="http://schemas.openxmlformats.org/officeDocument/2006/relationships/hyperlink" Target="https://africanmarketingconfederation.org/amc-forum-mombasa/" TargetMode="External"/><Relationship Id="rId774" Type="http://schemas.openxmlformats.org/officeDocument/2006/relationships/hyperlink" Target="https://africanmarketingconfederation.org/speakers/" TargetMode="External"/><Relationship Id="rId427" Type="http://schemas.openxmlformats.org/officeDocument/2006/relationships/hyperlink" Target="https://africanmarketingconfederation.org/amc-conference-sponsors/" TargetMode="External"/><Relationship Id="rId469" Type="http://schemas.openxmlformats.org/officeDocument/2006/relationships/hyperlink" Target="https://africanmarketingconfederation.org/thank-you-for-registering-2024-registrations-kenya/" TargetMode="External"/><Relationship Id="rId634" Type="http://schemas.openxmlformats.org/officeDocument/2006/relationships/hyperlink" Target="https://africanmarketingconfederation.org/amc-conference-2023/book-now/" TargetMode="External"/><Relationship Id="rId676" Type="http://schemas.openxmlformats.org/officeDocument/2006/relationships/hyperlink" Target="https://africanmarketingconfederation.org/thank-you-for-subscribing/" TargetMode="External"/><Relationship Id="rId26" Type="http://schemas.openxmlformats.org/officeDocument/2006/relationships/hyperlink" Target="https://africanmarketingconfederation.org/publication-download-list/" TargetMode="External"/><Relationship Id="rId231" Type="http://schemas.openxmlformats.org/officeDocument/2006/relationships/hyperlink" Target="https://africanmarketingconfederation.org/conference-registrations-2024/" TargetMode="External"/><Relationship Id="rId273" Type="http://schemas.openxmlformats.org/officeDocument/2006/relationships/hyperlink" Target="https://africanmarketingconfederation.org/amc-sponsors-2025/" TargetMode="External"/><Relationship Id="rId329" Type="http://schemas.openxmlformats.org/officeDocument/2006/relationships/hyperlink" Target="https://africanmarketingconfederation.org/amc-marketing-conference-2024/amc-conference-2025-ghana-sponsors/" TargetMode="External"/><Relationship Id="rId480" Type="http://schemas.openxmlformats.org/officeDocument/2006/relationships/hyperlink" Target="https://africanmarketingconfederation.org/subscribe/" TargetMode="External"/><Relationship Id="rId536" Type="http://schemas.openxmlformats.org/officeDocument/2006/relationships/hyperlink" Target="https://africanmarketingconfederation.org/amc-conference-2024-sponsors-packages/" TargetMode="External"/><Relationship Id="rId701" Type="http://schemas.openxmlformats.org/officeDocument/2006/relationships/hyperlink" Target="https://africanmarketingconfederation.org/amc-masterclass-thank-you/" TargetMode="External"/><Relationship Id="rId68" Type="http://schemas.openxmlformats.org/officeDocument/2006/relationships/hyperlink" Target="https://africanmarketingconfederation.org/education/" TargetMode="External"/><Relationship Id="rId133" Type="http://schemas.openxmlformats.org/officeDocument/2006/relationships/hyperlink" Target="https://africanmarketingconfederation.org/about-us/" TargetMode="External"/><Relationship Id="rId175" Type="http://schemas.openxmlformats.org/officeDocument/2006/relationships/hyperlink" Target="https://africanmarketingconfederation.org/amc-conference-2026-zambia-thank-you/" TargetMode="External"/><Relationship Id="rId340" Type="http://schemas.openxmlformats.org/officeDocument/2006/relationships/hyperlink" Target="https://africanmarketingconfederation.org/amc-marketing-conference-2024/amc-launch-event-2025/" TargetMode="External"/><Relationship Id="rId578" Type="http://schemas.openxmlformats.org/officeDocument/2006/relationships/hyperlink" Target="https://africanmarketingconfederation.org/amc-conference-2023/amc-awards/" TargetMode="External"/><Relationship Id="rId743" Type="http://schemas.openxmlformats.org/officeDocument/2006/relationships/hyperlink" Target="https://africanmarketingconfederation.org/test-homeslider/" TargetMode="External"/><Relationship Id="rId785" Type="http://schemas.openxmlformats.org/officeDocument/2006/relationships/hyperlink" Target="https://africanmarketingconfederation.org/privacy-policy/" TargetMode="External"/><Relationship Id="rId200" Type="http://schemas.openxmlformats.org/officeDocument/2006/relationships/hyperlink" Target="https://africanmarketingconfederation.org/amc-conference-2025-highlights/" TargetMode="External"/><Relationship Id="rId382" Type="http://schemas.openxmlformats.org/officeDocument/2006/relationships/hyperlink" Target="https://africanmarketingconfederation.org/amc-marketing-conference-2024/" TargetMode="External"/><Relationship Id="rId438" Type="http://schemas.openxmlformats.org/officeDocument/2006/relationships/hyperlink" Target="https://africanmarketingconfederation.org/amc-marketing-conference-2024/speakers-2024/" TargetMode="External"/><Relationship Id="rId603" Type="http://schemas.openxmlformats.org/officeDocument/2006/relationships/hyperlink" Target="https://africanmarketingconfederation.org/amc-conference-2023/speakers/" TargetMode="External"/><Relationship Id="rId645" Type="http://schemas.openxmlformats.org/officeDocument/2006/relationships/hyperlink" Target="https://africanmarketingconfederation.org/amc-conference-2023/book-now-thank-you/" TargetMode="External"/><Relationship Id="rId687" Type="http://schemas.openxmlformats.org/officeDocument/2006/relationships/hyperlink" Target="https://africanmarketingconfederation.org/amc-relaunch-programme/" TargetMode="External"/><Relationship Id="rId242" Type="http://schemas.openxmlformats.org/officeDocument/2006/relationships/hyperlink" Target="https://africanmarketingconfederation.org/elementor-31820/" TargetMode="External"/><Relationship Id="rId284" Type="http://schemas.openxmlformats.org/officeDocument/2006/relationships/hyperlink" Target="https://africanmarketingconfederation.org/amc-conference-2022-prospectus/" TargetMode="External"/><Relationship Id="rId491" Type="http://schemas.openxmlformats.org/officeDocument/2006/relationships/hyperlink" Target="https://africanmarketingconfederation.org/elementor-20341/" TargetMode="External"/><Relationship Id="rId505" Type="http://schemas.openxmlformats.org/officeDocument/2006/relationships/hyperlink" Target="https://africanmarketingconfederation.org/chartered-marketer-africa-programme-fee/" TargetMode="External"/><Relationship Id="rId712" Type="http://schemas.openxmlformats.org/officeDocument/2006/relationships/hyperlink" Target="https://africanmarketingconfederation.org/amc-masterclass-bookings/" TargetMode="External"/><Relationship Id="rId37" Type="http://schemas.openxmlformats.org/officeDocument/2006/relationships/hyperlink" Target="https://africanmarketingconfederation.org/launch-event-2026-amc-conference/" TargetMode="External"/><Relationship Id="rId79" Type="http://schemas.openxmlformats.org/officeDocument/2006/relationships/hyperlink" Target="https://africanmarketingconfederation.org/awards-2026/" TargetMode="External"/><Relationship Id="rId102" Type="http://schemas.openxmlformats.org/officeDocument/2006/relationships/hyperlink" Target="https://africanmarketingconfederation.org/african-marketing-confederation-tourism-chapter/" TargetMode="External"/><Relationship Id="rId144" Type="http://schemas.openxmlformats.org/officeDocument/2006/relationships/hyperlink" Target="https://africanmarketingconfederation.org/awards-2026-test/" TargetMode="External"/><Relationship Id="rId547" Type="http://schemas.openxmlformats.org/officeDocument/2006/relationships/hyperlink" Target="https://africanmarketingconfederation.org/thank-you-for-the-submission-2024/" TargetMode="External"/><Relationship Id="rId589" Type="http://schemas.openxmlformats.org/officeDocument/2006/relationships/hyperlink" Target="https://africanmarketingconfederation.org/amc-conference-2023/partners/" TargetMode="External"/><Relationship Id="rId754" Type="http://schemas.openxmlformats.org/officeDocument/2006/relationships/hyperlink" Target="https://africanmarketingconfederation.org/general-enquiry-form-thank-you/" TargetMode="External"/><Relationship Id="rId90" Type="http://schemas.openxmlformats.org/officeDocument/2006/relationships/hyperlink" Target="https://africanmarketingconfederation.org/contact-us/" TargetMode="External"/><Relationship Id="rId186" Type="http://schemas.openxmlformats.org/officeDocument/2006/relationships/hyperlink" Target="https://africanmarketingconfederation.org/amc-launch-event-zambia-thank-you-2026/" TargetMode="External"/><Relationship Id="rId351" Type="http://schemas.openxmlformats.org/officeDocument/2006/relationships/hyperlink" Target="https://africanmarketingconfederation.org/amc-forum-payments/" TargetMode="External"/><Relationship Id="rId393" Type="http://schemas.openxmlformats.org/officeDocument/2006/relationships/hyperlink" Target="https://africanmarketingconfederation.org/amc-marketing-conference-2024/amc-speakers-presentations-2024/" TargetMode="External"/><Relationship Id="rId407" Type="http://schemas.openxmlformats.org/officeDocument/2006/relationships/hyperlink" Target="https://africanmarketingconfederation.org/amc-sign-up-now-form-2025/" TargetMode="External"/><Relationship Id="rId449" Type="http://schemas.openxmlformats.org/officeDocument/2006/relationships/hyperlink" Target="https://africanmarketingconfederation.org/thank-you-for-registering-2024-registrations/" TargetMode="External"/><Relationship Id="rId614" Type="http://schemas.openxmlformats.org/officeDocument/2006/relationships/hyperlink" Target="https://africanmarketingconfederation.org/chartered-marketer-africa-thank-you/" TargetMode="External"/><Relationship Id="rId656" Type="http://schemas.openxmlformats.org/officeDocument/2006/relationships/hyperlink" Target="https://africanmarketingconfederation.org/amc-conference-thank-you/" TargetMode="External"/><Relationship Id="rId211" Type="http://schemas.openxmlformats.org/officeDocument/2006/relationships/hyperlink" Target="https://africanmarketingconfederation.org/amc-conference-2022/" TargetMode="External"/><Relationship Id="rId253" Type="http://schemas.openxmlformats.org/officeDocument/2006/relationships/hyperlink" Target="https://africanmarketingconfederation.org/amc-conference-2024-recap/" TargetMode="External"/><Relationship Id="rId295" Type="http://schemas.openxmlformats.org/officeDocument/2006/relationships/hyperlink" Target="https://africanmarketingconfederation.org/test-payment-gate/" TargetMode="External"/><Relationship Id="rId309" Type="http://schemas.openxmlformats.org/officeDocument/2006/relationships/hyperlink" Target="https://africanmarketingconfederation.org/checkout/" TargetMode="External"/><Relationship Id="rId460" Type="http://schemas.openxmlformats.org/officeDocument/2006/relationships/hyperlink" Target="https://africanmarketingconfederation.org/download-prospectus-2024/" TargetMode="External"/><Relationship Id="rId516" Type="http://schemas.openxmlformats.org/officeDocument/2006/relationships/hyperlink" Target="https://africanmarketingconfederation.org/download-brochure/" TargetMode="External"/><Relationship Id="rId698"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certified-professional-marketer-africa/" TargetMode="External"/><Relationship Id="rId113" Type="http://schemas.openxmlformats.org/officeDocument/2006/relationships/hyperlink" Target="https://africanmarketingconfederation.org/members/" TargetMode="External"/><Relationship Id="rId320" Type="http://schemas.openxmlformats.org/officeDocument/2006/relationships/hyperlink" Target="https://africanmarketingconfederation.org/conference-faq-2025/" TargetMode="External"/><Relationship Id="rId558" Type="http://schemas.openxmlformats.org/officeDocument/2006/relationships/hyperlink" Target="https://africanmarketingconfederation.org/elementor-16548/" TargetMode="External"/><Relationship Id="rId723" Type="http://schemas.openxmlformats.org/officeDocument/2006/relationships/hyperlink" Target="https://africanmarketingconfederation.org/amc-conference-programme/" TargetMode="External"/><Relationship Id="rId765" Type="http://schemas.openxmlformats.org/officeDocument/2006/relationships/hyperlink" Target="https://africanmarketingconfederation.org/amc-conference-2022-thank-you/" TargetMode="External"/><Relationship Id="rId155" Type="http://schemas.openxmlformats.org/officeDocument/2006/relationships/hyperlink" Target="https://africanmarketingconfederation.org/speakers-2025/" TargetMode="External"/><Relationship Id="rId197" Type="http://schemas.openxmlformats.org/officeDocument/2006/relationships/hyperlink" Target="https://africanmarketingconfederation.org/amc-marketing-conference-2024/awards-2025/" TargetMode="External"/><Relationship Id="rId362" Type="http://schemas.openxmlformats.org/officeDocument/2006/relationships/hyperlink" Target="https://africanmarketingconfederation.org/amc-awards-2024/" TargetMode="External"/><Relationship Id="rId418" Type="http://schemas.openxmlformats.org/officeDocument/2006/relationships/hyperlink" Target="https://africanmarketingconfederation.org/amc-testimony-page-2024/" TargetMode="External"/><Relationship Id="rId625" Type="http://schemas.openxmlformats.org/officeDocument/2006/relationships/hyperlink" Target="https://africanmarketingconfederation.org/amc-conference-2023/amc-awards-book-now/" TargetMode="External"/><Relationship Id="rId222" Type="http://schemas.openxmlformats.org/officeDocument/2006/relationships/hyperlink" Target="https://africanmarketingconfederation.org/amc-conference-2023/gallery/" TargetMode="External"/><Relationship Id="rId264" Type="http://schemas.openxmlformats.org/officeDocument/2006/relationships/hyperlink" Target="https://africanmarketingconfederation.org/amc-conference-2025/" TargetMode="External"/><Relationship Id="rId471" Type="http://schemas.openxmlformats.org/officeDocument/2006/relationships/hyperlink" Target="https://africanmarketingconfederation.org/thank-you-for-registering-2024-registrations-kenya/" TargetMode="External"/><Relationship Id="rId667" Type="http://schemas.openxmlformats.org/officeDocument/2006/relationships/hyperlink" Target="https://africanmarketingconfederation.org/upcoming-events/" TargetMode="External"/><Relationship Id="rId17" Type="http://schemas.openxmlformats.org/officeDocument/2006/relationships/hyperlink" Target="https://africanmarketingconfederation.org/" TargetMode="External"/><Relationship Id="rId59" Type="http://schemas.openxmlformats.org/officeDocument/2006/relationships/hyperlink" Target="https://africanmarketingconfederation.org/chartered-marketer-africa/" TargetMode="External"/><Relationship Id="rId124" Type="http://schemas.openxmlformats.org/officeDocument/2006/relationships/hyperlink" Target="https://africanmarketingconfederation.org/sub-committees/" TargetMode="External"/><Relationship Id="rId527" Type="http://schemas.openxmlformats.org/officeDocument/2006/relationships/hyperlink" Target="https://africanmarketingconfederation.org/thank-you-for-the-nomination-2024/" TargetMode="External"/><Relationship Id="rId569" Type="http://schemas.openxmlformats.org/officeDocument/2006/relationships/hyperlink" Target="https://africanmarketingconfederation.org/amc-marketing-conference-2024/programme-2024/" TargetMode="External"/><Relationship Id="rId734" Type="http://schemas.openxmlformats.org/officeDocument/2006/relationships/hyperlink" Target="https://africanmarketingconfederation.org/virtual-programme/" TargetMode="External"/><Relationship Id="rId776" Type="http://schemas.openxmlformats.org/officeDocument/2006/relationships/hyperlink" Target="https://africanmarketingconfederation.org/speakers/" TargetMode="External"/><Relationship Id="rId70" Type="http://schemas.openxmlformats.org/officeDocument/2006/relationships/hyperlink" Target="https://africanmarketingconfederation.org/education/" TargetMode="External"/><Relationship Id="rId166" Type="http://schemas.openxmlformats.org/officeDocument/2006/relationships/hyperlink" Target="https://africanmarketingconfederation.org/amc-conference-2026-awards-nominations-thank-you/" TargetMode="External"/><Relationship Id="rId331" Type="http://schemas.openxmlformats.org/officeDocument/2006/relationships/hyperlink" Target="https://africanmarketingconfederation.org/amc-marketing-conference-2024/amc-conference-2025-ghana-sponsors/" TargetMode="External"/><Relationship Id="rId373" Type="http://schemas.openxmlformats.org/officeDocument/2006/relationships/hyperlink" Target="https://africanmarketingconfederation.org/amc-forum-mombasa/" TargetMode="External"/><Relationship Id="rId429" Type="http://schemas.openxmlformats.org/officeDocument/2006/relationships/hyperlink" Target="https://africanmarketingconfederation.org/amc-conference-sponsors/" TargetMode="External"/><Relationship Id="rId580" Type="http://schemas.openxmlformats.org/officeDocument/2006/relationships/hyperlink" Target="https://africanmarketingconfederation.org/amc-conference-2023/programme/" TargetMode="External"/><Relationship Id="rId636" Type="http://schemas.openxmlformats.org/officeDocument/2006/relationships/hyperlink" Target="https://africanmarketingconfederation.org/amc-conference-2023/download-prospectus/" TargetMode="External"/><Relationship Id="rId1" Type="http://schemas.openxmlformats.org/officeDocument/2006/relationships/hyperlink" Target="https://africanmarketingconfederation.org/publications-2/" TargetMode="External"/><Relationship Id="rId233" Type="http://schemas.openxmlformats.org/officeDocument/2006/relationships/hyperlink" Target="https://africanmarketingconfederation.org/conference-registrations-2024/" TargetMode="External"/><Relationship Id="rId440" Type="http://schemas.openxmlformats.org/officeDocument/2006/relationships/hyperlink" Target="https://africanmarketingconfederation.org/amc-marketing-conference-2024/speakers-2024/" TargetMode="External"/><Relationship Id="rId678" Type="http://schemas.openxmlformats.org/officeDocument/2006/relationships/hyperlink" Target="https://africanmarketingconfederation.org/thank-you-for-subscribing/" TargetMode="External"/><Relationship Id="rId28" Type="http://schemas.openxmlformats.org/officeDocument/2006/relationships/hyperlink" Target="https://africanmarketingconfederation.org/publication-download-list/" TargetMode="External"/><Relationship Id="rId275" Type="http://schemas.openxmlformats.org/officeDocument/2006/relationships/hyperlink" Target="https://africanmarketingconfederation.org/amc-sponsors-2025/" TargetMode="External"/><Relationship Id="rId300" Type="http://schemas.openxmlformats.org/officeDocument/2006/relationships/hyperlink" Target="https://africanmarketingconfederation.org/test-payment-gate/" TargetMode="External"/><Relationship Id="rId482" Type="http://schemas.openxmlformats.org/officeDocument/2006/relationships/hyperlink" Target="https://africanmarketingconfederation.org/subscribe/" TargetMode="External"/><Relationship Id="rId538" Type="http://schemas.openxmlformats.org/officeDocument/2006/relationships/hyperlink" Target="https://africanmarketingconfederation.org/amc-conference-2024-sponsors-packages/" TargetMode="External"/><Relationship Id="rId703" Type="http://schemas.openxmlformats.org/officeDocument/2006/relationships/hyperlink" Target="https://africanmarketingconfederation.org/amc-masterclass-thank-you/" TargetMode="External"/><Relationship Id="rId745" Type="http://schemas.openxmlformats.org/officeDocument/2006/relationships/hyperlink" Target="https://africanmarketingconfederation.org/test-homeslider/" TargetMode="External"/><Relationship Id="rId81" Type="http://schemas.openxmlformats.org/officeDocument/2006/relationships/hyperlink" Target="https://africanmarketingconfederation.org/awards-2026/" TargetMode="External"/><Relationship Id="rId135" Type="http://schemas.openxmlformats.org/officeDocument/2006/relationships/hyperlink" Target="https://africanmarketingconfederation.org/awards-2026-1/" TargetMode="External"/><Relationship Id="rId177" Type="http://schemas.openxmlformats.org/officeDocument/2006/relationships/hyperlink" Target="https://africanmarketingconfederation.org/amc-conference-2026-zambia-thank-you/" TargetMode="External"/><Relationship Id="rId342" Type="http://schemas.openxmlformats.org/officeDocument/2006/relationships/hyperlink" Target="https://africanmarketingconfederation.org/amc-marketing-conference-2024/amc-launch-event-2025/" TargetMode="External"/><Relationship Id="rId384" Type="http://schemas.openxmlformats.org/officeDocument/2006/relationships/hyperlink" Target="https://africanmarketingconfederation.org/amc-marketing-conference-2024/" TargetMode="External"/><Relationship Id="rId591" Type="http://schemas.openxmlformats.org/officeDocument/2006/relationships/hyperlink" Target="https://africanmarketingconfederation.org/amc-conference-2023/partners/" TargetMode="External"/><Relationship Id="rId605" Type="http://schemas.openxmlformats.org/officeDocument/2006/relationships/hyperlink" Target="https://africanmarketingconfederation.org/chartered-marketer-africa-thank-you/" TargetMode="External"/><Relationship Id="rId787" Type="http://schemas.openxmlformats.org/officeDocument/2006/relationships/hyperlink" Target="https://africanmarketingconfederation.org/privacy-policy/" TargetMode="External"/><Relationship Id="rId202" Type="http://schemas.openxmlformats.org/officeDocument/2006/relationships/hyperlink" Target="https://africanmarketingconfederation.org/amc-conference-2025-highlights/" TargetMode="External"/><Relationship Id="rId244" Type="http://schemas.openxmlformats.org/officeDocument/2006/relationships/hyperlink" Target="https://africanmarketingconfederation.org/elementor-31820/" TargetMode="External"/><Relationship Id="rId647" Type="http://schemas.openxmlformats.org/officeDocument/2006/relationships/hyperlink" Target="https://africanmarketingconfederation.org/amc-conference-2023/book-now-thank-you/" TargetMode="External"/><Relationship Id="rId689" Type="http://schemas.openxmlformats.org/officeDocument/2006/relationships/hyperlink" Target="https://africanmarketingconfederation.org/amc-relaunch-programme/" TargetMode="External"/><Relationship Id="rId39" Type="http://schemas.openxmlformats.org/officeDocument/2006/relationships/hyperlink" Target="https://africanmarketingconfederation.org/amc-conference-2026/" TargetMode="External"/><Relationship Id="rId286" Type="http://schemas.openxmlformats.org/officeDocument/2006/relationships/hyperlink" Target="https://africanmarketingconfederation.org/amc-conference-2022-prospectus/" TargetMode="External"/><Relationship Id="rId451" Type="http://schemas.openxmlformats.org/officeDocument/2006/relationships/hyperlink" Target="https://africanmarketingconfederation.org/thank-you-for-registering-2024-registrations/" TargetMode="External"/><Relationship Id="rId493" Type="http://schemas.openxmlformats.org/officeDocument/2006/relationships/hyperlink" Target="https://africanmarketingconfederation.org/elementor-20341/" TargetMode="External"/><Relationship Id="rId507" Type="http://schemas.openxmlformats.org/officeDocument/2006/relationships/hyperlink" Target="https://africanmarketingconfederation.org/chartered-marketer-africa-final-submission-fee/" TargetMode="External"/><Relationship Id="rId549" Type="http://schemas.openxmlformats.org/officeDocument/2006/relationships/hyperlink" Target="https://africanmarketingconfederation.org/thank-you-for-the-submission-2024/" TargetMode="External"/><Relationship Id="rId714" Type="http://schemas.openxmlformats.org/officeDocument/2006/relationships/hyperlink" Target="https://africanmarketingconfederation.org/amc-masterclass-bookings/" TargetMode="External"/><Relationship Id="rId756" Type="http://schemas.openxmlformats.org/officeDocument/2006/relationships/hyperlink" Target="https://africanmarketingconfederation.org/general-enquiry-form-thank-you/" TargetMode="External"/><Relationship Id="rId50" Type="http://schemas.openxmlformats.org/officeDocument/2006/relationships/hyperlink" Target="https://africanmarketingconfederation.org/certified-professional-marketer-africa/" TargetMode="External"/><Relationship Id="rId104" Type="http://schemas.openxmlformats.org/officeDocument/2006/relationships/hyperlink" Target="https://africanmarketingconfederation.org/african-marketing-confederation-tourism-chapter/" TargetMode="External"/><Relationship Id="rId146" Type="http://schemas.openxmlformats.org/officeDocument/2006/relationships/hyperlink" Target="https://africanmarketingconfederation.org/awards-2026-test/" TargetMode="External"/><Relationship Id="rId188" Type="http://schemas.openxmlformats.org/officeDocument/2006/relationships/hyperlink" Target="https://africanmarketingconfederation.org/amc-launch-event-zambia-thank-you-2026/" TargetMode="External"/><Relationship Id="rId311" Type="http://schemas.openxmlformats.org/officeDocument/2006/relationships/hyperlink" Target="https://africanmarketingconfederation.org/amc-marketing-conference-2024/amc-preregister-2025/" TargetMode="External"/><Relationship Id="rId353" Type="http://schemas.openxmlformats.org/officeDocument/2006/relationships/hyperlink" Target="https://africanmarketingconfederation.org/amc-forum-payments/" TargetMode="External"/><Relationship Id="rId395" Type="http://schemas.openxmlformats.org/officeDocument/2006/relationships/hyperlink" Target="https://africanmarketingconfederation.org/amc-marketing-conference-2024/amc-speakers-presentations-2024/" TargetMode="External"/><Relationship Id="rId409" Type="http://schemas.openxmlformats.org/officeDocument/2006/relationships/hyperlink" Target="https://africanmarketingconfederation.org/amc-sign-up-now-form-2025/" TargetMode="External"/><Relationship Id="rId560" Type="http://schemas.openxmlformats.org/officeDocument/2006/relationships/hyperlink" Target="https://africanmarketingconfederation.org/elementor-16548/" TargetMode="External"/><Relationship Id="rId92" Type="http://schemas.openxmlformats.org/officeDocument/2006/relationships/hyperlink" Target="https://africanmarketingconfederation.org/news-articles/" TargetMode="External"/><Relationship Id="rId213" Type="http://schemas.openxmlformats.org/officeDocument/2006/relationships/hyperlink" Target="https://africanmarketingconfederation.org/amc-conference-2022/" TargetMode="External"/><Relationship Id="rId420" Type="http://schemas.openxmlformats.org/officeDocument/2006/relationships/hyperlink" Target="https://africanmarketingconfederation.org/amc-testimony-page-2024/" TargetMode="External"/><Relationship Id="rId616" Type="http://schemas.openxmlformats.org/officeDocument/2006/relationships/hyperlink" Target="https://africanmarketingconfederation.org/amc-conference-2023/amc-awards-book-now/" TargetMode="External"/><Relationship Id="rId658" Type="http://schemas.openxmlformats.org/officeDocument/2006/relationships/hyperlink" Target="https://africanmarketingconfederation.org/amc-conference-thank-you/" TargetMode="External"/><Relationship Id="rId255" Type="http://schemas.openxmlformats.org/officeDocument/2006/relationships/hyperlink" Target="https://africanmarketingconfederation.org/amc-marketing-conference-2024/amc-programme-2025/" TargetMode="External"/><Relationship Id="rId297" Type="http://schemas.openxmlformats.org/officeDocument/2006/relationships/hyperlink" Target="https://africanmarketingconfederation.org/test-payment-gate/" TargetMode="External"/><Relationship Id="rId462" Type="http://schemas.openxmlformats.org/officeDocument/2006/relationships/hyperlink" Target="https://africanmarketingconfederation.org/download-prospectus-2024/" TargetMode="External"/><Relationship Id="rId518" Type="http://schemas.openxmlformats.org/officeDocument/2006/relationships/hyperlink" Target="https://africanmarketingconfederation.org/download-brochure/" TargetMode="External"/><Relationship Id="rId725" Type="http://schemas.openxmlformats.org/officeDocument/2006/relationships/hyperlink" Target="https://africanmarketingconfederation.org/amc-conference-programme/" TargetMode="External"/><Relationship Id="rId115" Type="http://schemas.openxmlformats.org/officeDocument/2006/relationships/hyperlink" Target="https://africanmarketingconfederation.org/members/" TargetMode="External"/><Relationship Id="rId157" Type="http://schemas.openxmlformats.org/officeDocument/2006/relationships/hyperlink" Target="https://africanmarketingconfederation.org/speakers-2025/" TargetMode="External"/><Relationship Id="rId322" Type="http://schemas.openxmlformats.org/officeDocument/2006/relationships/hyperlink" Target="https://africanmarketingconfederation.org/conference-faq-2025/" TargetMode="External"/><Relationship Id="rId364" Type="http://schemas.openxmlformats.org/officeDocument/2006/relationships/hyperlink" Target="https://africanmarketingconfederation.org/amc-awards-2024/" TargetMode="External"/><Relationship Id="rId767" Type="http://schemas.openxmlformats.org/officeDocument/2006/relationships/hyperlink" Target="https://africanmarketingconfederation.org/amc-conference-2022-thank-you/" TargetMode="External"/><Relationship Id="rId61" Type="http://schemas.openxmlformats.org/officeDocument/2006/relationships/hyperlink" Target="https://africanmarketingconfederation.org/chartered-marketer-africa/" TargetMode="External"/><Relationship Id="rId199" Type="http://schemas.openxmlformats.org/officeDocument/2006/relationships/hyperlink" Target="https://africanmarketingconfederation.org/amc-marketing-conference-2024/awards-2025/" TargetMode="External"/><Relationship Id="rId571" Type="http://schemas.openxmlformats.org/officeDocument/2006/relationships/hyperlink" Target="https://africanmarketingconfederation.org/amc-marketing-conference-2024/programme-2024/" TargetMode="External"/><Relationship Id="rId627" Type="http://schemas.openxmlformats.org/officeDocument/2006/relationships/hyperlink" Target="https://africanmarketingconfederation.org/amc-conference-2023/book-now/" TargetMode="External"/><Relationship Id="rId669" Type="http://schemas.openxmlformats.org/officeDocument/2006/relationships/hyperlink" Target="https://africanmarketingconfederation.org/upcoming-events/" TargetMode="External"/><Relationship Id="rId19" Type="http://schemas.openxmlformats.org/officeDocument/2006/relationships/hyperlink" Target="https://africanmarketingconfederation.org/" TargetMode="External"/><Relationship Id="rId224" Type="http://schemas.openxmlformats.org/officeDocument/2006/relationships/hyperlink" Target="https://africanmarketingconfederation.org/amc-conference-2023/gallery/" TargetMode="External"/><Relationship Id="rId266" Type="http://schemas.openxmlformats.org/officeDocument/2006/relationships/hyperlink" Target="https://africanmarketingconfederation.org/amc-conference-2025/" TargetMode="External"/><Relationship Id="rId431" Type="http://schemas.openxmlformats.org/officeDocument/2006/relationships/hyperlink" Target="https://africanmarketingconfederation.org/amc-conference-sponsors/" TargetMode="External"/><Relationship Id="rId473" Type="http://schemas.openxmlformats.org/officeDocument/2006/relationships/hyperlink" Target="https://africanmarketingconfederation.org/thank-you-for-registering-2024-registrations-kenya/" TargetMode="External"/><Relationship Id="rId529" Type="http://schemas.openxmlformats.org/officeDocument/2006/relationships/hyperlink" Target="https://africanmarketingconfederation.org/thank-you-for-the-nomination-2024/" TargetMode="External"/><Relationship Id="rId680" Type="http://schemas.openxmlformats.org/officeDocument/2006/relationships/hyperlink" Target="https://africanmarketingconfederation.org/thank-you-for-subscribing/" TargetMode="External"/><Relationship Id="rId736" Type="http://schemas.openxmlformats.org/officeDocument/2006/relationships/hyperlink" Target="https://africanmarketingconfederation.org/virtual-programme/" TargetMode="External"/><Relationship Id="rId30" Type="http://schemas.openxmlformats.org/officeDocument/2006/relationships/hyperlink" Target="https://africanmarketingconfederation.org/launch-event-2026-amc-conference/" TargetMode="External"/><Relationship Id="rId126" Type="http://schemas.openxmlformats.org/officeDocument/2006/relationships/hyperlink" Target="https://africanmarketingconfederation.org/about-us/" TargetMode="External"/><Relationship Id="rId168" Type="http://schemas.openxmlformats.org/officeDocument/2006/relationships/hyperlink" Target="https://africanmarketingconfederation.org/amc-conference-2026-awards-nominations-thank-you/" TargetMode="External"/><Relationship Id="rId333" Type="http://schemas.openxmlformats.org/officeDocument/2006/relationships/hyperlink" Target="https://africanmarketingconfederation.org/amc-marketing-conference-2024/amc-conference-2025-ghana-sponsors/" TargetMode="External"/><Relationship Id="rId540" Type="http://schemas.openxmlformats.org/officeDocument/2006/relationships/hyperlink" Target="https://africanmarketingconfederation.org/amc-conference-2024-sponsors-packages/" TargetMode="External"/><Relationship Id="rId778" Type="http://schemas.openxmlformats.org/officeDocument/2006/relationships/hyperlink" Target="https://africanmarketingconfederation.org/speakers/" TargetMode="External"/><Relationship Id="rId72" Type="http://schemas.openxmlformats.org/officeDocument/2006/relationships/hyperlink" Target="https://africanmarketingconfederation.org/education/" TargetMode="External"/><Relationship Id="rId375" Type="http://schemas.openxmlformats.org/officeDocument/2006/relationships/hyperlink" Target="https://africanmarketingconfederation.org/amc-forum-mombasa/" TargetMode="External"/><Relationship Id="rId582" Type="http://schemas.openxmlformats.org/officeDocument/2006/relationships/hyperlink" Target="https://africanmarketingconfederation.org/amc-conference-2023/programme/" TargetMode="External"/><Relationship Id="rId638" Type="http://schemas.openxmlformats.org/officeDocument/2006/relationships/hyperlink" Target="https://africanmarketingconfederation.org/amc-conference-2023/download-prospectus/" TargetMode="External"/><Relationship Id="rId3" Type="http://schemas.openxmlformats.org/officeDocument/2006/relationships/hyperlink" Target="https://africanmarketingconfederation.org/publications-2/" TargetMode="External"/><Relationship Id="rId235" Type="http://schemas.openxmlformats.org/officeDocument/2006/relationships/hyperlink" Target="https://africanmarketingconfederation.org/conference-registrations-2024/" TargetMode="External"/><Relationship Id="rId277" Type="http://schemas.openxmlformats.org/officeDocument/2006/relationships/hyperlink" Target="https://africanmarketingconfederation.org/amc-sponsors-2025/" TargetMode="External"/><Relationship Id="rId400" Type="http://schemas.openxmlformats.org/officeDocument/2006/relationships/hyperlink" Target="https://africanmarketingconfederation.org/amc-marketing-conference-2024/testimony-thank-you-page/" TargetMode="External"/><Relationship Id="rId442" Type="http://schemas.openxmlformats.org/officeDocument/2006/relationships/hyperlink" Target="https://africanmarketingconfederation.org/amc-marketing-conference-2024/speakers-2024/" TargetMode="External"/><Relationship Id="rId484" Type="http://schemas.openxmlformats.org/officeDocument/2006/relationships/hyperlink" Target="https://africanmarketingconfederation.org/subscribe/" TargetMode="External"/><Relationship Id="rId705" Type="http://schemas.openxmlformats.org/officeDocument/2006/relationships/hyperlink" Target="https://africanmarketingconfederation.org/amc-masterclass-thank-you/" TargetMode="External"/><Relationship Id="rId137" Type="http://schemas.openxmlformats.org/officeDocument/2006/relationships/hyperlink" Target="https://africanmarketingconfederation.org/awards-2026-1/" TargetMode="External"/><Relationship Id="rId302" Type="http://schemas.openxmlformats.org/officeDocument/2006/relationships/hyperlink" Target="https://africanmarketingconfederation.org/checkout/" TargetMode="External"/><Relationship Id="rId344" Type="http://schemas.openxmlformats.org/officeDocument/2006/relationships/hyperlink" Target="https://africanmarketingconfederation.org/amc-forum-payments/" TargetMode="External"/><Relationship Id="rId691" Type="http://schemas.openxmlformats.org/officeDocument/2006/relationships/hyperlink" Target="https://africanmarketingconfederation.org/amc-masterclass/" TargetMode="External"/><Relationship Id="rId747" Type="http://schemas.openxmlformats.org/officeDocument/2006/relationships/hyperlink" Target="https://africanmarketingconfederation.org/test-homeslider/" TargetMode="External"/><Relationship Id="rId41" Type="http://schemas.openxmlformats.org/officeDocument/2006/relationships/hyperlink" Target="https://africanmarketingconfederation.org/amc-conference-2026/" TargetMode="External"/><Relationship Id="rId83" Type="http://schemas.openxmlformats.org/officeDocument/2006/relationships/hyperlink" Target="https://africanmarketingconfederation.org/contact-us/" TargetMode="External"/><Relationship Id="rId179" Type="http://schemas.openxmlformats.org/officeDocument/2006/relationships/hyperlink" Target="https://africanmarketingconfederation.org/amc-conference-2026-zambia-thank-you/" TargetMode="External"/><Relationship Id="rId386" Type="http://schemas.openxmlformats.org/officeDocument/2006/relationships/hyperlink" Target="https://africanmarketingconfederation.org/amc-marketing-conference-2024/" TargetMode="External"/><Relationship Id="rId551" Type="http://schemas.openxmlformats.org/officeDocument/2006/relationships/hyperlink" Target="https://africanmarketingconfederation.org/thank-you-for-the-submission-2024/" TargetMode="External"/><Relationship Id="rId593" Type="http://schemas.openxmlformats.org/officeDocument/2006/relationships/hyperlink" Target="https://africanmarketingconfederation.org/amc-conference-2023/partners/" TargetMode="External"/><Relationship Id="rId607" Type="http://schemas.openxmlformats.org/officeDocument/2006/relationships/hyperlink" Target="https://africanmarketingconfederation.org/chartered-marketer-africa-thank-you/" TargetMode="External"/><Relationship Id="rId649" Type="http://schemas.openxmlformats.org/officeDocument/2006/relationships/hyperlink" Target="https://africanmarketingconfederation.org/amc-conference-2023/book-now-thank-you/" TargetMode="External"/><Relationship Id="rId190" Type="http://schemas.openxmlformats.org/officeDocument/2006/relationships/hyperlink" Target="https://africanmarketingconfederation.org/amc-launch-event-zambia-thank-you-2026/" TargetMode="External"/><Relationship Id="rId204" Type="http://schemas.openxmlformats.org/officeDocument/2006/relationships/hyperlink" Target="https://africanmarketingconfederation.org/amc-conference-2025-highlights/" TargetMode="External"/><Relationship Id="rId246" Type="http://schemas.openxmlformats.org/officeDocument/2006/relationships/hyperlink" Target="https://africanmarketingconfederation.org/amc-conference-2024-recap/" TargetMode="External"/><Relationship Id="rId288" Type="http://schemas.openxmlformats.org/officeDocument/2006/relationships/hyperlink" Target="https://africanmarketingconfederation.org/amc-conference-2022-prospectus/" TargetMode="External"/><Relationship Id="rId411" Type="http://schemas.openxmlformats.org/officeDocument/2006/relationships/hyperlink" Target="https://africanmarketingconfederation.org/amc-sign-up-now-form-2025/" TargetMode="External"/><Relationship Id="rId453" Type="http://schemas.openxmlformats.org/officeDocument/2006/relationships/hyperlink" Target="https://africanmarketingconfederation.org/thank-you-for-registering-2024-registrations/" TargetMode="External"/><Relationship Id="rId509" Type="http://schemas.openxmlformats.org/officeDocument/2006/relationships/hyperlink" Target="https://africanmarketingconfederation.org/chartered-marketer-africa-final-submission-fee/" TargetMode="External"/><Relationship Id="rId660" Type="http://schemas.openxmlformats.org/officeDocument/2006/relationships/hyperlink" Target="https://africanmarketingconfederation.org/amc-conference-thank-you/" TargetMode="External"/><Relationship Id="rId106" Type="http://schemas.openxmlformats.org/officeDocument/2006/relationships/hyperlink" Target="https://africanmarketingconfederation.org/african-marketing-confederation-tourism-chapter/" TargetMode="External"/><Relationship Id="rId313" Type="http://schemas.openxmlformats.org/officeDocument/2006/relationships/hyperlink" Target="https://africanmarketingconfederation.org/amc-marketing-conference-2024/amc-preregister-2025/" TargetMode="External"/><Relationship Id="rId495" Type="http://schemas.openxmlformats.org/officeDocument/2006/relationships/hyperlink" Target="https://africanmarketingconfederation.org/elementor-20341/" TargetMode="External"/><Relationship Id="rId716" Type="http://schemas.openxmlformats.org/officeDocument/2006/relationships/hyperlink" Target="https://africanmarketingconfederation.org/amc-masterclass-bookings/" TargetMode="External"/><Relationship Id="rId758" Type="http://schemas.openxmlformats.org/officeDocument/2006/relationships/hyperlink" Target="https://africanmarketingconfederation.org/general-enquiry-form-thank-you/" TargetMode="External"/><Relationship Id="rId10" Type="http://schemas.openxmlformats.org/officeDocument/2006/relationships/hyperlink" Target="https://africanmarketingconfederation.org/" TargetMode="External"/><Relationship Id="rId52" Type="http://schemas.openxmlformats.org/officeDocument/2006/relationships/hyperlink" Target="https://africanmarketingconfederation.org/certified-professional-marketer-africa/" TargetMode="External"/><Relationship Id="rId94" Type="http://schemas.openxmlformats.org/officeDocument/2006/relationships/hyperlink" Target="https://africanmarketingconfederation.org/news-articles/" TargetMode="External"/><Relationship Id="rId148" Type="http://schemas.openxmlformats.org/officeDocument/2006/relationships/hyperlink" Target="https://africanmarketingconfederation.org/awards-2026-test/" TargetMode="External"/><Relationship Id="rId355" Type="http://schemas.openxmlformats.org/officeDocument/2006/relationships/hyperlink" Target="https://africanmarketingconfederation.org/amc-conference-2023/" TargetMode="External"/><Relationship Id="rId397" Type="http://schemas.openxmlformats.org/officeDocument/2006/relationships/hyperlink" Target="https://africanmarketingconfederation.org/amc-marketing-conference-2024/testimony-thank-you-page/" TargetMode="External"/><Relationship Id="rId520" Type="http://schemas.openxmlformats.org/officeDocument/2006/relationships/hyperlink" Target="https://africanmarketingconfederation.org/download-brochure/" TargetMode="External"/><Relationship Id="rId562" Type="http://schemas.openxmlformats.org/officeDocument/2006/relationships/hyperlink" Target="https://africanmarketingconfederation.org/elementor-16548/" TargetMode="External"/><Relationship Id="rId618" Type="http://schemas.openxmlformats.org/officeDocument/2006/relationships/hyperlink" Target="https://africanmarketingconfederation.org/amc-conference-2023/amc-awards-book-now/" TargetMode="External"/><Relationship Id="rId215" Type="http://schemas.openxmlformats.org/officeDocument/2006/relationships/hyperlink" Target="https://africanmarketingconfederation.org/amc-conference-2022/" TargetMode="External"/><Relationship Id="rId257" Type="http://schemas.openxmlformats.org/officeDocument/2006/relationships/hyperlink" Target="https://africanmarketingconfederation.org/amc-marketing-conference-2024/amc-programme-2025/" TargetMode="External"/><Relationship Id="rId422" Type="http://schemas.openxmlformats.org/officeDocument/2006/relationships/hyperlink" Target="https://africanmarketingconfederation.org/amc-testimony-page-2024/" TargetMode="External"/><Relationship Id="rId464" Type="http://schemas.openxmlformats.org/officeDocument/2006/relationships/hyperlink" Target="https://africanmarketingconfederation.org/download-prospectus-2024/" TargetMode="External"/><Relationship Id="rId299" Type="http://schemas.openxmlformats.org/officeDocument/2006/relationships/hyperlink" Target="https://africanmarketingconfederation.org/test-payment-gate/" TargetMode="External"/><Relationship Id="rId727" Type="http://schemas.openxmlformats.org/officeDocument/2006/relationships/hyperlink" Target="https://africanmarketingconfederation.org/amc-conference-programme/" TargetMode="External"/><Relationship Id="rId63" Type="http://schemas.openxmlformats.org/officeDocument/2006/relationships/hyperlink" Target="https://africanmarketingconfederation.org/chartered-marketer-africa/" TargetMode="External"/><Relationship Id="rId159" Type="http://schemas.openxmlformats.org/officeDocument/2006/relationships/hyperlink" Target="https://africanmarketingconfederation.org/speakers-2025/" TargetMode="External"/><Relationship Id="rId366" Type="http://schemas.openxmlformats.org/officeDocument/2006/relationships/hyperlink" Target="https://africanmarketingconfederation.org/amc-awards-2024/" TargetMode="External"/><Relationship Id="rId573" Type="http://schemas.openxmlformats.org/officeDocument/2006/relationships/hyperlink" Target="https://africanmarketingconfederation.org/amc-conference-2023/amc-awards/" TargetMode="External"/><Relationship Id="rId780" Type="http://schemas.openxmlformats.org/officeDocument/2006/relationships/hyperlink" Target="https://africanmarketingconfederation.org/privacy-policy/" TargetMode="External"/><Relationship Id="rId226" Type="http://schemas.openxmlformats.org/officeDocument/2006/relationships/hyperlink" Target="https://africanmarketingconfederation.org/amc-conference-2023/gallery/" TargetMode="External"/><Relationship Id="rId433" Type="http://schemas.openxmlformats.org/officeDocument/2006/relationships/hyperlink" Target="https://africanmarketingconfederation.org/amc-conference-sponsors/" TargetMode="External"/><Relationship Id="rId640" Type="http://schemas.openxmlformats.org/officeDocument/2006/relationships/hyperlink" Target="https://africanmarketingconfederation.org/amc-conference-2023/download-prospectus/" TargetMode="External"/><Relationship Id="rId738" Type="http://schemas.openxmlformats.org/officeDocument/2006/relationships/hyperlink" Target="https://africanmarketingconfederation.org/virtual-programme/" TargetMode="External"/><Relationship Id="rId74" Type="http://schemas.openxmlformats.org/officeDocument/2006/relationships/hyperlink" Target="https://africanmarketingconfederation.org/awards-2026/" TargetMode="External"/><Relationship Id="rId377" Type="http://schemas.openxmlformats.org/officeDocument/2006/relationships/hyperlink" Target="https://africanmarketingconfederation.org/amc-forum-mombasa/" TargetMode="External"/><Relationship Id="rId500" Type="http://schemas.openxmlformats.org/officeDocument/2006/relationships/hyperlink" Target="https://africanmarketingconfederation.org/chartered-marketer-africa-programme-fee/" TargetMode="External"/><Relationship Id="rId584" Type="http://schemas.openxmlformats.org/officeDocument/2006/relationships/hyperlink" Target="https://africanmarketingconfederation.org/amc-conference-2023/programme/" TargetMode="External"/><Relationship Id="rId5" Type="http://schemas.openxmlformats.org/officeDocument/2006/relationships/hyperlink" Target="https://africanmarketingconfederation.org/publications-2/" TargetMode="External"/><Relationship Id="rId237" Type="http://schemas.openxmlformats.org/officeDocument/2006/relationships/hyperlink" Target="https://africanmarketingconfederation.org/elementor-31820/" TargetMode="External"/><Relationship Id="rId444" Type="http://schemas.openxmlformats.org/officeDocument/2006/relationships/hyperlink" Target="https://africanmarketingconfederation.org/amc-marketing-conference-2024/speakers-2024/" TargetMode="External"/><Relationship Id="rId651" Type="http://schemas.openxmlformats.org/officeDocument/2006/relationships/hyperlink" Target="https://africanmarketingconfederation.org/amc-conference-2023/book-now-thank-you/" TargetMode="External"/><Relationship Id="rId749" Type="http://schemas.openxmlformats.org/officeDocument/2006/relationships/hyperlink" Target="https://africanmarketingconfederation.org/test-homeslider/" TargetMode="External"/><Relationship Id="rId290" Type="http://schemas.openxmlformats.org/officeDocument/2006/relationships/hyperlink" Target="https://africanmarketingconfederation.org/amc-conference-2022-prospectus/" TargetMode="External"/><Relationship Id="rId304" Type="http://schemas.openxmlformats.org/officeDocument/2006/relationships/hyperlink" Target="https://africanmarketingconfederation.org/checkout/" TargetMode="External"/><Relationship Id="rId388" Type="http://schemas.openxmlformats.org/officeDocument/2006/relationships/hyperlink" Target="https://africanmarketingconfederation.org/amc-marketing-conference-2024/amc-speakers-presentations-2024/" TargetMode="External"/><Relationship Id="rId511" Type="http://schemas.openxmlformats.org/officeDocument/2006/relationships/hyperlink" Target="https://africanmarketingconfederation.org/chartered-marketer-africa-final-submission-fee/" TargetMode="External"/><Relationship Id="rId609" Type="http://schemas.openxmlformats.org/officeDocument/2006/relationships/hyperlink" Target="https://africanmarketingconfederation.org/chartered-marketer-africa-thank-you/" TargetMode="External"/><Relationship Id="rId85" Type="http://schemas.openxmlformats.org/officeDocument/2006/relationships/hyperlink" Target="https://africanmarketingconfederation.org/contact-us/" TargetMode="External"/><Relationship Id="rId150" Type="http://schemas.openxmlformats.org/officeDocument/2006/relationships/hyperlink" Target="https://africanmarketingconfederation.org/awards-2026-test/" TargetMode="External"/><Relationship Id="rId595" Type="http://schemas.openxmlformats.org/officeDocument/2006/relationships/hyperlink" Target="https://africanmarketingconfederation.org/amc-conference-2023/partners/" TargetMode="External"/><Relationship Id="rId248" Type="http://schemas.openxmlformats.org/officeDocument/2006/relationships/hyperlink" Target="https://africanmarketingconfederation.org/amc-conference-2024-recap/" TargetMode="External"/><Relationship Id="rId455" Type="http://schemas.openxmlformats.org/officeDocument/2006/relationships/hyperlink" Target="https://africanmarketingconfederation.org/thank-you-for-registering-2024-registrations/" TargetMode="External"/><Relationship Id="rId662" Type="http://schemas.openxmlformats.org/officeDocument/2006/relationships/hyperlink" Target="https://africanmarketingconfederation.org/upcoming-events/" TargetMode="External"/><Relationship Id="rId12" Type="http://schemas.openxmlformats.org/officeDocument/2006/relationships/hyperlink" Target="https://africanmarketingconfederation.org/" TargetMode="External"/><Relationship Id="rId108" Type="http://schemas.openxmlformats.org/officeDocument/2006/relationships/hyperlink" Target="https://africanmarketingconfederation.org/african-marketing-confederation-tourism-chapter/" TargetMode="External"/><Relationship Id="rId315" Type="http://schemas.openxmlformats.org/officeDocument/2006/relationships/hyperlink" Target="https://africanmarketingconfederation.org/amc-marketing-conference-2024/amc-preregister-2025/" TargetMode="External"/><Relationship Id="rId522" Type="http://schemas.openxmlformats.org/officeDocument/2006/relationships/hyperlink" Target="https://africanmarketingconfederation.org/download-brochure/" TargetMode="External"/><Relationship Id="rId96" Type="http://schemas.openxmlformats.org/officeDocument/2006/relationships/hyperlink" Target="https://africanmarketingconfederation.org/news-articles/" TargetMode="External"/><Relationship Id="rId161" Type="http://schemas.openxmlformats.org/officeDocument/2006/relationships/hyperlink" Target="https://africanmarketingconfederation.org/speakers-2025/" TargetMode="External"/><Relationship Id="rId399" Type="http://schemas.openxmlformats.org/officeDocument/2006/relationships/hyperlink" Target="https://africanmarketingconfederation.org/amc-marketing-conference-2024/testimony-thank-you-page/" TargetMode="External"/><Relationship Id="rId259" Type="http://schemas.openxmlformats.org/officeDocument/2006/relationships/hyperlink" Target="https://africanmarketingconfederation.org/amc-marketing-conference-2024/amc-programme-2025/" TargetMode="External"/><Relationship Id="rId466" Type="http://schemas.openxmlformats.org/officeDocument/2006/relationships/hyperlink" Target="https://africanmarketingconfederation.org/download-prospectus-2024/" TargetMode="External"/><Relationship Id="rId673" Type="http://schemas.openxmlformats.org/officeDocument/2006/relationships/hyperlink" Target="https://africanmarketingconfederation.org/thank-you-for-subscribing/" TargetMode="External"/><Relationship Id="rId23" Type="http://schemas.openxmlformats.org/officeDocument/2006/relationships/hyperlink" Target="https://africanmarketingconfederation.org/publication-download-list/" TargetMode="External"/><Relationship Id="rId119" Type="http://schemas.openxmlformats.org/officeDocument/2006/relationships/hyperlink" Target="https://africanmarketingconfederation.org/sub-committees/" TargetMode="External"/><Relationship Id="rId326" Type="http://schemas.openxmlformats.org/officeDocument/2006/relationships/hyperlink" Target="https://africanmarketingconfederation.org/conference-faq-2025/" TargetMode="External"/><Relationship Id="rId533" Type="http://schemas.openxmlformats.org/officeDocument/2006/relationships/hyperlink" Target="https://africanmarketingconfederation.org/thank-you-for-the-nomination-2024/" TargetMode="External"/><Relationship Id="rId740" Type="http://schemas.openxmlformats.org/officeDocument/2006/relationships/hyperlink" Target="https://africanmarketingconfederation.org/test-homeslider/" TargetMode="External"/><Relationship Id="rId172" Type="http://schemas.openxmlformats.org/officeDocument/2006/relationships/hyperlink" Target="https://africanmarketingconfederation.org/amc-conference-2026-zambia-thank-you/" TargetMode="External"/><Relationship Id="rId477" Type="http://schemas.openxmlformats.org/officeDocument/2006/relationships/hyperlink" Target="https://africanmarketingconfederation.org/subscribe/" TargetMode="External"/><Relationship Id="rId600" Type="http://schemas.openxmlformats.org/officeDocument/2006/relationships/hyperlink" Target="https://africanmarketingconfederation.org/amc-conference-2023/speakers/" TargetMode="External"/><Relationship Id="rId684" Type="http://schemas.openxmlformats.org/officeDocument/2006/relationships/hyperlink" Target="https://africanmarketingconfederation.org/amc-relaunch-programme/" TargetMode="External"/><Relationship Id="rId337" Type="http://schemas.openxmlformats.org/officeDocument/2006/relationships/hyperlink" Target="https://africanmarketingconfederation.org/amc-marketing-conference-2024/amc-launch-event-2025/" TargetMode="External"/><Relationship Id="rId34" Type="http://schemas.openxmlformats.org/officeDocument/2006/relationships/hyperlink" Target="https://africanmarketingconfederation.org/launch-event-2026-amc-conference/" TargetMode="External"/><Relationship Id="rId544" Type="http://schemas.openxmlformats.org/officeDocument/2006/relationships/hyperlink" Target="https://africanmarketingconfederation.org/thank-you-for-the-submission-2024/" TargetMode="External"/><Relationship Id="rId751" Type="http://schemas.openxmlformats.org/officeDocument/2006/relationships/hyperlink" Target="https://africanmarketingconfederation.org/general-enquiry-form-thank-you/" TargetMode="External"/><Relationship Id="rId183" Type="http://schemas.openxmlformats.org/officeDocument/2006/relationships/hyperlink" Target="https://africanmarketingconfederation.org/amc-launch-event-zambia-thank-you-2026/" TargetMode="External"/><Relationship Id="rId390" Type="http://schemas.openxmlformats.org/officeDocument/2006/relationships/hyperlink" Target="https://africanmarketingconfederation.org/amc-marketing-conference-2024/amc-speakers-presentations-2024/" TargetMode="External"/><Relationship Id="rId404" Type="http://schemas.openxmlformats.org/officeDocument/2006/relationships/hyperlink" Target="https://africanmarketingconfederation.org/amc-marketing-conference-2024/testimony-thank-you-page/" TargetMode="External"/><Relationship Id="rId611" Type="http://schemas.openxmlformats.org/officeDocument/2006/relationships/hyperlink" Target="https://africanmarketingconfederation.org/chartered-marketer-africa-thank-you/" TargetMode="External"/><Relationship Id="rId250" Type="http://schemas.openxmlformats.org/officeDocument/2006/relationships/hyperlink" Target="https://africanmarketingconfederation.org/amc-conference-2024-recap/" TargetMode="External"/><Relationship Id="rId488" Type="http://schemas.openxmlformats.org/officeDocument/2006/relationships/hyperlink" Target="https://africanmarketingconfederation.org/elementor-20341/" TargetMode="External"/><Relationship Id="rId695" Type="http://schemas.openxmlformats.org/officeDocument/2006/relationships/hyperlink" Target="https://africanmarketingconfederation.org/amc-masterclass/" TargetMode="External"/><Relationship Id="rId709" Type="http://schemas.openxmlformats.org/officeDocument/2006/relationships/hyperlink" Target="https://africanmarketingconfederation.org/amc-masterclass-thank-you/" TargetMode="External"/><Relationship Id="rId45" Type="http://schemas.openxmlformats.org/officeDocument/2006/relationships/hyperlink" Target="https://africanmarketingconfederation.org/amc-conference-2026/" TargetMode="External"/><Relationship Id="rId110" Type="http://schemas.openxmlformats.org/officeDocument/2006/relationships/hyperlink" Target="https://africanmarketingconfederation.org/members/" TargetMode="External"/><Relationship Id="rId348" Type="http://schemas.openxmlformats.org/officeDocument/2006/relationships/hyperlink" Target="https://africanmarketingconfederation.org/amc-forum-payments/" TargetMode="External"/><Relationship Id="rId555" Type="http://schemas.openxmlformats.org/officeDocument/2006/relationships/hyperlink" Target="https://africanmarketingconfederation.org/elementor-16548/" TargetMode="External"/><Relationship Id="rId762" Type="http://schemas.openxmlformats.org/officeDocument/2006/relationships/hyperlink" Target="https://africanmarketingconfederation.org/amc-conference-2022-thank-you/" TargetMode="External"/><Relationship Id="rId194" Type="http://schemas.openxmlformats.org/officeDocument/2006/relationships/hyperlink" Target="https://africanmarketingconfederation.org/amc-marketing-conference-2024/awards-2025/" TargetMode="External"/><Relationship Id="rId208" Type="http://schemas.openxmlformats.org/officeDocument/2006/relationships/hyperlink" Target="https://africanmarketingconfederation.org/amc-conference-2025-highlights/" TargetMode="External"/><Relationship Id="rId415" Type="http://schemas.openxmlformats.org/officeDocument/2006/relationships/hyperlink" Target="https://africanmarketingconfederation.org/amc-testimony-page-2024/" TargetMode="External"/><Relationship Id="rId622" Type="http://schemas.openxmlformats.org/officeDocument/2006/relationships/hyperlink" Target="https://africanmarketingconfederation.org/amc-conference-2023/amc-awards-book-now/" TargetMode="External"/><Relationship Id="rId261" Type="http://schemas.openxmlformats.org/officeDocument/2006/relationships/hyperlink" Target="https://africanmarketingconfederation.org/amc-marketing-conference-2024/amc-programme-2025/" TargetMode="External"/><Relationship Id="rId499" Type="http://schemas.openxmlformats.org/officeDocument/2006/relationships/hyperlink" Target="https://africanmarketingconfederation.org/chartered-marketer-africa-programme-fee/" TargetMode="External"/><Relationship Id="rId56" Type="http://schemas.openxmlformats.org/officeDocument/2006/relationships/hyperlink" Target="https://africanmarketingconfederation.org/certified-professional-marketer-africa/" TargetMode="External"/><Relationship Id="rId359" Type="http://schemas.openxmlformats.org/officeDocument/2006/relationships/hyperlink" Target="https://africanmarketingconfederation.org/amc-conference-2023/" TargetMode="External"/><Relationship Id="rId566" Type="http://schemas.openxmlformats.org/officeDocument/2006/relationships/hyperlink" Target="https://africanmarketingconfederation.org/amc-marketing-conference-2024/programme-2024/" TargetMode="External"/><Relationship Id="rId773" Type="http://schemas.openxmlformats.org/officeDocument/2006/relationships/hyperlink" Target="https://africanmarketingconfederation.org/speakers/" TargetMode="External"/><Relationship Id="rId121" Type="http://schemas.openxmlformats.org/officeDocument/2006/relationships/hyperlink" Target="https://africanmarketingconfederation.org/sub-committees/" TargetMode="External"/><Relationship Id="rId219" Type="http://schemas.openxmlformats.org/officeDocument/2006/relationships/hyperlink" Target="https://africanmarketingconfederation.org/amc-conference-2022/" TargetMode="External"/><Relationship Id="rId426" Type="http://schemas.openxmlformats.org/officeDocument/2006/relationships/hyperlink" Target="https://africanmarketingconfederation.org/amc-conference-sponsors/" TargetMode="External"/><Relationship Id="rId633" Type="http://schemas.openxmlformats.org/officeDocument/2006/relationships/hyperlink" Target="https://africanmarketingconfederation.org/amc-conference-2023/book-now/" TargetMode="External"/><Relationship Id="rId67" Type="http://schemas.openxmlformats.org/officeDocument/2006/relationships/hyperlink" Target="https://africanmarketingconfederation.org/education/" TargetMode="External"/><Relationship Id="rId272" Type="http://schemas.openxmlformats.org/officeDocument/2006/relationships/hyperlink" Target="https://africanmarketingconfederation.org/amc-conference-2025/" TargetMode="External"/><Relationship Id="rId577" Type="http://schemas.openxmlformats.org/officeDocument/2006/relationships/hyperlink" Target="https://africanmarketingconfederation.org/amc-conference-2023/amc-awards/" TargetMode="External"/><Relationship Id="rId700" Type="http://schemas.openxmlformats.org/officeDocument/2006/relationships/hyperlink" Target="https://africanmarketingconfederation.org/amc-masterclass/" TargetMode="External"/><Relationship Id="rId132" Type="http://schemas.openxmlformats.org/officeDocument/2006/relationships/hyperlink" Target="https://africanmarketingconfederation.org/about-us/" TargetMode="External"/><Relationship Id="rId784" Type="http://schemas.openxmlformats.org/officeDocument/2006/relationships/hyperlink" Target="https://africanmarketingconfederation.org/privacy-policy/" TargetMode="External"/><Relationship Id="rId437" Type="http://schemas.openxmlformats.org/officeDocument/2006/relationships/hyperlink" Target="https://africanmarketingconfederation.org/amc-marketing-conference-2024/speakers-2024/" TargetMode="External"/><Relationship Id="rId644" Type="http://schemas.openxmlformats.org/officeDocument/2006/relationships/hyperlink" Target="https://africanmarketingconfederation.org/amc-conference-2023/book-now-thank-you/" TargetMode="External"/><Relationship Id="rId283" Type="http://schemas.openxmlformats.org/officeDocument/2006/relationships/hyperlink" Target="https://africanmarketingconfederation.org/amc-conference-2022-prospectus/" TargetMode="External"/><Relationship Id="rId490" Type="http://schemas.openxmlformats.org/officeDocument/2006/relationships/hyperlink" Target="https://africanmarketingconfederation.org/elementor-20341/" TargetMode="External"/><Relationship Id="rId504" Type="http://schemas.openxmlformats.org/officeDocument/2006/relationships/hyperlink" Target="https://africanmarketingconfederation.org/chartered-marketer-africa-programme-fee/" TargetMode="External"/><Relationship Id="rId711" Type="http://schemas.openxmlformats.org/officeDocument/2006/relationships/hyperlink" Target="https://africanmarketingconfederation.org/amc-masterclass-bookings/" TargetMode="External"/><Relationship Id="rId78" Type="http://schemas.openxmlformats.org/officeDocument/2006/relationships/hyperlink" Target="https://africanmarketingconfederation.org/awards-2026/" TargetMode="External"/><Relationship Id="rId143" Type="http://schemas.openxmlformats.org/officeDocument/2006/relationships/hyperlink" Target="https://africanmarketingconfederation.org/awards-2026-1/" TargetMode="External"/><Relationship Id="rId350" Type="http://schemas.openxmlformats.org/officeDocument/2006/relationships/hyperlink" Target="https://africanmarketingconfederation.org/amc-forum-payments/" TargetMode="External"/><Relationship Id="rId588" Type="http://schemas.openxmlformats.org/officeDocument/2006/relationships/hyperlink" Target="https://africanmarketingconfederation.org/amc-conference-2023/partners/" TargetMode="External"/><Relationship Id="rId9" Type="http://schemas.openxmlformats.org/officeDocument/2006/relationships/hyperlink" Target="https://africanmarketingconfederation.org/publications-2/" TargetMode="External"/><Relationship Id="rId210" Type="http://schemas.openxmlformats.org/officeDocument/2006/relationships/hyperlink" Target="https://africanmarketingconfederation.org/amc-conference-2022/" TargetMode="External"/><Relationship Id="rId448" Type="http://schemas.openxmlformats.org/officeDocument/2006/relationships/hyperlink" Target="https://africanmarketingconfederation.org/thank-you-for-registering-2024-registrations/" TargetMode="External"/><Relationship Id="rId655" Type="http://schemas.openxmlformats.org/officeDocument/2006/relationships/hyperlink" Target="https://africanmarketingconfederation.org/amc-conference-thank-you/" TargetMode="External"/><Relationship Id="rId294" Type="http://schemas.openxmlformats.org/officeDocument/2006/relationships/hyperlink" Target="https://africanmarketingconfederation.org/test-payment-gate/" TargetMode="External"/><Relationship Id="rId308" Type="http://schemas.openxmlformats.org/officeDocument/2006/relationships/hyperlink" Target="https://africanmarketingconfederation.org/checkout/" TargetMode="External"/><Relationship Id="rId515" Type="http://schemas.openxmlformats.org/officeDocument/2006/relationships/hyperlink" Target="https://africanmarketingconfederation.org/download-brochure/" TargetMode="External"/><Relationship Id="rId722" Type="http://schemas.openxmlformats.org/officeDocument/2006/relationships/hyperlink" Target="https://africanmarketingconfederation.org/amc-conference-programme/" TargetMode="External"/><Relationship Id="rId89" Type="http://schemas.openxmlformats.org/officeDocument/2006/relationships/hyperlink" Target="https://africanmarketingconfederation.org/contact-us/" TargetMode="External"/><Relationship Id="rId154" Type="http://schemas.openxmlformats.org/officeDocument/2006/relationships/hyperlink" Target="https://africanmarketingconfederation.org/speakers-2025/" TargetMode="External"/><Relationship Id="rId361" Type="http://schemas.openxmlformats.org/officeDocument/2006/relationships/hyperlink" Target="https://africanmarketingconfederation.org/amc-conference-2023/" TargetMode="External"/><Relationship Id="rId599" Type="http://schemas.openxmlformats.org/officeDocument/2006/relationships/hyperlink" Target="https://africanmarketingconfederation.org/amc-conference-2023/speakers/" TargetMode="External"/><Relationship Id="rId459" Type="http://schemas.openxmlformats.org/officeDocument/2006/relationships/hyperlink" Target="https://africanmarketingconfederation.org/download-prospectus-2024/" TargetMode="External"/><Relationship Id="rId666"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 TargetMode="External"/><Relationship Id="rId221" Type="http://schemas.openxmlformats.org/officeDocument/2006/relationships/hyperlink" Target="https://africanmarketingconfederation.org/amc-conference-2023/gallery/" TargetMode="External"/><Relationship Id="rId319" Type="http://schemas.openxmlformats.org/officeDocument/2006/relationships/hyperlink" Target="https://africanmarketingconfederation.org/conference-faq-2025/" TargetMode="External"/><Relationship Id="rId526" Type="http://schemas.openxmlformats.org/officeDocument/2006/relationships/hyperlink" Target="https://africanmarketingconfederation.org/thank-you-for-the-nomination-2024/" TargetMode="External"/><Relationship Id="rId733" Type="http://schemas.openxmlformats.org/officeDocument/2006/relationships/hyperlink" Target="https://africanmarketingconfederation.org/virtual-programme/" TargetMode="External"/><Relationship Id="rId165" Type="http://schemas.openxmlformats.org/officeDocument/2006/relationships/hyperlink" Target="https://africanmarketingconfederation.org/amc-conference-2026-awards-nominations-thank-you/" TargetMode="External"/><Relationship Id="rId372" Type="http://schemas.openxmlformats.org/officeDocument/2006/relationships/hyperlink" Target="https://africanmarketingconfederation.org/amc-forum-mombasa/" TargetMode="External"/><Relationship Id="rId677" Type="http://schemas.openxmlformats.org/officeDocument/2006/relationships/hyperlink" Target="https://africanmarketingconfederation.org/thank-you-for-subscribing/" TargetMode="External"/><Relationship Id="rId232" Type="http://schemas.openxmlformats.org/officeDocument/2006/relationships/hyperlink" Target="https://africanmarketingconfederation.org/conference-registrations-2024/" TargetMode="External"/><Relationship Id="rId27" Type="http://schemas.openxmlformats.org/officeDocument/2006/relationships/hyperlink" Target="https://africanmarketingconfederation.org/publication-download-list/" TargetMode="External"/><Relationship Id="rId537" Type="http://schemas.openxmlformats.org/officeDocument/2006/relationships/hyperlink" Target="https://africanmarketingconfederation.org/amc-conference-2024-sponsors-packages/" TargetMode="External"/><Relationship Id="rId744" Type="http://schemas.openxmlformats.org/officeDocument/2006/relationships/hyperlink" Target="https://africanmarketingconfederation.org/test-homeslider/" TargetMode="External"/><Relationship Id="rId80" Type="http://schemas.openxmlformats.org/officeDocument/2006/relationships/hyperlink" Target="https://africanmarketingconfederation.org/awards-2026/" TargetMode="External"/><Relationship Id="rId176" Type="http://schemas.openxmlformats.org/officeDocument/2006/relationships/hyperlink" Target="https://africanmarketingconfederation.org/amc-conference-2026-zambia-thank-you/" TargetMode="External"/><Relationship Id="rId383" Type="http://schemas.openxmlformats.org/officeDocument/2006/relationships/hyperlink" Target="https://africanmarketingconfederation.org/amc-marketing-conference-2024/" TargetMode="External"/><Relationship Id="rId590" Type="http://schemas.openxmlformats.org/officeDocument/2006/relationships/hyperlink" Target="https://africanmarketingconfederation.org/amc-conference-2023/partners/" TargetMode="External"/><Relationship Id="rId604" Type="http://schemas.openxmlformats.org/officeDocument/2006/relationships/hyperlink" Target="https://africanmarketingconfederation.org/amc-conference-2023/speakers/" TargetMode="External"/><Relationship Id="rId243" Type="http://schemas.openxmlformats.org/officeDocument/2006/relationships/hyperlink" Target="https://africanmarketingconfederation.org/elementor-31820/" TargetMode="External"/><Relationship Id="rId450" Type="http://schemas.openxmlformats.org/officeDocument/2006/relationships/hyperlink" Target="https://africanmarketingconfederation.org/thank-you-for-registering-2024-registrations/" TargetMode="External"/><Relationship Id="rId688" Type="http://schemas.openxmlformats.org/officeDocument/2006/relationships/hyperlink" Target="https://africanmarketingconfederation.org/amc-relaunch-programme/" TargetMode="External"/><Relationship Id="rId38" Type="http://schemas.openxmlformats.org/officeDocument/2006/relationships/hyperlink" Target="https://africanmarketingconfederation.org/launch-event-2026-amc-conference/" TargetMode="External"/><Relationship Id="rId103" Type="http://schemas.openxmlformats.org/officeDocument/2006/relationships/hyperlink" Target="https://africanmarketingconfederation.org/african-marketing-confederation-tourism-chapter/" TargetMode="External"/><Relationship Id="rId310" Type="http://schemas.openxmlformats.org/officeDocument/2006/relationships/hyperlink" Target="https://africanmarketingconfederation.org/checkout/" TargetMode="External"/><Relationship Id="rId548" Type="http://schemas.openxmlformats.org/officeDocument/2006/relationships/hyperlink" Target="https://africanmarketingconfederation.org/thank-you-for-the-submission-2024/" TargetMode="External"/><Relationship Id="rId755" Type="http://schemas.openxmlformats.org/officeDocument/2006/relationships/hyperlink" Target="https://africanmarketingconfederation.org/general-enquiry-form-thank-you/" TargetMode="External"/><Relationship Id="rId91" Type="http://schemas.openxmlformats.org/officeDocument/2006/relationships/hyperlink" Target="https://africanmarketingconfederation.org/contact-us/" TargetMode="External"/><Relationship Id="rId187" Type="http://schemas.openxmlformats.org/officeDocument/2006/relationships/hyperlink" Target="https://africanmarketingconfederation.org/amc-launch-event-zambia-thank-you-2026/" TargetMode="External"/><Relationship Id="rId394" Type="http://schemas.openxmlformats.org/officeDocument/2006/relationships/hyperlink" Target="https://africanmarketingconfederation.org/amc-marketing-conference-2024/amc-speakers-presentations-2024/" TargetMode="External"/><Relationship Id="rId408" Type="http://schemas.openxmlformats.org/officeDocument/2006/relationships/hyperlink" Target="https://africanmarketingconfederation.org/amc-sign-up-now-form-2025/" TargetMode="External"/><Relationship Id="rId615" Type="http://schemas.openxmlformats.org/officeDocument/2006/relationships/hyperlink" Target="https://africanmarketingconfederation.org/amc-conference-2023/amc-awards-book-now/" TargetMode="External"/><Relationship Id="rId254" Type="http://schemas.openxmlformats.org/officeDocument/2006/relationships/hyperlink" Target="https://africanmarketingconfederation.org/amc-marketing-conference-2024/amc-programme-2025/" TargetMode="External"/><Relationship Id="rId699" Type="http://schemas.openxmlformats.org/officeDocument/2006/relationships/hyperlink" Target="https://africanmarketingconfederation.org/amc-masterclass/" TargetMode="External"/><Relationship Id="rId49" Type="http://schemas.openxmlformats.org/officeDocument/2006/relationships/hyperlink" Target="https://africanmarketingconfederation.org/certified-professional-marketer-africa/" TargetMode="External"/><Relationship Id="rId114" Type="http://schemas.openxmlformats.org/officeDocument/2006/relationships/hyperlink" Target="https://africanmarketingconfederation.org/members/" TargetMode="External"/><Relationship Id="rId461" Type="http://schemas.openxmlformats.org/officeDocument/2006/relationships/hyperlink" Target="https://africanmarketingconfederation.org/download-prospectus-2024/" TargetMode="External"/><Relationship Id="rId559" Type="http://schemas.openxmlformats.org/officeDocument/2006/relationships/hyperlink" Target="https://africanmarketingconfederation.org/elementor-16548/" TargetMode="External"/><Relationship Id="rId766" Type="http://schemas.openxmlformats.org/officeDocument/2006/relationships/hyperlink" Target="https://africanmarketingconfederation.org/amc-conference-2022-thank-you/" TargetMode="External"/><Relationship Id="rId198" Type="http://schemas.openxmlformats.org/officeDocument/2006/relationships/hyperlink" Target="https://africanmarketingconfederation.org/amc-marketing-conference-2024/awards-2025/" TargetMode="External"/><Relationship Id="rId321" Type="http://schemas.openxmlformats.org/officeDocument/2006/relationships/hyperlink" Target="https://africanmarketingconfederation.org/conference-faq-2025/" TargetMode="External"/><Relationship Id="rId419" Type="http://schemas.openxmlformats.org/officeDocument/2006/relationships/hyperlink" Target="https://africanmarketingconfederation.org/amc-testimony-page-2024/" TargetMode="External"/><Relationship Id="rId626" Type="http://schemas.openxmlformats.org/officeDocument/2006/relationships/hyperlink" Target="https://africanmarketingconfederation.org/amc-conference-2023/book-now/" TargetMode="External"/><Relationship Id="rId265" Type="http://schemas.openxmlformats.org/officeDocument/2006/relationships/hyperlink" Target="https://africanmarketingconfederation.org/amc-conference-2025/" TargetMode="External"/><Relationship Id="rId472" Type="http://schemas.openxmlformats.org/officeDocument/2006/relationships/hyperlink" Target="https://africanmarketingconfederation.org/thank-you-for-registering-2024-registrations-kenya/" TargetMode="External"/><Relationship Id="rId125" Type="http://schemas.openxmlformats.org/officeDocument/2006/relationships/hyperlink" Target="https://africanmarketingconfederation.org/sub-committees/" TargetMode="External"/><Relationship Id="rId332" Type="http://schemas.openxmlformats.org/officeDocument/2006/relationships/hyperlink" Target="https://africanmarketingconfederation.org/amc-marketing-conference-2024/amc-conference-2025-ghana-sponsors/" TargetMode="External"/><Relationship Id="rId777" Type="http://schemas.openxmlformats.org/officeDocument/2006/relationships/hyperlink" Target="https://africanmarketingconfederation.org/speakers/" TargetMode="External"/><Relationship Id="rId637" Type="http://schemas.openxmlformats.org/officeDocument/2006/relationships/hyperlink" Target="https://africanmarketingconfederation.org/amc-conference-2023/download-prospectus/" TargetMode="External"/><Relationship Id="rId276" Type="http://schemas.openxmlformats.org/officeDocument/2006/relationships/hyperlink" Target="https://africanmarketingconfederation.org/amc-sponsors-2025/" TargetMode="External"/><Relationship Id="rId483" Type="http://schemas.openxmlformats.org/officeDocument/2006/relationships/hyperlink" Target="https://africanmarketingconfederation.org/subscribe/" TargetMode="External"/><Relationship Id="rId690" Type="http://schemas.openxmlformats.org/officeDocument/2006/relationships/hyperlink" Target="https://africanmarketingconfederation.org/amc-relaunch-programme/" TargetMode="External"/><Relationship Id="rId704" Type="http://schemas.openxmlformats.org/officeDocument/2006/relationships/hyperlink" Target="https://africanmarketingconfederation.org/amc-masterclass-thank-you/" TargetMode="External"/><Relationship Id="rId40" Type="http://schemas.openxmlformats.org/officeDocument/2006/relationships/hyperlink" Target="https://africanmarketingconfederation.org/amc-conference-2026/" TargetMode="External"/><Relationship Id="rId136" Type="http://schemas.openxmlformats.org/officeDocument/2006/relationships/hyperlink" Target="https://africanmarketingconfederation.org/awards-2026-1/" TargetMode="External"/><Relationship Id="rId343" Type="http://schemas.openxmlformats.org/officeDocument/2006/relationships/hyperlink" Target="https://africanmarketingconfederation.org/amc-marketing-conference-2024/amc-launch-event-2025/" TargetMode="External"/><Relationship Id="rId550" Type="http://schemas.openxmlformats.org/officeDocument/2006/relationships/hyperlink" Target="https://africanmarketingconfederation.org/thank-you-for-the-submission-2024/" TargetMode="External"/><Relationship Id="rId203" Type="http://schemas.openxmlformats.org/officeDocument/2006/relationships/hyperlink" Target="https://africanmarketingconfederation.org/amc-conference-2025-highlights/" TargetMode="External"/><Relationship Id="rId648" Type="http://schemas.openxmlformats.org/officeDocument/2006/relationships/hyperlink" Target="https://africanmarketingconfederation.org/amc-conference-2023/book-now-thank-you/" TargetMode="External"/><Relationship Id="rId287" Type="http://schemas.openxmlformats.org/officeDocument/2006/relationships/hyperlink" Target="https://africanmarketingconfederation.org/amc-conference-2022-prospectus/" TargetMode="External"/><Relationship Id="rId410" Type="http://schemas.openxmlformats.org/officeDocument/2006/relationships/hyperlink" Target="https://africanmarketingconfederation.org/amc-sign-up-now-form-2025/" TargetMode="External"/><Relationship Id="rId494" Type="http://schemas.openxmlformats.org/officeDocument/2006/relationships/hyperlink" Target="https://africanmarketingconfederation.org/elementor-20341/" TargetMode="External"/><Relationship Id="rId508" Type="http://schemas.openxmlformats.org/officeDocument/2006/relationships/hyperlink" Target="https://africanmarketingconfederation.org/chartered-marketer-africa-final-submission-fee/" TargetMode="External"/><Relationship Id="rId715" Type="http://schemas.openxmlformats.org/officeDocument/2006/relationships/hyperlink" Target="https://africanmarketingconfederation.org/amc-masterclass-bookings/" TargetMode="External"/><Relationship Id="rId147" Type="http://schemas.openxmlformats.org/officeDocument/2006/relationships/hyperlink" Target="https://africanmarketingconfederation.org/awards-2026-test/" TargetMode="External"/><Relationship Id="rId354"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561" Type="http://schemas.openxmlformats.org/officeDocument/2006/relationships/hyperlink" Target="https://africanmarketingconfederation.org/elementor-16548/" TargetMode="External"/><Relationship Id="rId659" Type="http://schemas.openxmlformats.org/officeDocument/2006/relationships/hyperlink" Target="https://africanmarketingconfederation.org/amc-conference-thank-you/" TargetMode="External"/><Relationship Id="rId214" Type="http://schemas.openxmlformats.org/officeDocument/2006/relationships/hyperlink" Target="https://africanmarketingconfederation.org/amc-conference-2022/" TargetMode="External"/><Relationship Id="rId298" Type="http://schemas.openxmlformats.org/officeDocument/2006/relationships/hyperlink" Target="https://africanmarketingconfederation.org/test-payment-gate/" TargetMode="External"/><Relationship Id="rId421" Type="http://schemas.openxmlformats.org/officeDocument/2006/relationships/hyperlink" Target="https://africanmarketingconfederation.org/amc-testimony-page-2024/" TargetMode="External"/><Relationship Id="rId519" Type="http://schemas.openxmlformats.org/officeDocument/2006/relationships/hyperlink" Target="https://africanmarketingconfederation.org/download-brochure/" TargetMode="External"/><Relationship Id="rId158" Type="http://schemas.openxmlformats.org/officeDocument/2006/relationships/hyperlink" Target="https://africanmarketingconfederation.org/speakers-2025/" TargetMode="External"/><Relationship Id="rId726" Type="http://schemas.openxmlformats.org/officeDocument/2006/relationships/hyperlink" Target="https://africanmarketingconfederation.org/amc-conference-programme/" TargetMode="External"/><Relationship Id="rId62" Type="http://schemas.openxmlformats.org/officeDocument/2006/relationships/hyperlink" Target="https://africanmarketingconfederation.org/chartered-marketer-africa/" TargetMode="External"/><Relationship Id="rId365" Type="http://schemas.openxmlformats.org/officeDocument/2006/relationships/hyperlink" Target="https://africanmarketingconfederation.org/amc-awards-2024/" TargetMode="External"/><Relationship Id="rId572" Type="http://schemas.openxmlformats.org/officeDocument/2006/relationships/hyperlink" Target="https://africanmarketingconfederation.org/amc-conference-2023/amc-awards/" TargetMode="External"/><Relationship Id="rId225" Type="http://schemas.openxmlformats.org/officeDocument/2006/relationships/hyperlink" Target="https://africanmarketingconfederation.org/amc-conference-2023/gallery/" TargetMode="External"/><Relationship Id="rId432" Type="http://schemas.openxmlformats.org/officeDocument/2006/relationships/hyperlink" Target="https://africanmarketingconfederation.org/amc-conference-sponsors/" TargetMode="External"/><Relationship Id="rId737" Type="http://schemas.openxmlformats.org/officeDocument/2006/relationships/hyperlink" Target="https://africanmarketingconfederation.org/virtual-programme/" TargetMode="External"/><Relationship Id="rId73" Type="http://schemas.openxmlformats.org/officeDocument/2006/relationships/hyperlink" Target="https://africanmarketingconfederation.org/education/" TargetMode="External"/><Relationship Id="rId169" Type="http://schemas.openxmlformats.org/officeDocument/2006/relationships/hyperlink" Target="https://africanmarketingconfederation.org/amc-conference-2026-awards-nominations-thank-you/" TargetMode="External"/><Relationship Id="rId376" Type="http://schemas.openxmlformats.org/officeDocument/2006/relationships/hyperlink" Target="https://africanmarketingconfederation.org/amc-forum-mombasa/" TargetMode="External"/><Relationship Id="rId583" Type="http://schemas.openxmlformats.org/officeDocument/2006/relationships/hyperlink" Target="https://africanmarketingconfederation.org/amc-conference-2023/programme/" TargetMode="External"/><Relationship Id="rId4" Type="http://schemas.openxmlformats.org/officeDocument/2006/relationships/hyperlink" Target="https://africanmarketingconfederation.org/publications-2/" TargetMode="External"/><Relationship Id="rId236" Type="http://schemas.openxmlformats.org/officeDocument/2006/relationships/hyperlink" Target="https://africanmarketingconfederation.org/conference-registrations-2024/" TargetMode="External"/><Relationship Id="rId443" Type="http://schemas.openxmlformats.org/officeDocument/2006/relationships/hyperlink" Target="https://africanmarketingconfederation.org/amc-marketing-conference-2024/speakers-2024/" TargetMode="External"/><Relationship Id="rId650" Type="http://schemas.openxmlformats.org/officeDocument/2006/relationships/hyperlink" Target="https://africanmarketingconfederation.org/amc-conference-2023/book-now-thank-you/" TargetMode="External"/><Relationship Id="rId303" Type="http://schemas.openxmlformats.org/officeDocument/2006/relationships/hyperlink" Target="https://africanmarketingconfederation.org/checkout/" TargetMode="External"/><Relationship Id="rId748" Type="http://schemas.openxmlformats.org/officeDocument/2006/relationships/hyperlink" Target="https://africanmarketingconfederation.org/test-homeslider/" TargetMode="External"/><Relationship Id="rId84" Type="http://schemas.openxmlformats.org/officeDocument/2006/relationships/hyperlink" Target="https://africanmarketingconfederation.org/contact-us/" TargetMode="External"/><Relationship Id="rId387" Type="http://schemas.openxmlformats.org/officeDocument/2006/relationships/hyperlink" Target="https://africanmarketingconfederation.org/amc-marketing-conference-2024/amc-speakers-presentations-2024/" TargetMode="External"/><Relationship Id="rId510" Type="http://schemas.openxmlformats.org/officeDocument/2006/relationships/hyperlink" Target="https://africanmarketingconfederation.org/chartered-marketer-africa-final-submission-fee/" TargetMode="External"/><Relationship Id="rId594" Type="http://schemas.openxmlformats.org/officeDocument/2006/relationships/hyperlink" Target="https://africanmarketingconfederation.org/amc-conference-2023/partners/" TargetMode="External"/><Relationship Id="rId608" Type="http://schemas.openxmlformats.org/officeDocument/2006/relationships/hyperlink" Target="https://africanmarketingconfederation.org/chartered-marketer-africa-thank-you/" TargetMode="External"/><Relationship Id="rId247" Type="http://schemas.openxmlformats.org/officeDocument/2006/relationships/hyperlink" Target="https://africanmarketingconfederation.org/amc-conference-2024-recap/" TargetMode="External"/><Relationship Id="rId107" Type="http://schemas.openxmlformats.org/officeDocument/2006/relationships/hyperlink" Target="https://africanmarketingconfederation.org/african-marketing-confederation-tourism-chapter/" TargetMode="External"/><Relationship Id="rId454" Type="http://schemas.openxmlformats.org/officeDocument/2006/relationships/hyperlink" Target="https://africanmarketingconfederation.org/thank-you-for-registering-2024-registrations/" TargetMode="External"/><Relationship Id="rId661" Type="http://schemas.openxmlformats.org/officeDocument/2006/relationships/hyperlink" Target="https://africanmarketingconfederation.org/amc-conference-thank-you/" TargetMode="External"/><Relationship Id="rId759" Type="http://schemas.openxmlformats.org/officeDocument/2006/relationships/hyperlink" Target="https://africanmarketingconfederation.org/general-enquiry-form-thank-you/" TargetMode="External"/><Relationship Id="rId11" Type="http://schemas.openxmlformats.org/officeDocument/2006/relationships/hyperlink" Target="https://africanmarketingconfederation.org/" TargetMode="External"/><Relationship Id="rId314" Type="http://schemas.openxmlformats.org/officeDocument/2006/relationships/hyperlink" Target="https://africanmarketingconfederation.org/amc-marketing-conference-2024/amc-preregister-2025/" TargetMode="External"/><Relationship Id="rId398" Type="http://schemas.openxmlformats.org/officeDocument/2006/relationships/hyperlink" Target="https://africanmarketingconfederation.org/amc-marketing-conference-2024/testimony-thank-you-page/" TargetMode="External"/><Relationship Id="rId521" Type="http://schemas.openxmlformats.org/officeDocument/2006/relationships/hyperlink" Target="https://africanmarketingconfederation.org/download-brochure/" TargetMode="External"/><Relationship Id="rId619" Type="http://schemas.openxmlformats.org/officeDocument/2006/relationships/hyperlink" Target="https://africanmarketingconfederation.org/amc-conference-2023/amc-awards-book-now/"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africanmarketingconfederation.org/conference-registrations-2024/" TargetMode="External"/><Relationship Id="rId21"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mc-forum-mombasa/"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amc-conference-2023/amc-awards/"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speakers/" TargetMode="External"/><Relationship Id="rId16" Type="http://schemas.openxmlformats.org/officeDocument/2006/relationships/hyperlink" Target="https://africanmarketingconfederation.org/awards-2026-1/" TargetMode="External"/><Relationship Id="rId11" Type="http://schemas.openxmlformats.org/officeDocument/2006/relationships/hyperlink" Target="https://africanmarketingconfederation.org/news-articles/" TargetMode="External"/><Relationship Id="rId32" Type="http://schemas.openxmlformats.org/officeDocument/2006/relationships/hyperlink" Target="https://africanmarketingconfederation.org/amc-conference-2022-prospectus/" TargetMode="External"/><Relationship Id="rId37" Type="http://schemas.openxmlformats.org/officeDocument/2006/relationships/hyperlink" Target="https://africanmarketingconfederation.org/amc-marketing-conference-2024/amc-conference-2025-ghana-sponsors/" TargetMode="External"/><Relationship Id="rId53" Type="http://schemas.openxmlformats.org/officeDocument/2006/relationships/hyperlink" Target="https://africanmarketingconfederation.org/subscribe/" TargetMode="External"/><Relationship Id="rId58" Type="http://schemas.openxmlformats.org/officeDocument/2006/relationships/hyperlink" Target="https://africanmarketingconfederation.org/thank-you-for-the-nomination-2024/" TargetMode="External"/><Relationship Id="rId74" Type="http://schemas.openxmlformats.org/officeDocument/2006/relationships/hyperlink" Target="https://africanmarketingconfederation.org/thank-you-for-subscribing/" TargetMode="External"/><Relationship Id="rId79" Type="http://schemas.openxmlformats.org/officeDocument/2006/relationships/hyperlink" Target="https://africanmarketingconfederation.org/amc-conference-programme/" TargetMode="External"/><Relationship Id="rId5" Type="http://schemas.openxmlformats.org/officeDocument/2006/relationships/hyperlink" Target="https://africanmarketingconfederation.org/amc-conference-2026/" TargetMode="External"/><Relationship Id="rId19" Type="http://schemas.openxmlformats.org/officeDocument/2006/relationships/hyperlink" Target="https://africanmarketingconfederation.org/amc-conference-2026-awards-nominations-thank-you/" TargetMode="External"/><Relationship Id="rId14" Type="http://schemas.openxmlformats.org/officeDocument/2006/relationships/hyperlink" Target="https://africanmarketingconfederation.org/sub-committees/" TargetMode="External"/><Relationship Id="rId22" Type="http://schemas.openxmlformats.org/officeDocument/2006/relationships/hyperlink" Target="https://africanmarketingconfederation.org/amc-marketing-conference-2024/awards-2025/" TargetMode="External"/><Relationship Id="rId27" Type="http://schemas.openxmlformats.org/officeDocument/2006/relationships/hyperlink" Target="https://africanmarketingconfederation.org/elementor-31820/" TargetMode="External"/><Relationship Id="rId30" Type="http://schemas.openxmlformats.org/officeDocument/2006/relationships/hyperlink" Target="https://africanmarketingconfederation.org/amc-conference-2025/"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rketing-conference-2024/" TargetMode="External"/><Relationship Id="rId48" Type="http://schemas.openxmlformats.org/officeDocument/2006/relationships/hyperlink" Target="https://africanmarketingconfederation.org/amc-conference-sponsors/" TargetMode="External"/><Relationship Id="rId56" Type="http://schemas.openxmlformats.org/officeDocument/2006/relationships/hyperlink" Target="https://africanmarketingconfederation.org/chartered-marketer-africa-final-submission-fee/" TargetMode="External"/><Relationship Id="rId64" Type="http://schemas.openxmlformats.org/officeDocument/2006/relationships/hyperlink" Target="https://africanmarketingconfederation.org/amc-conference-2023/programme/" TargetMode="External"/><Relationship Id="rId69" Type="http://schemas.openxmlformats.org/officeDocument/2006/relationships/hyperlink" Target="https://africanmarketingconfederation.org/amc-conference-2023/book-now/" TargetMode="External"/><Relationship Id="rId77" Type="http://schemas.openxmlformats.org/officeDocument/2006/relationships/hyperlink" Target="https://africanmarketingconfederation.org/amc-masterclass-thank-you/" TargetMode="External"/><Relationship Id="rId8" Type="http://schemas.openxmlformats.org/officeDocument/2006/relationships/hyperlink" Target="https://africanmarketingconfederation.org/education/" TargetMode="External"/><Relationship Id="rId51" Type="http://schemas.openxmlformats.org/officeDocument/2006/relationships/hyperlink" Target="https://africanmarketingconfederation.org/download-prospectus-2024/" TargetMode="External"/><Relationship Id="rId72" Type="http://schemas.openxmlformats.org/officeDocument/2006/relationships/hyperlink" Target="https://africanmarketingconfederation.org/amc-conference-thank-you/" TargetMode="External"/><Relationship Id="rId80" Type="http://schemas.openxmlformats.org/officeDocument/2006/relationships/hyperlink" Target="https://africanmarketingconfederation.org/virtual-programme/" TargetMode="External"/><Relationship Id="rId85" Type="http://schemas.openxmlformats.org/officeDocument/2006/relationships/hyperlink" Target="https://africanmarketingconfederation.org/privacy-policy/" TargetMode="External"/><Relationship Id="rId3" Type="http://schemas.openxmlformats.org/officeDocument/2006/relationships/hyperlink" Target="https://africanmarketingconfederation.org/publication-download-list/" TargetMode="External"/><Relationship Id="rId12" Type="http://schemas.openxmlformats.org/officeDocument/2006/relationships/hyperlink" Target="https://africanmarketingconfederation.org/african-marketing-confederation-tourism-chapter/" TargetMode="External"/><Relationship Id="rId17" Type="http://schemas.openxmlformats.org/officeDocument/2006/relationships/hyperlink" Target="https://africanmarketingconfederation.org/awards-2026-test/" TargetMode="External"/><Relationship Id="rId25" Type="http://schemas.openxmlformats.org/officeDocument/2006/relationships/hyperlink" Target="https://africanmarketingconfederation.org/amc-conference-2023/gallery/" TargetMode="External"/><Relationship Id="rId33" Type="http://schemas.openxmlformats.org/officeDocument/2006/relationships/hyperlink" Target="https://africanmarketingconfederation.org/test-payment-gate/" TargetMode="External"/><Relationship Id="rId38" Type="http://schemas.openxmlformats.org/officeDocument/2006/relationships/hyperlink" Target="https://africanmarketingconfederation.org/amc-marketing-conference-2024/amc-launch-event-2025/" TargetMode="External"/><Relationship Id="rId46" Type="http://schemas.openxmlformats.org/officeDocument/2006/relationships/hyperlink" Target="https://africanmarketingconfederation.org/amc-sign-up-now-form-2025/" TargetMode="External"/><Relationship Id="rId59" Type="http://schemas.openxmlformats.org/officeDocument/2006/relationships/hyperlink" Target="https://africanmarketingconfederation.org/amc-conference-2024-sponsors-packages/" TargetMode="External"/><Relationship Id="rId67" Type="http://schemas.openxmlformats.org/officeDocument/2006/relationships/hyperlink" Target="https://africanmarketingconfederation.org/chartered-marketer-africa-thank-you/" TargetMode="External"/><Relationship Id="rId20" Type="http://schemas.openxmlformats.org/officeDocument/2006/relationships/hyperlink" Target="https://africanmarketingconfederation.org/amc-conference-2026-zambia-thank-you/" TargetMode="External"/><Relationship Id="rId41"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elementor-20341/" TargetMode="External"/><Relationship Id="rId62" Type="http://schemas.openxmlformats.org/officeDocument/2006/relationships/hyperlink" Target="https://africanmarketingconfederation.org/amc-marketing-conference-2024/programme-2024/" TargetMode="External"/><Relationship Id="rId70" Type="http://schemas.openxmlformats.org/officeDocument/2006/relationships/hyperlink" Target="https://africanmarketingconfederation.org/amc-conference-2023/download-prospectus/" TargetMode="External"/><Relationship Id="rId75" Type="http://schemas.openxmlformats.org/officeDocument/2006/relationships/hyperlink" Target="https://africanmarketingconfederation.org/amc-relaunch-programme/" TargetMode="External"/><Relationship Id="rId83" Type="http://schemas.openxmlformats.org/officeDocument/2006/relationships/hyperlink" Target="https://africanmarketingconfederation.org/amc-conference-2022-thank-you/"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15"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2024-recap/" TargetMode="External"/><Relationship Id="rId36" Type="http://schemas.openxmlformats.org/officeDocument/2006/relationships/hyperlink" Target="https://africanmarketingconfederation.org/conference-faq-2025/" TargetMode="External"/><Relationship Id="rId49" Type="http://schemas.openxmlformats.org/officeDocument/2006/relationships/hyperlink" Target="https://africanmarketingconfederation.org/amc-marketing-conference-2024/speakers-2024/" TargetMode="External"/><Relationship Id="rId57" Type="http://schemas.openxmlformats.org/officeDocument/2006/relationships/hyperlink" Target="https://africanmarketingconfederation.org/download-brochure/" TargetMode="External"/><Relationship Id="rId10" Type="http://schemas.openxmlformats.org/officeDocument/2006/relationships/hyperlink" Target="https://africanmarketingconfederation.org/contact-us/" TargetMode="External"/><Relationship Id="rId31" Type="http://schemas.openxmlformats.org/officeDocument/2006/relationships/hyperlink" Target="https://africanmarketingconfederation.org/amc-sponsors-2025/" TargetMode="External"/><Relationship Id="rId44" Type="http://schemas.openxmlformats.org/officeDocument/2006/relationships/hyperlink" Target="https://africanmarketingconfederation.org/amc-marketing-conference-2024/amc-speakers-presentations-2024/" TargetMode="External"/><Relationship Id="rId52" Type="http://schemas.openxmlformats.org/officeDocument/2006/relationships/hyperlink" Target="https://africanmarketingconfederation.org/thank-you-for-registering-2024-registrations-kenya/" TargetMode="External"/><Relationship Id="rId60" Type="http://schemas.openxmlformats.org/officeDocument/2006/relationships/hyperlink" Target="https://africanmarketingconfederation.org/thank-you-for-the-submission-2024/" TargetMode="External"/><Relationship Id="rId65" Type="http://schemas.openxmlformats.org/officeDocument/2006/relationships/hyperlink" Target="https://africanmarketingconfederation.org/amc-conference-2023/partners/" TargetMode="External"/><Relationship Id="rId73" Type="http://schemas.openxmlformats.org/officeDocument/2006/relationships/hyperlink" Target="https://africanmarketingconfederation.org/upcoming-events/" TargetMode="External"/><Relationship Id="rId78" Type="http://schemas.openxmlformats.org/officeDocument/2006/relationships/hyperlink" Target="https://africanmarketingconfederation.org/amc-masterclass-bookings/" TargetMode="External"/><Relationship Id="rId81" Type="http://schemas.openxmlformats.org/officeDocument/2006/relationships/hyperlink" Target="https://africanmarketingconfederation.org/test-homeslider/" TargetMode="External"/><Relationship Id="rId4" Type="http://schemas.openxmlformats.org/officeDocument/2006/relationships/hyperlink" Target="https://africanmarketingconfederation.org/launch-event-2026-amc-conference/" TargetMode="External"/><Relationship Id="rId9" Type="http://schemas.openxmlformats.org/officeDocument/2006/relationships/hyperlink" Target="https://africanmarketingconfederation.org/awards-2026/" TargetMode="External"/><Relationship Id="rId13" Type="http://schemas.openxmlformats.org/officeDocument/2006/relationships/hyperlink" Target="https://africanmarketingconfederation.org/members/" TargetMode="External"/><Relationship Id="rId18" Type="http://schemas.openxmlformats.org/officeDocument/2006/relationships/hyperlink" Target="https://africanmarketingconfederation.org/speakers-2025/" TargetMode="External"/><Relationship Id="rId39" Type="http://schemas.openxmlformats.org/officeDocument/2006/relationships/hyperlink" Target="https://africanmarketingconfederation.org/amc-forum-payments/" TargetMode="External"/><Relationship Id="rId34" Type="http://schemas.openxmlformats.org/officeDocument/2006/relationships/hyperlink" Target="https://africanmarketingconfederation.org/checkout/" TargetMode="External"/><Relationship Id="rId50" Type="http://schemas.openxmlformats.org/officeDocument/2006/relationships/hyperlink" Target="https://africanmarketingconfederation.org/thank-you-for-registering-2024-registrations/" TargetMode="External"/><Relationship Id="rId55"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mc-masterclass/" TargetMode="External"/><Relationship Id="rId7" Type="http://schemas.openxmlformats.org/officeDocument/2006/relationships/hyperlink" Target="https://africanmarketingconfederation.org/chartered-marketer-africa/" TargetMode="External"/><Relationship Id="rId71"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mc-marketing-conference-2024/amc-programme-2025/" TargetMode="External"/><Relationship Id="rId24" Type="http://schemas.openxmlformats.org/officeDocument/2006/relationships/hyperlink" Target="https://africanmarketingconfederation.org/amc-conference-2022/" TargetMode="External"/><Relationship Id="rId40" Type="http://schemas.openxmlformats.org/officeDocument/2006/relationships/hyperlink" Target="https://africanmarketingconfederation.org/amc-conference-2023/" TargetMode="External"/><Relationship Id="rId45" Type="http://schemas.openxmlformats.org/officeDocument/2006/relationships/hyperlink" Target="https://africanmarketingconfederation.org/amc-marketing-conference-2024/testimony-thank-you-page/" TargetMode="External"/><Relationship Id="rId66" Type="http://schemas.openxmlformats.org/officeDocument/2006/relationships/hyperlink" Target="https://africanmarketingconfederation.org/amc-conference-2023/speakers/" TargetMode="External"/><Relationship Id="rId61" Type="http://schemas.openxmlformats.org/officeDocument/2006/relationships/hyperlink" Target="https://africanmarketingconfederation.org/elementor-16548/" TargetMode="External"/><Relationship Id="rId82" Type="http://schemas.openxmlformats.org/officeDocument/2006/relationships/hyperlink" Target="https://africanmarketingconfederation.org/general-enquiry-form-thank-yo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workbookViewId="0">
      <pane ySplit="2" topLeftCell="A3" activePane="bottomLeft" state="frozen"/>
      <selection pane="bottomLeft" activeCell="B18" sqref="B18"/>
    </sheetView>
  </sheetViews>
  <sheetFormatPr defaultRowHeight="15" x14ac:dyDescent="0.25"/>
  <cols>
    <col min="1" max="1" width="35" customWidth="1"/>
    <col min="2" max="2" width="18" customWidth="1"/>
  </cols>
  <sheetData>
    <row r="1" spans="1:2" ht="18.75" x14ac:dyDescent="0.3">
      <c r="A1" s="1" t="s">
        <v>0</v>
      </c>
    </row>
    <row r="2" spans="1:2" x14ac:dyDescent="0.25">
      <c r="A2" s="2" t="s">
        <v>1</v>
      </c>
      <c r="B2" s="2" t="s">
        <v>2</v>
      </c>
    </row>
    <row r="3" spans="1:2" x14ac:dyDescent="0.25">
      <c r="A3" t="s">
        <v>3</v>
      </c>
      <c r="B3" s="3" t="str">
        <f>HYPERLINK("#Dashboard!A1","Open")</f>
        <v>Open</v>
      </c>
    </row>
    <row r="4" spans="1:2" x14ac:dyDescent="0.25">
      <c r="A4" t="s">
        <v>4</v>
      </c>
      <c r="B4" s="3" t="str">
        <f>HYPERLINK("#Content Optimization Hub!A1","Open")</f>
        <v>Open</v>
      </c>
    </row>
    <row r="5" spans="1:2" x14ac:dyDescent="0.25">
      <c r="A5" t="s">
        <v>5</v>
      </c>
      <c r="B5" s="3" t="str">
        <f>HYPERLINK("#FixPlan!A1","Open")</f>
        <v>Open</v>
      </c>
    </row>
    <row r="6" spans="1:2" x14ac:dyDescent="0.25">
      <c r="A6" t="s">
        <v>6</v>
      </c>
      <c r="B6" s="3" t="str">
        <f>HYPERLINK("#Main!A1","Open")</f>
        <v>Open</v>
      </c>
    </row>
    <row r="7" spans="1:2" x14ac:dyDescent="0.25">
      <c r="A7" t="s">
        <v>7</v>
      </c>
      <c r="B7" s="3" t="str">
        <f>HYPERLINK("#Technical!A1","Open")</f>
        <v>Open</v>
      </c>
    </row>
    <row r="8" spans="1:2" x14ac:dyDescent="0.25">
      <c r="A8" t="s">
        <v>8</v>
      </c>
      <c r="B8" s="3" t="str">
        <f>HYPERLINK("#Content!A1","Open")</f>
        <v>Open</v>
      </c>
    </row>
    <row r="9" spans="1:2" x14ac:dyDescent="0.25">
      <c r="A9" t="s">
        <v>9</v>
      </c>
      <c r="B9" s="3" t="str">
        <f>HYPERLINK("#AEO!A1","Open")</f>
        <v>Open</v>
      </c>
    </row>
    <row r="10" spans="1:2" x14ac:dyDescent="0.25">
      <c r="A10" t="s">
        <v>10</v>
      </c>
      <c r="B10" s="3" t="str">
        <f>HYPERLINK("#Schema &amp; Metadata!A1","Open")</f>
        <v>Open</v>
      </c>
    </row>
    <row r="11" spans="1:2" x14ac:dyDescent="0.25">
      <c r="A11" t="s">
        <v>11</v>
      </c>
      <c r="B11" s="3" t="str">
        <f>HYPERLINK("#Links!A1","Open")</f>
        <v>Open</v>
      </c>
    </row>
    <row r="12" spans="1:2" x14ac:dyDescent="0.25">
      <c r="A12" t="s">
        <v>12</v>
      </c>
      <c r="B12" s="3" t="str">
        <f>HYPERLINK("#Indexability!A1","Open")</f>
        <v>Open</v>
      </c>
    </row>
    <row r="13" spans="1:2" x14ac:dyDescent="0.25">
      <c r="A13" t="s">
        <v>13</v>
      </c>
      <c r="B13" s="3" t="str">
        <f>HYPERLINK("#Redirects!A1","Open")</f>
        <v>Open</v>
      </c>
    </row>
    <row r="14" spans="1:2" x14ac:dyDescent="0.25">
      <c r="A14" t="s">
        <v>14</v>
      </c>
      <c r="B14" s="3" t="str">
        <f>HYPERLINK("#Priority URLs!A1","Open")</f>
        <v>Open</v>
      </c>
    </row>
    <row r="15" spans="1:2" x14ac:dyDescent="0.25">
      <c r="A15" t="s">
        <v>15</v>
      </c>
      <c r="B15" s="3" t="str">
        <f>HYPERLINK("#AIOSEO!A1","Open")</f>
        <v>Open</v>
      </c>
    </row>
    <row r="16" spans="1:2" x14ac:dyDescent="0.25">
      <c r="A16" t="s">
        <v>16</v>
      </c>
      <c r="B16" s="3" t="str">
        <f>HYPERLINK("#Security!A1","Open")</f>
        <v>Open</v>
      </c>
    </row>
    <row r="17" spans="1:2" x14ac:dyDescent="0.25">
      <c r="A17" t="s">
        <v>17</v>
      </c>
      <c r="B17" s="3" t="str">
        <f>HYPERLINK("#Summary!A1","Open")</f>
        <v>Open</v>
      </c>
    </row>
    <row r="18" spans="1:2" x14ac:dyDescent="0.25">
      <c r="A18" t="s">
        <v>18</v>
      </c>
      <c r="B18" s="3" t="str">
        <f>HYPERLINK("#Legend!A1","Open")</f>
        <v>Open</v>
      </c>
    </row>
    <row r="19" spans="1:2" x14ac:dyDescent="0.25">
      <c r="A19" t="s">
        <v>19</v>
      </c>
      <c r="B19" s="3" t="str">
        <f>HYPERLINK("#LinksDetail!A1","Open")</f>
        <v>Open</v>
      </c>
    </row>
    <row r="20" spans="1:2" x14ac:dyDescent="0.25">
      <c r="A20" t="s">
        <v>20</v>
      </c>
      <c r="B20" s="3" t="str">
        <f>HYPERLINK("#Media!A1","Open")</f>
        <v>Open</v>
      </c>
    </row>
    <row r="21" spans="1:2" x14ac:dyDescent="0.25">
      <c r="A21" t="s">
        <v>21</v>
      </c>
      <c r="B21" s="3" t="str">
        <f>HYPERLINK("#Duplicates!A1","Open")</f>
        <v>Open</v>
      </c>
    </row>
    <row r="22" spans="1:2" x14ac:dyDescent="0.25">
      <c r="A22" t="s">
        <v>22</v>
      </c>
      <c r="B22" s="3" t="str">
        <f>HYPERLINK("#TemplateClusters!A1","Open")</f>
        <v>Open</v>
      </c>
    </row>
    <row r="23" spans="1:2" x14ac:dyDescent="0.25">
      <c r="A23" t="s">
        <v>23</v>
      </c>
      <c r="B23" s="3" t="str">
        <f>HYPERLINK("#IssueInventory!A1","Open")</f>
        <v>Open</v>
      </c>
    </row>
    <row r="24" spans="1:2" x14ac:dyDescent="0.25">
      <c r="A24" t="s">
        <v>24</v>
      </c>
      <c r="B24" s="3" t="str">
        <f>HYPERLINK("#RunMetadata!A1","Open")</f>
        <v>Open</v>
      </c>
    </row>
    <row r="25" spans="1:2" x14ac:dyDescent="0.25">
      <c r="A25" t="s">
        <v>25</v>
      </c>
      <c r="B25" s="3" t="str">
        <f>HYPERLINK("#DeltaFromPreviousRun!A1","Open")</f>
        <v>Open</v>
      </c>
    </row>
    <row r="26" spans="1:2" x14ac:dyDescent="0.25">
      <c r="A26" t="s">
        <v>26</v>
      </c>
      <c r="B26" s="3" t="str">
        <f>HYPERLINK("#ResolvedIssues!A1","Open")</f>
        <v>Open</v>
      </c>
    </row>
    <row r="27" spans="1:2" x14ac:dyDescent="0.25">
      <c r="A27" t="s">
        <v>27</v>
      </c>
      <c r="B27" s="3" t="str">
        <f>HYPERLINK("#CrawlGraph!A1","Open")</f>
        <v>Open</v>
      </c>
    </row>
    <row r="28" spans="1:2" x14ac:dyDescent="0.25">
      <c r="A28" t="s">
        <v>28</v>
      </c>
      <c r="B28" s="3" t="str">
        <f>HYPERLINK("#SitemapQA!A1","Open")</f>
        <v>Open</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8"/>
  <sheetViews>
    <sheetView showGridLines="0" workbookViewId="0">
      <pane ySplit="1" topLeftCell="A2" activePane="bottomLeft" state="frozen"/>
      <selection pane="bottomLeft"/>
    </sheetView>
  </sheetViews>
  <sheetFormatPr defaultRowHeight="15" x14ac:dyDescent="0.25"/>
  <cols>
    <col min="1" max="1" width="3" customWidth="1"/>
    <col min="2" max="2" width="35" customWidth="1"/>
    <col min="3" max="3" width="20" customWidth="1"/>
    <col min="4" max="4" width="21" customWidth="1"/>
    <col min="5" max="5" width="22" customWidth="1"/>
    <col min="6" max="6" width="12" customWidth="1"/>
    <col min="7" max="7" width="14" customWidth="1"/>
    <col min="8" max="10" width="10" customWidth="1"/>
  </cols>
  <sheetData>
    <row r="1" spans="1:25" ht="60" x14ac:dyDescent="0.25">
      <c r="A1" s="4" t="s">
        <v>29</v>
      </c>
      <c r="B1" s="4" t="s">
        <v>30</v>
      </c>
      <c r="C1" s="5" t="s">
        <v>31</v>
      </c>
      <c r="D1" s="5" t="s">
        <v>32</v>
      </c>
      <c r="E1" s="5" t="s">
        <v>33</v>
      </c>
      <c r="F1" s="5" t="s">
        <v>34</v>
      </c>
      <c r="G1" s="5" t="s">
        <v>35</v>
      </c>
      <c r="H1" s="5" t="s">
        <v>36</v>
      </c>
      <c r="I1" s="5" t="s">
        <v>37</v>
      </c>
      <c r="J1" s="5" t="s">
        <v>38</v>
      </c>
      <c r="K1" s="5" t="s">
        <v>39</v>
      </c>
      <c r="L1" s="5" t="s">
        <v>40</v>
      </c>
      <c r="M1" s="5" t="s">
        <v>41</v>
      </c>
      <c r="N1" s="5" t="s">
        <v>42</v>
      </c>
      <c r="O1" s="5" t="s">
        <v>43</v>
      </c>
      <c r="P1" s="5" t="s">
        <v>44</v>
      </c>
      <c r="Q1" s="5" t="s">
        <v>45</v>
      </c>
      <c r="R1" s="5" t="s">
        <v>46</v>
      </c>
      <c r="S1" s="5" t="s">
        <v>47</v>
      </c>
      <c r="T1" s="5" t="s">
        <v>48</v>
      </c>
      <c r="U1" s="5" t="s">
        <v>49</v>
      </c>
      <c r="V1" s="5" t="s">
        <v>50</v>
      </c>
      <c r="W1" s="5" t="s">
        <v>51</v>
      </c>
      <c r="X1" s="5" t="s">
        <v>52</v>
      </c>
      <c r="Y1" s="5" t="s">
        <v>53</v>
      </c>
    </row>
    <row r="2" spans="1:25" ht="30" customHeight="1" x14ac:dyDescent="0.25">
      <c r="A2" s="6" t="s">
        <v>54</v>
      </c>
      <c r="B2" s="7" t="s">
        <v>55</v>
      </c>
      <c r="C2" s="8"/>
      <c r="D2" s="8"/>
      <c r="E2" s="8"/>
      <c r="F2" s="8"/>
      <c r="G2" s="8"/>
      <c r="H2" s="9"/>
      <c r="I2" s="9"/>
      <c r="J2" s="9"/>
      <c r="K2" s="9"/>
      <c r="L2" s="9"/>
      <c r="M2" s="9"/>
      <c r="N2" s="9"/>
      <c r="O2" s="9"/>
      <c r="P2" s="9"/>
      <c r="Q2" s="9"/>
      <c r="R2" s="9"/>
      <c r="S2" s="9"/>
      <c r="T2" s="9"/>
      <c r="U2" s="9"/>
      <c r="V2" s="9"/>
      <c r="W2" s="9"/>
      <c r="X2" s="9"/>
      <c r="Y2" s="9"/>
    </row>
    <row r="3" spans="1:25" x14ac:dyDescent="0.25">
      <c r="A3" s="6" t="s">
        <v>56</v>
      </c>
      <c r="B3" s="10" t="s">
        <v>57</v>
      </c>
      <c r="C3" s="11"/>
      <c r="D3" s="11"/>
      <c r="E3" s="11"/>
      <c r="F3" s="11"/>
      <c r="G3" s="11"/>
    </row>
    <row r="4" spans="1:25" ht="15.75" x14ac:dyDescent="0.25">
      <c r="A4" s="6" t="s">
        <v>58</v>
      </c>
      <c r="B4" s="12" t="s">
        <v>59</v>
      </c>
      <c r="C4" s="13" t="s">
        <v>60</v>
      </c>
      <c r="D4" s="8"/>
      <c r="E4" s="83" t="s">
        <v>61</v>
      </c>
      <c r="F4" s="82"/>
      <c r="G4" s="82"/>
      <c r="H4" s="82"/>
      <c r="I4" s="82"/>
      <c r="J4" s="82"/>
      <c r="K4" s="9"/>
      <c r="L4" s="9"/>
      <c r="M4" s="9"/>
      <c r="N4" s="9"/>
      <c r="O4" s="9"/>
      <c r="P4" s="9"/>
      <c r="Q4" s="9"/>
      <c r="R4" s="9"/>
      <c r="S4" s="9"/>
      <c r="T4" s="9"/>
      <c r="U4" s="9"/>
      <c r="V4" s="9"/>
      <c r="W4" s="9"/>
      <c r="X4" s="9"/>
      <c r="Y4" s="9"/>
    </row>
    <row r="5" spans="1:25" ht="24" customHeight="1" x14ac:dyDescent="0.25">
      <c r="A5" s="6" t="s">
        <v>62</v>
      </c>
      <c r="B5" s="15" t="str">
        <f>HYPERLINK("#Main!A1","Total URLs")</f>
        <v>Total URLs</v>
      </c>
      <c r="C5" s="16">
        <v>0</v>
      </c>
      <c r="D5" s="11"/>
      <c r="E5" s="14" t="s">
        <v>63</v>
      </c>
      <c r="F5" s="14" t="s">
        <v>64</v>
      </c>
      <c r="G5" s="14" t="s">
        <v>65</v>
      </c>
      <c r="H5" s="14" t="s">
        <v>66</v>
      </c>
      <c r="I5" s="14" t="s">
        <v>67</v>
      </c>
      <c r="J5" s="14" t="s">
        <v>68</v>
      </c>
    </row>
    <row r="6" spans="1:25" ht="24" customHeight="1" x14ac:dyDescent="0.25">
      <c r="A6" s="6" t="s">
        <v>69</v>
      </c>
      <c r="B6" s="15" t="str">
        <f>HYPERLINK("#Summary!A1","Overall Health Score")</f>
        <v>Overall Health Score</v>
      </c>
      <c r="C6" s="17">
        <f>IFERROR(59.66/100,0)</f>
        <v>0.59660000000000002</v>
      </c>
      <c r="D6" s="8"/>
      <c r="E6" s="18" t="str">
        <f>HYPERLINK("#FixPlan!A1","Copy Writer")</f>
        <v>Copy Writer</v>
      </c>
      <c r="F6" s="18">
        <v>20</v>
      </c>
      <c r="G6" s="18">
        <v>530</v>
      </c>
      <c r="H6" s="18">
        <v>1</v>
      </c>
      <c r="I6" s="18">
        <v>8</v>
      </c>
      <c r="J6" s="18">
        <v>11</v>
      </c>
      <c r="K6" s="9"/>
      <c r="L6" s="9"/>
      <c r="M6" s="9"/>
      <c r="N6" s="9"/>
      <c r="O6" s="9"/>
      <c r="P6" s="9"/>
      <c r="Q6" s="9"/>
      <c r="R6" s="9"/>
      <c r="S6" s="9"/>
      <c r="T6" s="9"/>
      <c r="U6" s="9"/>
      <c r="V6" s="9"/>
      <c r="W6" s="9"/>
      <c r="X6" s="9"/>
      <c r="Y6" s="9"/>
    </row>
    <row r="7" spans="1:25" ht="24" customHeight="1" x14ac:dyDescent="0.25">
      <c r="A7" s="6" t="s">
        <v>70</v>
      </c>
      <c r="B7" s="15" t="str">
        <f>HYPERLINK("#Summary!A1","SEO Pass Rate %")</f>
        <v>SEO Pass Rate %</v>
      </c>
      <c r="C7" s="17">
        <f>IFERROR(0/85,0)</f>
        <v>0</v>
      </c>
      <c r="D7" s="11"/>
      <c r="E7" s="18" t="str">
        <f>HYPERLINK("#FixPlan!A1","Server/Host")</f>
        <v>Server/Host</v>
      </c>
      <c r="F7" s="18">
        <v>5</v>
      </c>
      <c r="G7" s="18">
        <v>257</v>
      </c>
      <c r="H7" s="18">
        <v>2</v>
      </c>
      <c r="I7" s="18">
        <v>0</v>
      </c>
      <c r="J7" s="18">
        <v>3</v>
      </c>
    </row>
    <row r="8" spans="1:25" ht="24" customHeight="1" x14ac:dyDescent="0.25">
      <c r="A8" s="6"/>
      <c r="B8" s="15" t="str">
        <f>HYPERLINK("#Technical!A1","Pass URLs")</f>
        <v>Pass URLs</v>
      </c>
      <c r="C8" s="16">
        <v>0</v>
      </c>
      <c r="D8" s="8"/>
      <c r="E8" s="18" t="str">
        <f>HYPERLINK("#FixPlan!A1","Dev")</f>
        <v>Dev</v>
      </c>
      <c r="F8" s="18">
        <v>9</v>
      </c>
      <c r="G8" s="18">
        <v>0</v>
      </c>
      <c r="H8" s="18">
        <v>4</v>
      </c>
      <c r="I8" s="18">
        <v>4</v>
      </c>
      <c r="J8" s="18">
        <v>1</v>
      </c>
      <c r="K8" s="9"/>
      <c r="L8" s="9"/>
      <c r="M8" s="9"/>
      <c r="N8" s="9"/>
      <c r="O8" s="9"/>
      <c r="P8" s="9"/>
      <c r="Q8" s="9"/>
      <c r="R8" s="9"/>
      <c r="S8" s="9"/>
      <c r="T8" s="9"/>
      <c r="U8" s="9"/>
      <c r="V8" s="9"/>
      <c r="W8" s="9"/>
      <c r="X8" s="9"/>
      <c r="Y8" s="9"/>
    </row>
    <row r="9" spans="1:25" ht="24" customHeight="1" x14ac:dyDescent="0.25">
      <c r="A9" s="6"/>
      <c r="B9" s="15" t="str">
        <f>HYPERLINK("#FixPlan!A1","Critical URLs")</f>
        <v>Critical URLs</v>
      </c>
      <c r="C9" s="16">
        <v>2</v>
      </c>
      <c r="D9" s="11"/>
      <c r="E9" s="11"/>
      <c r="F9" s="11"/>
      <c r="G9" s="11"/>
    </row>
    <row r="10" spans="1:25" ht="24" customHeight="1" x14ac:dyDescent="0.25">
      <c r="A10" s="6"/>
      <c r="B10" s="15" t="str">
        <f>HYPERLINK("#Technical!A1","Warning URLs")</f>
        <v>Warning URLs</v>
      </c>
      <c r="C10" s="16">
        <v>83</v>
      </c>
      <c r="D10" s="8"/>
      <c r="E10" s="8"/>
      <c r="F10" s="8"/>
      <c r="G10" s="8"/>
      <c r="H10" s="9"/>
      <c r="I10" s="9"/>
      <c r="J10" s="9"/>
      <c r="K10" s="9"/>
      <c r="L10" s="9"/>
      <c r="M10" s="9"/>
      <c r="N10" s="9"/>
      <c r="O10" s="9"/>
      <c r="P10" s="9"/>
      <c r="Q10" s="9"/>
      <c r="R10" s="9"/>
      <c r="S10" s="9"/>
      <c r="T10" s="9"/>
      <c r="U10" s="9"/>
      <c r="V10" s="9"/>
      <c r="W10" s="9"/>
      <c r="X10" s="9"/>
      <c r="Y10" s="9"/>
    </row>
    <row r="11" spans="1:25" ht="24" customHeight="1" x14ac:dyDescent="0.25">
      <c r="A11" s="6"/>
      <c r="B11" s="15" t="str">
        <f>HYPERLINK("#Technical!A1","Error Rate % (4xx/5xx)")</f>
        <v>Error Rate % (4xx/5xx)</v>
      </c>
      <c r="C11" s="17">
        <f>IFERROR(2/85,0)</f>
        <v>2.3529411764705882E-2</v>
      </c>
      <c r="D11" s="11"/>
      <c r="E11" s="11"/>
      <c r="F11" s="11"/>
      <c r="G11" s="11"/>
    </row>
    <row r="12" spans="1:25" ht="24" customHeight="1" x14ac:dyDescent="0.25">
      <c r="A12" s="6"/>
      <c r="B12" s="15" t="str">
        <f>HYPERLINK("#Technical!A1","Crawl Success Rate % (2xx)")</f>
        <v>Crawl Success Rate % (2xx)</v>
      </c>
      <c r="C12" s="19">
        <f>IFERROR(83/85,0)</f>
        <v>0.97647058823529409</v>
      </c>
      <c r="D12" s="8"/>
      <c r="E12" s="8"/>
      <c r="F12" s="8"/>
      <c r="G12" s="8"/>
      <c r="H12" s="9"/>
      <c r="I12" s="9"/>
      <c r="J12" s="9"/>
      <c r="K12" s="9"/>
      <c r="L12" s="9"/>
      <c r="M12" s="9"/>
      <c r="N12" s="9"/>
      <c r="O12" s="9"/>
      <c r="P12" s="9"/>
      <c r="Q12" s="9"/>
      <c r="R12" s="9"/>
      <c r="S12" s="9"/>
      <c r="T12" s="9"/>
      <c r="U12" s="9"/>
      <c r="V12" s="9"/>
      <c r="W12" s="9"/>
      <c r="X12" s="9"/>
      <c r="Y12" s="9"/>
    </row>
    <row r="13" spans="1:25" ht="24" customHeight="1" x14ac:dyDescent="0.25">
      <c r="A13" s="6"/>
      <c r="B13" s="15" t="str">
        <f>HYPERLINK("#Technical!A1","Critical URL Rate %")</f>
        <v>Critical URL Rate %</v>
      </c>
      <c r="C13" s="20">
        <f>IFERROR(2/85,0)</f>
        <v>2.3529411764705882E-2</v>
      </c>
      <c r="D13" s="11"/>
      <c r="E13" s="11"/>
      <c r="F13" s="11"/>
      <c r="G13" s="11"/>
    </row>
    <row r="14" spans="1:25" ht="24" customHeight="1" x14ac:dyDescent="0.25">
      <c r="A14" s="6"/>
      <c r="B14" s="15" t="str">
        <f>HYPERLINK("#Technical!A1","Warning URL Rate %")</f>
        <v>Warning URL Rate %</v>
      </c>
      <c r="C14" s="17">
        <f>IFERROR(83/85,0)</f>
        <v>0.97647058823529409</v>
      </c>
      <c r="D14" s="8"/>
      <c r="E14" s="8"/>
      <c r="F14" s="8"/>
      <c r="G14" s="8"/>
      <c r="H14" s="9"/>
      <c r="I14" s="9"/>
      <c r="J14" s="9"/>
      <c r="K14" s="9"/>
      <c r="L14" s="9"/>
      <c r="M14" s="9"/>
      <c r="N14" s="9"/>
      <c r="O14" s="9"/>
      <c r="P14" s="9"/>
      <c r="Q14" s="9"/>
      <c r="R14" s="9"/>
      <c r="S14" s="9"/>
      <c r="T14" s="9"/>
      <c r="U14" s="9"/>
      <c r="V14" s="9"/>
      <c r="W14" s="9"/>
      <c r="X14" s="9"/>
      <c r="Y14" s="9"/>
    </row>
    <row r="15" spans="1:25" ht="24" customHeight="1" x14ac:dyDescent="0.25">
      <c r="A15" s="6"/>
      <c r="B15" s="21" t="s">
        <v>71</v>
      </c>
      <c r="C15" s="19">
        <v>0.83863529411764703</v>
      </c>
      <c r="D15" s="11"/>
      <c r="E15" s="11"/>
      <c r="F15" s="11"/>
      <c r="G15" s="11"/>
    </row>
    <row r="16" spans="1:25" ht="24" customHeight="1" x14ac:dyDescent="0.25">
      <c r="A16" s="6"/>
      <c r="B16" s="21" t="s">
        <v>72</v>
      </c>
      <c r="C16" s="19">
        <v>0.75588235294117656</v>
      </c>
      <c r="D16" s="8"/>
      <c r="E16" s="8"/>
      <c r="F16" s="8"/>
      <c r="G16" s="8"/>
      <c r="H16" s="9"/>
      <c r="I16" s="9"/>
      <c r="J16" s="9"/>
      <c r="K16" s="9"/>
      <c r="L16" s="9"/>
      <c r="M16" s="9"/>
      <c r="N16" s="9"/>
      <c r="O16" s="9"/>
      <c r="P16" s="9"/>
      <c r="Q16" s="9"/>
      <c r="R16" s="9"/>
      <c r="S16" s="9"/>
      <c r="T16" s="9"/>
      <c r="U16" s="9"/>
      <c r="V16" s="9"/>
      <c r="W16" s="9"/>
      <c r="X16" s="9"/>
      <c r="Y16" s="9"/>
    </row>
    <row r="17" spans="1:25" x14ac:dyDescent="0.25">
      <c r="A17" s="6"/>
      <c r="B17" s="10"/>
      <c r="C17" s="11"/>
      <c r="D17" s="11"/>
      <c r="E17" s="11"/>
      <c r="F17" s="11"/>
      <c r="G17" s="11"/>
    </row>
    <row r="18" spans="1:25" x14ac:dyDescent="0.25">
      <c r="A18" s="6"/>
      <c r="B18" s="22" t="s">
        <v>73</v>
      </c>
      <c r="C18" s="14" t="s">
        <v>74</v>
      </c>
      <c r="D18" s="8"/>
      <c r="E18" s="8"/>
      <c r="F18" s="8"/>
      <c r="G18" s="8"/>
      <c r="H18" s="9"/>
      <c r="I18" s="9"/>
      <c r="J18" s="9"/>
      <c r="K18" s="9"/>
      <c r="L18" s="9"/>
      <c r="M18" s="9"/>
      <c r="N18" s="9"/>
      <c r="O18" s="9"/>
      <c r="P18" s="9"/>
      <c r="Q18" s="9"/>
      <c r="R18" s="9"/>
      <c r="S18" s="9"/>
      <c r="T18" s="9"/>
      <c r="U18" s="9"/>
      <c r="V18" s="9"/>
      <c r="W18" s="9"/>
      <c r="X18" s="9"/>
      <c r="Y18" s="9"/>
    </row>
    <row r="19" spans="1:25" x14ac:dyDescent="0.25">
      <c r="A19" s="6"/>
      <c r="B19" s="23" t="s">
        <v>75</v>
      </c>
      <c r="C19" s="24">
        <v>83</v>
      </c>
      <c r="D19" s="11"/>
      <c r="E19" s="11"/>
      <c r="F19" s="11"/>
      <c r="G19" s="11"/>
    </row>
    <row r="20" spans="1:25" x14ac:dyDescent="0.25">
      <c r="A20" s="6"/>
      <c r="B20" s="25" t="s">
        <v>76</v>
      </c>
      <c r="C20" s="26">
        <v>0</v>
      </c>
      <c r="D20" s="8"/>
      <c r="E20" s="83" t="s">
        <v>77</v>
      </c>
      <c r="F20" s="82"/>
      <c r="G20" s="8"/>
      <c r="H20" s="9"/>
      <c r="I20" s="9"/>
      <c r="J20" s="9"/>
      <c r="K20" s="9"/>
      <c r="L20" s="9"/>
      <c r="M20" s="9"/>
      <c r="N20" s="9"/>
      <c r="O20" s="9"/>
      <c r="P20" s="9"/>
      <c r="Q20" s="9"/>
      <c r="R20" s="9"/>
      <c r="S20" s="9"/>
      <c r="T20" s="9"/>
      <c r="U20" s="9"/>
      <c r="V20" s="9"/>
      <c r="W20" s="9"/>
      <c r="X20" s="9"/>
      <c r="Y20" s="9"/>
    </row>
    <row r="21" spans="1:25" x14ac:dyDescent="0.25">
      <c r="A21" s="6"/>
      <c r="B21" s="27" t="s">
        <v>78</v>
      </c>
      <c r="C21" s="28">
        <v>2</v>
      </c>
      <c r="D21" s="11"/>
      <c r="E21" s="14" t="s">
        <v>79</v>
      </c>
      <c r="F21" s="14" t="s">
        <v>80</v>
      </c>
      <c r="G21" s="11"/>
    </row>
    <row r="22" spans="1:25" x14ac:dyDescent="0.25">
      <c r="A22" s="6"/>
      <c r="B22" s="27" t="s">
        <v>81</v>
      </c>
      <c r="C22" s="28">
        <v>0</v>
      </c>
      <c r="D22" s="8"/>
      <c r="E22" s="18" t="s">
        <v>82</v>
      </c>
      <c r="F22" s="29">
        <v>0.74849999999999994</v>
      </c>
      <c r="G22" s="8"/>
      <c r="H22" s="9"/>
      <c r="I22" s="9"/>
      <c r="J22" s="9"/>
      <c r="K22" s="9"/>
      <c r="L22" s="9"/>
      <c r="M22" s="9"/>
      <c r="N22" s="9"/>
      <c r="O22" s="9"/>
      <c r="P22" s="9"/>
      <c r="Q22" s="9"/>
      <c r="R22" s="9"/>
      <c r="S22" s="9"/>
      <c r="T22" s="9"/>
      <c r="U22" s="9"/>
      <c r="V22" s="9"/>
      <c r="W22" s="9"/>
      <c r="X22" s="9"/>
      <c r="Y22" s="9"/>
    </row>
    <row r="23" spans="1:25" x14ac:dyDescent="0.25">
      <c r="A23" s="6"/>
      <c r="B23" s="25" t="s">
        <v>83</v>
      </c>
      <c r="C23" s="26">
        <v>0</v>
      </c>
      <c r="D23" s="11"/>
      <c r="E23" s="18" t="s">
        <v>84</v>
      </c>
      <c r="F23" s="29">
        <v>0</v>
      </c>
      <c r="G23" s="11"/>
    </row>
    <row r="24" spans="1:25" x14ac:dyDescent="0.25">
      <c r="A24" s="30" t="s">
        <v>85</v>
      </c>
      <c r="B24" s="31"/>
      <c r="C24" s="32"/>
      <c r="D24" s="8"/>
      <c r="E24" s="14" t="s">
        <v>86</v>
      </c>
      <c r="F24" s="8"/>
      <c r="G24" s="8"/>
      <c r="H24" s="9"/>
      <c r="I24" s="9"/>
      <c r="J24" s="9"/>
      <c r="K24" s="9"/>
      <c r="L24" s="9"/>
      <c r="M24" s="9"/>
      <c r="N24" s="9"/>
      <c r="O24" s="9"/>
      <c r="P24" s="9"/>
      <c r="Q24" s="9"/>
      <c r="R24" s="9"/>
      <c r="S24" s="9"/>
      <c r="T24" s="9"/>
      <c r="U24" s="9"/>
      <c r="V24" s="9"/>
      <c r="W24" s="9"/>
      <c r="X24" s="9"/>
      <c r="Y24" s="9"/>
    </row>
    <row r="25" spans="1:25" x14ac:dyDescent="0.25">
      <c r="A25" s="6" t="s">
        <v>87</v>
      </c>
      <c r="B25" s="22" t="s">
        <v>88</v>
      </c>
      <c r="C25" s="14" t="s">
        <v>74</v>
      </c>
      <c r="D25" s="11"/>
      <c r="E25" s="80" t="s">
        <v>89</v>
      </c>
      <c r="F25" s="81"/>
      <c r="G25" s="11"/>
    </row>
    <row r="26" spans="1:25" x14ac:dyDescent="0.25">
      <c r="A26" s="30" t="s">
        <v>90</v>
      </c>
      <c r="B26" s="33" t="s">
        <v>66</v>
      </c>
      <c r="C26" s="34">
        <v>7</v>
      </c>
      <c r="D26" s="35" t="s">
        <v>91</v>
      </c>
      <c r="E26" s="82"/>
      <c r="F26" s="82"/>
      <c r="G26" s="35" t="s">
        <v>73</v>
      </c>
      <c r="H26" s="9"/>
      <c r="I26" s="9"/>
      <c r="J26" s="9"/>
      <c r="K26" s="9"/>
      <c r="L26" s="9"/>
      <c r="M26" s="9"/>
      <c r="N26" s="9"/>
      <c r="O26" s="9"/>
      <c r="P26" s="9"/>
      <c r="Q26" s="9"/>
      <c r="R26" s="9"/>
      <c r="S26" s="9"/>
      <c r="T26" s="9"/>
      <c r="U26" s="9"/>
      <c r="V26" s="9"/>
      <c r="W26" s="9"/>
      <c r="X26" s="9"/>
      <c r="Y26" s="9"/>
    </row>
    <row r="27" spans="1:25" x14ac:dyDescent="0.25">
      <c r="A27" s="6">
        <v>1</v>
      </c>
      <c r="B27" s="25" t="s">
        <v>67</v>
      </c>
      <c r="C27" s="26">
        <v>12</v>
      </c>
      <c r="D27" s="11" t="s">
        <v>92</v>
      </c>
      <c r="E27" s="81"/>
      <c r="F27" s="81"/>
      <c r="G27" s="11" t="s">
        <v>2</v>
      </c>
    </row>
    <row r="28" spans="1:25" x14ac:dyDescent="0.25">
      <c r="A28" s="6">
        <v>2</v>
      </c>
      <c r="B28" s="25" t="s">
        <v>93</v>
      </c>
      <c r="C28" s="26">
        <v>0</v>
      </c>
      <c r="D28" s="8" t="s">
        <v>92</v>
      </c>
      <c r="E28" s="8" t="s">
        <v>94</v>
      </c>
      <c r="F28" s="8" t="s">
        <v>95</v>
      </c>
      <c r="G28" s="8" t="s">
        <v>2</v>
      </c>
      <c r="H28" s="9"/>
      <c r="I28" s="9"/>
      <c r="J28" s="9"/>
      <c r="K28" s="9"/>
      <c r="L28" s="9"/>
      <c r="M28" s="9"/>
      <c r="N28" s="9"/>
      <c r="O28" s="9"/>
      <c r="P28" s="9"/>
      <c r="Q28" s="9"/>
      <c r="R28" s="9"/>
      <c r="S28" s="9"/>
      <c r="T28" s="9"/>
      <c r="U28" s="9"/>
      <c r="V28" s="9"/>
      <c r="W28" s="9"/>
      <c r="X28" s="9"/>
      <c r="Y28" s="9"/>
    </row>
    <row r="29" spans="1:25" x14ac:dyDescent="0.25">
      <c r="A29" s="6">
        <v>3</v>
      </c>
      <c r="B29" s="23" t="s">
        <v>96</v>
      </c>
      <c r="C29" s="24">
        <v>15</v>
      </c>
      <c r="D29" s="11" t="s">
        <v>97</v>
      </c>
      <c r="E29" s="11" t="s">
        <v>94</v>
      </c>
      <c r="F29" s="11" t="s">
        <v>98</v>
      </c>
      <c r="G29" s="11" t="s">
        <v>2</v>
      </c>
    </row>
    <row r="30" spans="1:25" x14ac:dyDescent="0.25">
      <c r="A30" s="6">
        <v>4</v>
      </c>
      <c r="B30" s="36" t="s">
        <v>99</v>
      </c>
      <c r="C30" s="8">
        <v>84</v>
      </c>
      <c r="D30" s="8" t="s">
        <v>97</v>
      </c>
      <c r="E30" s="8" t="s">
        <v>94</v>
      </c>
      <c r="F30" s="8" t="s">
        <v>98</v>
      </c>
      <c r="G30" s="8" t="s">
        <v>2</v>
      </c>
      <c r="H30" s="9"/>
      <c r="I30" s="9"/>
      <c r="J30" s="9"/>
      <c r="K30" s="9"/>
      <c r="L30" s="9"/>
      <c r="M30" s="9"/>
      <c r="N30" s="9"/>
      <c r="O30" s="9"/>
      <c r="P30" s="9"/>
      <c r="Q30" s="9"/>
      <c r="R30" s="9"/>
      <c r="S30" s="9"/>
      <c r="T30" s="9"/>
      <c r="U30" s="9"/>
      <c r="V30" s="9"/>
      <c r="W30" s="9"/>
      <c r="X30" s="9"/>
      <c r="Y30" s="9"/>
    </row>
    <row r="31" spans="1:25" x14ac:dyDescent="0.25">
      <c r="A31" s="6">
        <v>5</v>
      </c>
      <c r="B31" s="22" t="s">
        <v>100</v>
      </c>
      <c r="C31" s="14" t="s">
        <v>60</v>
      </c>
      <c r="D31" s="11" t="s">
        <v>97</v>
      </c>
      <c r="E31" s="11" t="s">
        <v>94</v>
      </c>
      <c r="F31" s="11" t="s">
        <v>98</v>
      </c>
      <c r="G31" s="11" t="s">
        <v>2</v>
      </c>
    </row>
    <row r="32" spans="1:25" x14ac:dyDescent="0.25">
      <c r="A32" s="9"/>
      <c r="B32" s="37" t="s">
        <v>101</v>
      </c>
      <c r="C32" s="37" t="s">
        <v>102</v>
      </c>
      <c r="D32" s="9"/>
      <c r="E32" s="9"/>
      <c r="F32" s="9"/>
      <c r="G32" s="9"/>
      <c r="H32" s="9"/>
      <c r="I32" s="9"/>
      <c r="J32" s="9"/>
      <c r="K32" s="9"/>
      <c r="L32" s="9"/>
      <c r="M32" s="9"/>
      <c r="N32" s="9"/>
      <c r="O32" s="9"/>
      <c r="P32" s="9"/>
      <c r="Q32" s="9"/>
      <c r="R32" s="9"/>
      <c r="S32" s="9"/>
      <c r="T32" s="9"/>
      <c r="U32" s="9"/>
      <c r="V32" s="9"/>
      <c r="W32" s="9"/>
      <c r="X32" s="9"/>
      <c r="Y32" s="9"/>
    </row>
    <row r="33" spans="1:25" x14ac:dyDescent="0.25">
      <c r="B33" s="37" t="s">
        <v>103</v>
      </c>
      <c r="C33" s="37">
        <v>85</v>
      </c>
    </row>
    <row r="34" spans="1:25" x14ac:dyDescent="0.25">
      <c r="A34" s="9"/>
      <c r="B34" s="37" t="s">
        <v>104</v>
      </c>
      <c r="C34" s="37">
        <v>2</v>
      </c>
      <c r="D34" s="9"/>
      <c r="E34" s="9"/>
      <c r="F34" s="9"/>
      <c r="G34" s="9"/>
      <c r="H34" s="9"/>
      <c r="I34" s="9"/>
      <c r="J34" s="9"/>
      <c r="K34" s="9"/>
      <c r="L34" s="9"/>
      <c r="M34" s="9"/>
      <c r="N34" s="9"/>
      <c r="O34" s="9"/>
      <c r="P34" s="9"/>
      <c r="Q34" s="9"/>
      <c r="R34" s="9"/>
      <c r="S34" s="9"/>
      <c r="T34" s="9"/>
      <c r="U34" s="9"/>
      <c r="V34" s="9"/>
      <c r="W34" s="9"/>
      <c r="X34" s="9"/>
      <c r="Y34" s="9"/>
    </row>
    <row r="35" spans="1:25" x14ac:dyDescent="0.25">
      <c r="B35" s="37" t="s">
        <v>105</v>
      </c>
      <c r="C35" s="37">
        <v>250.29</v>
      </c>
    </row>
    <row r="36" spans="1:25" x14ac:dyDescent="0.25">
      <c r="A36" s="9"/>
      <c r="B36" s="9"/>
      <c r="C36" s="9"/>
      <c r="D36" s="9"/>
      <c r="E36" s="9"/>
      <c r="F36" s="9"/>
      <c r="G36" s="9"/>
      <c r="H36" s="9"/>
      <c r="I36" s="9"/>
      <c r="J36" s="9"/>
      <c r="K36" s="9"/>
      <c r="L36" s="9"/>
      <c r="M36" s="9"/>
      <c r="N36" s="9"/>
      <c r="O36" s="9"/>
      <c r="P36" s="9"/>
      <c r="Q36" s="9"/>
      <c r="R36" s="9"/>
      <c r="S36" s="9"/>
      <c r="T36" s="9"/>
      <c r="U36" s="9"/>
      <c r="V36" s="9"/>
      <c r="W36" s="9"/>
      <c r="X36" s="9"/>
      <c r="Y36" s="9"/>
    </row>
    <row r="37" spans="1:25" x14ac:dyDescent="0.25">
      <c r="B37" s="14" t="s">
        <v>106</v>
      </c>
      <c r="C37" s="14" t="s">
        <v>2</v>
      </c>
    </row>
    <row r="38" spans="1:25" x14ac:dyDescent="0.25">
      <c r="A38" s="9"/>
      <c r="B38" s="37" t="s">
        <v>107</v>
      </c>
      <c r="C38" s="38" t="str">
        <f>HYPERLINK("#FixPlan!A1","Open")</f>
        <v>Open</v>
      </c>
      <c r="D38" s="9"/>
      <c r="E38" s="9"/>
      <c r="F38" s="9"/>
      <c r="G38" s="9"/>
      <c r="H38" s="9"/>
      <c r="I38" s="9"/>
      <c r="J38" s="9"/>
      <c r="K38" s="9"/>
      <c r="L38" s="9"/>
      <c r="M38" s="9"/>
      <c r="N38" s="9"/>
      <c r="O38" s="9"/>
      <c r="P38" s="9"/>
      <c r="Q38" s="9"/>
      <c r="R38" s="9"/>
      <c r="S38" s="9"/>
      <c r="T38" s="9"/>
      <c r="U38" s="9"/>
      <c r="V38" s="9"/>
      <c r="W38" s="9"/>
      <c r="X38" s="9"/>
      <c r="Y38" s="9"/>
    </row>
    <row r="39" spans="1:25" x14ac:dyDescent="0.25">
      <c r="B39" s="37" t="s">
        <v>108</v>
      </c>
      <c r="C39" s="38" t="str">
        <f>HYPERLINK("#Main!A1","Open")</f>
        <v>Open</v>
      </c>
    </row>
    <row r="40" spans="1:25" x14ac:dyDescent="0.25">
      <c r="A40" s="9"/>
      <c r="B40" s="37" t="s">
        <v>109</v>
      </c>
      <c r="C40" s="38" t="str">
        <f>HYPERLINK("#Technical!A1","Open")</f>
        <v>Open</v>
      </c>
      <c r="D40" s="9"/>
      <c r="E40" s="9"/>
      <c r="F40" s="9"/>
      <c r="G40" s="9"/>
      <c r="H40" s="9"/>
      <c r="I40" s="9"/>
      <c r="J40" s="9"/>
      <c r="K40" s="9"/>
      <c r="L40" s="9"/>
      <c r="M40" s="9"/>
      <c r="N40" s="9"/>
      <c r="O40" s="9"/>
      <c r="P40" s="9"/>
      <c r="Q40" s="9"/>
      <c r="R40" s="9"/>
      <c r="S40" s="9"/>
      <c r="T40" s="9"/>
      <c r="U40" s="9"/>
      <c r="V40" s="9"/>
      <c r="W40" s="9"/>
      <c r="X40" s="9"/>
      <c r="Y40" s="9"/>
    </row>
    <row r="41" spans="1:25" x14ac:dyDescent="0.25">
      <c r="B41" s="37" t="s">
        <v>12</v>
      </c>
      <c r="C41" s="38" t="str">
        <f>HYPERLINK("#Indexability!A1","Open")</f>
        <v>Open</v>
      </c>
    </row>
    <row r="42" spans="1:25" x14ac:dyDescent="0.25">
      <c r="A42" s="9"/>
      <c r="B42" s="37" t="s">
        <v>110</v>
      </c>
      <c r="C42" s="38" t="str">
        <f>HYPERLINK("#AEO!A1","Open")</f>
        <v>Open</v>
      </c>
      <c r="D42" s="9"/>
      <c r="E42" s="9"/>
      <c r="F42" s="9"/>
      <c r="G42" s="9"/>
      <c r="H42" s="9"/>
      <c r="I42" s="9"/>
      <c r="J42" s="9"/>
      <c r="K42" s="9"/>
      <c r="L42" s="9"/>
      <c r="M42" s="9"/>
      <c r="N42" s="9"/>
      <c r="O42" s="9"/>
      <c r="P42" s="9"/>
      <c r="Q42" s="9"/>
      <c r="R42" s="9"/>
      <c r="S42" s="9"/>
      <c r="T42" s="9"/>
      <c r="U42" s="9"/>
      <c r="V42" s="9"/>
      <c r="W42" s="9"/>
      <c r="X42" s="9"/>
      <c r="Y42" s="9"/>
    </row>
    <row r="43" spans="1:25" x14ac:dyDescent="0.25">
      <c r="B43" s="37" t="s">
        <v>111</v>
      </c>
      <c r="C43" s="38" t="str">
        <f>HYPERLINK("#AIOSEO!A1","Open")</f>
        <v>Open</v>
      </c>
    </row>
    <row r="44" spans="1:25" x14ac:dyDescent="0.25">
      <c r="A44" s="9"/>
      <c r="B44" s="14" t="s">
        <v>112</v>
      </c>
      <c r="C44" s="14" t="s">
        <v>65</v>
      </c>
      <c r="D44" s="9"/>
      <c r="E44" s="9"/>
      <c r="F44" s="9"/>
      <c r="G44" s="9"/>
      <c r="H44" s="9"/>
      <c r="I44" s="9"/>
      <c r="J44" s="9"/>
      <c r="K44" s="9"/>
      <c r="L44" s="9"/>
      <c r="M44" s="9"/>
      <c r="N44" s="9"/>
      <c r="O44" s="9"/>
      <c r="P44" s="9"/>
      <c r="Q44" s="9"/>
      <c r="R44" s="9"/>
      <c r="S44" s="9"/>
      <c r="T44" s="9"/>
      <c r="U44" s="9"/>
      <c r="V44" s="9"/>
      <c r="W44" s="9"/>
      <c r="X44" s="9"/>
      <c r="Y44" s="9"/>
    </row>
    <row r="45" spans="1:25" x14ac:dyDescent="0.25">
      <c r="B45" s="38" t="str">
        <f>HYPERLINK("#FixPlan!A9","Low AEO Readiness Score")</f>
        <v>Low AEO Readiness Score</v>
      </c>
      <c r="C45" s="37">
        <v>85</v>
      </c>
    </row>
    <row r="46" spans="1:25" x14ac:dyDescent="0.25">
      <c r="A46" s="9"/>
      <c r="B46" s="38" t="str">
        <f>HYPERLINK("#FixPlan!A8","AI Crawlers Not Explicitly Allowed")</f>
        <v>AI Crawlers Not Explicitly Allowed</v>
      </c>
      <c r="C46" s="37">
        <v>85</v>
      </c>
      <c r="D46" s="9"/>
      <c r="E46" s="9"/>
      <c r="F46" s="9"/>
      <c r="G46" s="9"/>
      <c r="H46" s="9"/>
      <c r="I46" s="9"/>
      <c r="J46" s="9"/>
      <c r="K46" s="9"/>
      <c r="L46" s="9"/>
      <c r="M46" s="9"/>
      <c r="N46" s="9"/>
      <c r="O46" s="9"/>
      <c r="P46" s="9"/>
      <c r="Q46" s="9"/>
      <c r="R46" s="9"/>
      <c r="S46" s="9"/>
      <c r="T46" s="9"/>
      <c r="U46" s="9"/>
      <c r="V46" s="9"/>
      <c r="W46" s="9"/>
      <c r="X46" s="9"/>
      <c r="Y46" s="9"/>
    </row>
    <row r="47" spans="1:25" x14ac:dyDescent="0.25">
      <c r="B47" s="38" t="str">
        <f>HYPERLINK("#FixPlan!A7","No 40-60 Word Answer Paragraphs")</f>
        <v>No 40-60 Word Answer Paragraphs</v>
      </c>
      <c r="C47" s="37">
        <v>85</v>
      </c>
    </row>
    <row r="48" spans="1:25" x14ac:dyDescent="0.25">
      <c r="A48" s="9"/>
      <c r="B48" s="38" t="str">
        <f>HYPERLINK("#FixPlan!A6","No Answer-Friendly Structure")</f>
        <v>No Answer-Friendly Structure</v>
      </c>
      <c r="C48" s="37">
        <v>85</v>
      </c>
      <c r="D48" s="9"/>
      <c r="E48" s="9"/>
      <c r="F48" s="9"/>
      <c r="G48" s="9"/>
      <c r="H48" s="9"/>
      <c r="I48" s="9"/>
      <c r="J48" s="9"/>
      <c r="K48" s="9"/>
      <c r="L48" s="9"/>
      <c r="M48" s="9"/>
      <c r="N48" s="9"/>
      <c r="O48" s="9"/>
      <c r="P48" s="9"/>
      <c r="Q48" s="9"/>
      <c r="R48" s="9"/>
      <c r="S48" s="9"/>
      <c r="T48" s="9"/>
      <c r="U48" s="9"/>
      <c r="V48" s="9"/>
      <c r="W48" s="9"/>
      <c r="X48" s="9"/>
      <c r="Y48" s="9"/>
    </row>
    <row r="49" spans="1:25" x14ac:dyDescent="0.25">
      <c r="B49" s="38" t="str">
        <f>HYPERLINK("#FixPlan!A3","No Cache-Control Header")</f>
        <v>No Cache-Control Header</v>
      </c>
      <c r="C49" s="37">
        <v>85</v>
      </c>
    </row>
    <row r="50" spans="1:25" x14ac:dyDescent="0.25">
      <c r="A50" s="9"/>
      <c r="B50" s="9"/>
      <c r="C50" s="9"/>
      <c r="D50" s="9"/>
      <c r="E50" s="9"/>
      <c r="F50" s="9"/>
      <c r="G50" s="9"/>
      <c r="H50" s="9"/>
      <c r="I50" s="9"/>
      <c r="J50" s="9"/>
      <c r="K50" s="9"/>
      <c r="L50" s="9"/>
      <c r="M50" s="9"/>
      <c r="N50" s="9"/>
      <c r="O50" s="9"/>
      <c r="P50" s="9"/>
      <c r="Q50" s="9"/>
      <c r="R50" s="9"/>
      <c r="S50" s="9"/>
      <c r="T50" s="9"/>
      <c r="U50" s="9"/>
      <c r="V50" s="9"/>
      <c r="W50" s="9"/>
      <c r="X50" s="9"/>
      <c r="Y50" s="9"/>
    </row>
    <row r="51" spans="1:25" x14ac:dyDescent="0.25">
      <c r="B51" s="83" t="s">
        <v>113</v>
      </c>
      <c r="C51" s="81"/>
    </row>
    <row r="52" spans="1:25" x14ac:dyDescent="0.25">
      <c r="A52" s="9"/>
      <c r="B52" s="80" t="s">
        <v>114</v>
      </c>
      <c r="C52" s="82"/>
      <c r="D52" s="9"/>
      <c r="E52" s="9"/>
      <c r="F52" s="9"/>
      <c r="G52" s="9"/>
      <c r="H52" s="9"/>
      <c r="I52" s="9"/>
      <c r="J52" s="9"/>
      <c r="K52" s="9"/>
      <c r="L52" s="9"/>
      <c r="M52" s="9"/>
      <c r="N52" s="9"/>
      <c r="O52" s="9"/>
      <c r="P52" s="9"/>
      <c r="Q52" s="9"/>
      <c r="R52" s="9"/>
      <c r="S52" s="9"/>
      <c r="T52" s="9"/>
      <c r="U52" s="9"/>
      <c r="V52" s="9"/>
      <c r="W52" s="9"/>
      <c r="X52" s="9"/>
      <c r="Y52" s="9"/>
    </row>
    <row r="53" spans="1:25" x14ac:dyDescent="0.25">
      <c r="B53" s="81"/>
      <c r="C53" s="81"/>
    </row>
    <row r="54" spans="1:25" x14ac:dyDescent="0.25">
      <c r="A54" s="9"/>
      <c r="B54" s="82"/>
      <c r="C54" s="82"/>
      <c r="D54" s="9"/>
      <c r="E54" s="9"/>
      <c r="F54" s="9"/>
      <c r="G54" s="9"/>
      <c r="H54" s="9"/>
      <c r="I54" s="9"/>
      <c r="J54" s="9"/>
      <c r="K54" s="9"/>
      <c r="L54" s="9"/>
      <c r="M54" s="9"/>
      <c r="N54" s="9"/>
      <c r="O54" s="9"/>
      <c r="P54" s="9"/>
      <c r="Q54" s="9"/>
      <c r="R54" s="9"/>
      <c r="S54" s="9"/>
      <c r="T54" s="9"/>
      <c r="U54" s="9"/>
      <c r="V54" s="9"/>
      <c r="W54" s="9"/>
      <c r="X54" s="9"/>
      <c r="Y54" s="9"/>
    </row>
    <row r="55" spans="1:25" x14ac:dyDescent="0.25">
      <c r="B55" s="81"/>
      <c r="C55" s="81"/>
    </row>
    <row r="56" spans="1:25" x14ac:dyDescent="0.25">
      <c r="A56" s="9"/>
      <c r="B56" s="9"/>
      <c r="C56" s="9"/>
      <c r="D56" s="9"/>
      <c r="E56" s="9"/>
      <c r="F56" s="9"/>
      <c r="G56" s="9"/>
      <c r="H56" s="9"/>
      <c r="I56" s="9"/>
      <c r="J56" s="9"/>
      <c r="K56" s="9"/>
      <c r="L56" s="9"/>
      <c r="M56" s="9"/>
      <c r="N56" s="9"/>
      <c r="O56" s="9"/>
      <c r="P56" s="9"/>
      <c r="Q56" s="9"/>
      <c r="R56" s="9"/>
      <c r="S56" s="9"/>
      <c r="T56" s="9"/>
      <c r="U56" s="9"/>
      <c r="V56" s="9"/>
      <c r="W56" s="9"/>
      <c r="X56" s="9"/>
      <c r="Y56" s="9"/>
    </row>
    <row r="58" spans="1:25" x14ac:dyDescent="0.25">
      <c r="A58" s="9"/>
      <c r="B58" s="9"/>
      <c r="C58" s="9"/>
      <c r="D58" s="9"/>
      <c r="E58" s="9"/>
      <c r="F58" s="9"/>
      <c r="G58" s="9"/>
      <c r="H58" s="9"/>
      <c r="I58" s="9"/>
      <c r="J58" s="9"/>
      <c r="K58" s="9"/>
      <c r="L58" s="9"/>
      <c r="M58" s="9"/>
      <c r="N58" s="9"/>
      <c r="O58" s="9"/>
      <c r="P58" s="9"/>
      <c r="Q58" s="9"/>
      <c r="R58" s="9"/>
      <c r="S58" s="9"/>
      <c r="T58" s="9"/>
      <c r="U58" s="9"/>
      <c r="V58" s="9"/>
      <c r="W58" s="9"/>
      <c r="X58" s="9"/>
      <c r="Y58" s="9"/>
    </row>
    <row r="60" spans="1:25" x14ac:dyDescent="0.25">
      <c r="A60" s="9"/>
      <c r="B60" s="9"/>
      <c r="C60" s="9"/>
      <c r="D60" s="9"/>
      <c r="E60" s="9"/>
      <c r="F60" s="9"/>
      <c r="G60" s="9"/>
      <c r="H60" s="9"/>
      <c r="I60" s="9"/>
      <c r="J60" s="9"/>
      <c r="K60" s="9"/>
      <c r="L60" s="9"/>
      <c r="M60" s="9"/>
      <c r="N60" s="9"/>
      <c r="O60" s="9"/>
      <c r="P60" s="9"/>
      <c r="Q60" s="9"/>
      <c r="R60" s="9"/>
      <c r="S60" s="9"/>
      <c r="T60" s="9"/>
      <c r="U60" s="9"/>
      <c r="V60" s="9"/>
      <c r="W60" s="9"/>
      <c r="X60" s="9"/>
      <c r="Y60" s="9"/>
    </row>
    <row r="62" spans="1:25" x14ac:dyDescent="0.25">
      <c r="A62" s="9"/>
      <c r="B62" s="9"/>
      <c r="C62" s="9"/>
      <c r="D62" s="9"/>
      <c r="E62" s="9"/>
      <c r="F62" s="9"/>
      <c r="G62" s="9"/>
      <c r="H62" s="9"/>
      <c r="I62" s="9"/>
      <c r="J62" s="9"/>
      <c r="K62" s="9"/>
      <c r="L62" s="9"/>
      <c r="M62" s="9"/>
      <c r="N62" s="9"/>
      <c r="O62" s="9"/>
      <c r="P62" s="9"/>
      <c r="Q62" s="9"/>
      <c r="R62" s="9"/>
      <c r="S62" s="9"/>
      <c r="T62" s="9"/>
      <c r="U62" s="9"/>
      <c r="V62" s="9"/>
      <c r="W62" s="9"/>
      <c r="X62" s="9"/>
      <c r="Y62" s="9"/>
    </row>
    <row r="64" spans="1:25" x14ac:dyDescent="0.25">
      <c r="A64" s="9"/>
      <c r="B64" s="9"/>
      <c r="C64" s="9"/>
      <c r="D64" s="9"/>
      <c r="E64" s="9"/>
      <c r="F64" s="9"/>
      <c r="G64" s="9"/>
      <c r="H64" s="9"/>
      <c r="I64" s="9"/>
      <c r="J64" s="9"/>
      <c r="K64" s="9"/>
      <c r="L64" s="9"/>
      <c r="M64" s="9"/>
      <c r="N64" s="9"/>
      <c r="O64" s="9"/>
      <c r="P64" s="9"/>
      <c r="Q64" s="9"/>
      <c r="R64" s="9"/>
      <c r="S64" s="9"/>
      <c r="T64" s="9"/>
      <c r="U64" s="9"/>
      <c r="V64" s="9"/>
      <c r="W64" s="9"/>
      <c r="X64" s="9"/>
      <c r="Y64" s="9"/>
    </row>
    <row r="66" spans="1:25" x14ac:dyDescent="0.25">
      <c r="A66" s="9"/>
      <c r="B66" s="9"/>
      <c r="C66" s="9"/>
      <c r="D66" s="9"/>
      <c r="E66" s="9"/>
      <c r="F66" s="9"/>
      <c r="G66" s="9"/>
      <c r="H66" s="9"/>
      <c r="I66" s="9"/>
      <c r="J66" s="9"/>
      <c r="K66" s="9"/>
      <c r="L66" s="9"/>
      <c r="M66" s="9"/>
      <c r="N66" s="9"/>
      <c r="O66" s="9"/>
      <c r="P66" s="9"/>
      <c r="Q66" s="9"/>
      <c r="R66" s="9"/>
      <c r="S66" s="9"/>
      <c r="T66" s="9"/>
      <c r="U66" s="9"/>
      <c r="V66" s="9"/>
      <c r="W66" s="9"/>
      <c r="X66" s="9"/>
      <c r="Y66" s="9"/>
    </row>
    <row r="68" spans="1:25" x14ac:dyDescent="0.25">
      <c r="A68" s="9"/>
      <c r="B68" s="9"/>
      <c r="C68" s="9"/>
      <c r="D68" s="9"/>
      <c r="E68" s="9"/>
      <c r="F68" s="9"/>
      <c r="G68" s="9"/>
      <c r="H68" s="9"/>
      <c r="I68" s="9"/>
      <c r="J68" s="9"/>
      <c r="K68" s="9"/>
      <c r="L68" s="9"/>
      <c r="M68" s="9"/>
      <c r="N68" s="9"/>
      <c r="O68" s="9"/>
      <c r="P68" s="9"/>
      <c r="Q68" s="9"/>
      <c r="R68" s="9"/>
      <c r="S68" s="9"/>
      <c r="T68" s="9"/>
      <c r="U68" s="9"/>
      <c r="V68" s="9"/>
      <c r="W68" s="9"/>
      <c r="X68" s="9"/>
      <c r="Y68" s="9"/>
    </row>
    <row r="70" spans="1:25" x14ac:dyDescent="0.25">
      <c r="A70" s="9"/>
      <c r="B70" s="9"/>
      <c r="C70" s="9"/>
      <c r="D70" s="9"/>
      <c r="E70" s="9"/>
      <c r="F70" s="9"/>
      <c r="G70" s="9"/>
      <c r="H70" s="9"/>
      <c r="I70" s="9"/>
      <c r="J70" s="9"/>
      <c r="K70" s="9"/>
      <c r="L70" s="9"/>
      <c r="M70" s="9"/>
      <c r="N70" s="9"/>
      <c r="O70" s="9"/>
      <c r="P70" s="9"/>
      <c r="Q70" s="9"/>
      <c r="R70" s="9"/>
      <c r="S70" s="9"/>
      <c r="T70" s="9"/>
      <c r="U70" s="9"/>
      <c r="V70" s="9"/>
      <c r="W70" s="9"/>
      <c r="X70" s="9"/>
      <c r="Y70" s="9"/>
    </row>
    <row r="72" spans="1:25" x14ac:dyDescent="0.25">
      <c r="A72" s="9"/>
      <c r="B72" s="9"/>
      <c r="C72" s="9"/>
      <c r="D72" s="9"/>
      <c r="E72" s="9"/>
      <c r="F72" s="9"/>
      <c r="G72" s="9"/>
      <c r="H72" s="9"/>
      <c r="I72" s="9"/>
      <c r="J72" s="9"/>
      <c r="K72" s="9"/>
      <c r="L72" s="9"/>
      <c r="M72" s="9"/>
      <c r="N72" s="9"/>
      <c r="O72" s="9"/>
      <c r="P72" s="9"/>
      <c r="Q72" s="9"/>
      <c r="R72" s="9"/>
      <c r="S72" s="9"/>
      <c r="T72" s="9"/>
      <c r="U72" s="9"/>
      <c r="V72" s="9"/>
      <c r="W72" s="9"/>
      <c r="X72" s="9"/>
      <c r="Y72" s="9"/>
    </row>
    <row r="74" spans="1:25" x14ac:dyDescent="0.25">
      <c r="A74" s="9"/>
      <c r="B74" s="9"/>
      <c r="C74" s="9"/>
      <c r="D74" s="9"/>
      <c r="E74" s="9"/>
      <c r="F74" s="9"/>
      <c r="G74" s="9"/>
      <c r="H74" s="9"/>
      <c r="I74" s="9"/>
      <c r="J74" s="9"/>
      <c r="K74" s="9"/>
      <c r="L74" s="9"/>
      <c r="M74" s="9"/>
      <c r="N74" s="9"/>
      <c r="O74" s="9"/>
      <c r="P74" s="9"/>
      <c r="Q74" s="9"/>
      <c r="R74" s="9"/>
      <c r="S74" s="9"/>
      <c r="T74" s="9"/>
      <c r="U74" s="9"/>
      <c r="V74" s="9"/>
      <c r="W74" s="9"/>
      <c r="X74" s="9"/>
      <c r="Y74" s="9"/>
    </row>
    <row r="76" spans="1:25" x14ac:dyDescent="0.25">
      <c r="A76" s="9"/>
      <c r="B76" s="9"/>
      <c r="C76" s="9"/>
      <c r="D76" s="9"/>
      <c r="E76" s="9"/>
      <c r="F76" s="9"/>
      <c r="G76" s="9"/>
      <c r="H76" s="9"/>
      <c r="I76" s="9"/>
      <c r="J76" s="9"/>
      <c r="K76" s="9"/>
      <c r="L76" s="9"/>
      <c r="M76" s="9"/>
      <c r="N76" s="9"/>
      <c r="O76" s="9"/>
      <c r="P76" s="9"/>
      <c r="Q76" s="9"/>
      <c r="R76" s="9"/>
      <c r="S76" s="9"/>
      <c r="T76" s="9"/>
      <c r="U76" s="9"/>
      <c r="V76" s="9"/>
      <c r="W76" s="9"/>
      <c r="X76" s="9"/>
      <c r="Y76" s="9"/>
    </row>
    <row r="78" spans="1:25" x14ac:dyDescent="0.25">
      <c r="A78" s="9"/>
      <c r="B78" s="9"/>
      <c r="C78" s="9"/>
      <c r="D78" s="9"/>
      <c r="E78" s="9"/>
      <c r="F78" s="9"/>
      <c r="G78" s="9"/>
      <c r="H78" s="9"/>
      <c r="I78" s="9"/>
      <c r="J78" s="9"/>
      <c r="K78" s="9"/>
      <c r="L78" s="9"/>
      <c r="M78" s="9"/>
      <c r="N78" s="9"/>
      <c r="O78" s="9"/>
      <c r="P78" s="9"/>
      <c r="Q78" s="9"/>
      <c r="R78" s="9"/>
      <c r="S78" s="9"/>
      <c r="T78" s="9"/>
      <c r="U78" s="9"/>
      <c r="V78" s="9"/>
      <c r="W78" s="9"/>
      <c r="X78" s="9"/>
      <c r="Y78" s="9"/>
    </row>
  </sheetData>
  <autoFilter ref="A1:Y79" xr:uid="{00000000-0009-0000-0000-000001000000}"/>
  <mergeCells count="5">
    <mergeCell ref="E25:F27"/>
    <mergeCell ref="E20:F20"/>
    <mergeCell ref="B51:C51"/>
    <mergeCell ref="E4:J4"/>
    <mergeCell ref="B52:C55"/>
  </mergeCells>
  <dataValidations count="29">
    <dataValidation type="custom" allowBlank="1" showInputMessage="1" promptTitle="Metric" prompt="Metric. Review this metric to identify risk, then use linked tabs for details and remediation." sqref="A1" xr:uid="{00000000-0002-0000-0100-000000000000}">
      <formula1>TRUE</formula1>
    </dataValidation>
    <dataValidation type="custom" allowBlank="1" showInputMessage="1" promptTitle="Value" prompt="Value. Review this metric to identify risk, then use linked tabs for details and remediation." sqref="B1" xr:uid="{00000000-0002-0000-0100-000001000000}">
      <formula1>TRUE</formula1>
    </dataValidation>
    <dataValidation type="custom" allowBlank="1" showInputMessage="1" promptTitle="KPI C5" prompt="Total URLs crawled in this run. Calculated as the number of audited URL rows." sqref="C5" xr:uid="{00000000-0002-0000-0100-000002000000}">
      <formula1>TRUE</formula1>
    </dataValidation>
    <dataValidation type="custom" allowBlank="1" showInputMessage="1" promptTitle="KPI C6" prompt="Overall Health Score. Calculated as average SEO Health Score across Technical URLs; fallback to SEO Pass Rate if score data is unavailable." sqref="C6" xr:uid="{00000000-0002-0000-0100-000003000000}">
      <formula1>TRUE</formula1>
    </dataValidation>
    <dataValidation type="custom" allowBlank="1" showInputMessage="1" promptTitle="KPI C7" prompt="SEO Pass Rate %. Calculated as Pass URLs divided by Total URLs." sqref="C7" xr:uid="{00000000-0002-0000-0100-000004000000}">
      <formula1>TRUE</formula1>
    </dataValidation>
    <dataValidation type="custom" allowBlank="1" showInputMessage="1" promptTitle="KPI C8" prompt="Pass URL count. URL is pass when it has no Critical and no Warning issues." sqref="C8" xr:uid="{00000000-0002-0000-0100-000005000000}">
      <formula1>TRUE</formula1>
    </dataValidation>
    <dataValidation type="custom" allowBlank="1" showInputMessage="1" promptTitle="KPI C9" prompt="Critical URL count from Technical severity badge." sqref="C9" xr:uid="{00000000-0002-0000-0100-000006000000}">
      <formula1>TRUE</formula1>
    </dataValidation>
    <dataValidation type="custom" allowBlank="1" showInputMessage="1" promptTitle="KPI C10" prompt="Warning URL count from Technical severity badge." sqref="C10" xr:uid="{00000000-0002-0000-0100-000007000000}">
      <formula1>TRUE</formula1>
    </dataValidation>
    <dataValidation type="custom" allowBlank="1" showInputMessage="1" promptTitle="KPI C11" prompt="HTTP Error Rate %. Calculated as (4xx URLs + 5xx URLs) / Total URLs." sqref="C11" xr:uid="{00000000-0002-0000-0100-000008000000}">
      <formula1>TRUE</formula1>
    </dataValidation>
    <dataValidation type="custom" allowBlank="1" showInputMessage="1" promptTitle="KPI C12" prompt="Crawl Success Rate %. Calculated as 2xx URLs / Total URLs." sqref="C12" xr:uid="{00000000-0002-0000-0100-000009000000}">
      <formula1>TRUE</formula1>
    </dataValidation>
    <dataValidation type="custom" allowBlank="1" showInputMessage="1" promptTitle="KPI C13" prompt="Critical URL Rate %. Calculated as Critical URLs / Total URLs." sqref="C13" xr:uid="{00000000-0002-0000-0100-00000A000000}">
      <formula1>TRUE</formula1>
    </dataValidation>
    <dataValidation type="custom" allowBlank="1" showInputMessage="1" promptTitle="KPI C14" prompt="Warning URL Rate %. Calculated as Warning URLs / Total URLs." sqref="C14" xr:uid="{00000000-0002-0000-0100-00000B000000}">
      <formula1>TRUE</formula1>
    </dataValidation>
    <dataValidation type="custom" allowBlank="1" showInputMessage="1" promptTitle="KPI C15" prompt="Projected Health Score if all current To Do items are completed in this cycle." sqref="C15" xr:uid="{00000000-0002-0000-0100-00000C000000}">
      <formula1>TRUE</formula1>
    </dataValidation>
    <dataValidation type="custom" allowBlank="1" showInputMessage="1" promptTitle="KPI C16" prompt="Projected Pass Rate if all current To Do items are completed in this cycle." sqref="C16" xr:uid="{00000000-0002-0000-0100-00000D000000}">
      <formula1>TRUE</formula1>
    </dataValidation>
    <dataValidation type="custom" allowBlank="1" showInputMessage="1" promptTitle="KPI C32" prompt="Most widespread issue from FixPlan by affected URL count." sqref="C32" xr:uid="{00000000-0002-0000-0100-00000E000000}">
      <formula1>TRUE</formula1>
    </dataValidation>
    <dataValidation type="custom" allowBlank="1" showInputMessage="1" promptTitle="KPI C33" prompt="Number of URLs impacted by the top blocking issue." sqref="C33" xr:uid="{00000000-0002-0000-0100-00000F000000}">
      <formula1>TRUE</formula1>
    </dataValidation>
    <dataValidation type="custom" allowBlank="1" showInputMessage="1" promptTitle="KPI C34" prompt="Total URLs returning client/server errors (4xx + 5xx)." sqref="C34" xr:uid="{00000000-0002-0000-0100-000010000000}">
      <formula1>TRUE</formula1>
    </dataValidation>
    <dataValidation type="custom" allowBlank="1" showInputMessage="1" promptTitle="KPI C35" prompt="Average Time to First Byte across Technical URLs (ms)." sqref="C35" xr:uid="{00000000-0002-0000-0100-000011000000}">
      <formula1>TRUE</formula1>
    </dataValidation>
    <dataValidation type="custom" allowBlank="1" showInputMessage="1" promptTitle="KPI C45" prompt="Affected URL count for the highest-priority issue (linked to FixPlan)." sqref="C45" xr:uid="{00000000-0002-0000-0100-000012000000}">
      <formula1>TRUE</formula1>
    </dataValidation>
    <dataValidation type="custom" allowBlank="1" showInputMessage="1" promptTitle="KPI C46" prompt="Affected URL count for the next issue in the priority list." sqref="C46" xr:uid="{00000000-0002-0000-0100-000013000000}">
      <formula1>TRUE</formula1>
    </dataValidation>
    <dataValidation type="custom" allowBlank="1" showInputMessage="1" promptTitle="KPI C47" prompt="Affected URL count for the next issue in the priority list." sqref="C47" xr:uid="{00000000-0002-0000-0100-000014000000}">
      <formula1>TRUE</formula1>
    </dataValidation>
    <dataValidation type="custom" allowBlank="1" showInputMessage="1" promptTitle="KPI C48" prompt="Affected URL count for the next issue in the priority list." sqref="C48" xr:uid="{00000000-0002-0000-0100-000015000000}">
      <formula1>TRUE</formula1>
    </dataValidation>
    <dataValidation type="custom" allowBlank="1" showInputMessage="1" promptTitle="KPI C49" prompt="Affected URL count for the next issue in the priority list." sqref="C49" xr:uid="{00000000-0002-0000-0100-000016000000}">
      <formula1>TRUE</formula1>
    </dataValidation>
    <dataValidation type="custom" allowBlank="1" showInputMessage="1" promptTitle="KPI E5" prompt="Owner responsible for remediation. Click to open FixPlan." sqref="E5" xr:uid="{00000000-0002-0000-0100-000017000000}">
      <formula1>TRUE</formula1>
    </dataValidation>
    <dataValidation type="custom" allowBlank="1" showInputMessage="1" promptTitle="KPI F5" prompt="Number of issue rows assigned to this owner." sqref="F5" xr:uid="{00000000-0002-0000-0100-000018000000}">
      <formula1>TRUE</formula1>
    </dataValidation>
    <dataValidation type="custom" allowBlank="1" showInputMessage="1" promptTitle="KPI G5" prompt="Total affected URLs across this owner's assigned issues." sqref="G5" xr:uid="{00000000-0002-0000-0100-000019000000}">
      <formula1>TRUE</formula1>
    </dataValidation>
    <dataValidation type="custom" allowBlank="1" showInputMessage="1" promptTitle="KPI H5" prompt="Count of critical issue types assigned to this owner." sqref="H5" xr:uid="{00000000-0002-0000-0100-00001A000000}">
      <formula1>TRUE</formula1>
    </dataValidation>
    <dataValidation type="custom" allowBlank="1" showInputMessage="1" promptTitle="KPI I5" prompt="Count of warning issue types assigned to this owner." sqref="I5" xr:uid="{00000000-0002-0000-0100-00001B000000}">
      <formula1>TRUE</formula1>
    </dataValidation>
    <dataValidation type="custom" allowBlank="1" showInputMessage="1" promptTitle="KPI J5" prompt="Count of info issue types assigned to this owner." sqref="J5" xr:uid="{00000000-0002-0000-0100-00001C000000}">
      <formula1>TRUE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87"/>
  <sheetViews>
    <sheetView tabSelected="1" workbookViewId="0">
      <pane xSplit="3" ySplit="2" topLeftCell="D3" activePane="bottomRight" state="frozen"/>
      <selection pane="topRight"/>
      <selection pane="bottomLeft"/>
      <selection pane="bottomRight" sqref="A1:V1"/>
    </sheetView>
  </sheetViews>
  <sheetFormatPr defaultRowHeight="15" outlineLevelCol="1" x14ac:dyDescent="0.25"/>
  <cols>
    <col min="1" max="2" width="18" customWidth="1"/>
    <col min="3" max="3" width="60" customWidth="1"/>
    <col min="4" max="5" width="42" customWidth="1"/>
    <col min="6" max="6" width="60" customWidth="1"/>
    <col min="7" max="7" width="48" customWidth="1"/>
    <col min="8" max="8" width="48" customWidth="1" outlineLevel="1"/>
    <col min="9" max="9" width="48" customWidth="1"/>
    <col min="10" max="10" width="13" customWidth="1"/>
    <col min="11" max="11" width="48" customWidth="1" outlineLevel="1"/>
    <col min="12" max="12" width="48" customWidth="1"/>
    <col min="13" max="13" width="12" customWidth="1"/>
    <col min="14" max="14" width="48" customWidth="1" outlineLevel="1"/>
    <col min="15" max="17" width="48" customWidth="1"/>
    <col min="18" max="18" width="42" customWidth="1"/>
    <col min="19" max="19" width="25" customWidth="1"/>
    <col min="20" max="20" width="48" customWidth="1"/>
  </cols>
  <sheetData>
    <row r="1" spans="1:22" ht="27.95" customHeight="1" x14ac:dyDescent="0.25">
      <c r="A1" s="84" t="s">
        <v>115</v>
      </c>
      <c r="B1" s="81"/>
      <c r="C1" s="81"/>
      <c r="D1" s="81"/>
      <c r="E1" s="81"/>
      <c r="F1" s="81"/>
      <c r="G1" s="81"/>
      <c r="H1" s="81"/>
      <c r="I1" s="81"/>
      <c r="J1" s="81"/>
      <c r="K1" s="81"/>
      <c r="L1" s="81"/>
      <c r="M1" s="81"/>
      <c r="N1" s="81"/>
      <c r="O1" s="81"/>
      <c r="P1" s="81"/>
      <c r="Q1" s="81"/>
      <c r="R1" s="81"/>
      <c r="S1" s="81"/>
      <c r="T1" s="81"/>
      <c r="U1" s="81"/>
      <c r="V1" s="81"/>
    </row>
    <row r="2" spans="1:22" ht="45" x14ac:dyDescent="0.25">
      <c r="A2" s="5" t="s">
        <v>73</v>
      </c>
      <c r="B2" s="5" t="s">
        <v>116</v>
      </c>
      <c r="C2" s="5" t="s">
        <v>117</v>
      </c>
      <c r="D2" s="5" t="s">
        <v>118</v>
      </c>
      <c r="E2" s="5" t="s">
        <v>119</v>
      </c>
      <c r="F2" s="5" t="s">
        <v>120</v>
      </c>
      <c r="G2" s="5" t="s">
        <v>121</v>
      </c>
      <c r="H2" s="5" t="s">
        <v>122</v>
      </c>
      <c r="I2" s="5" t="s">
        <v>123</v>
      </c>
      <c r="J2" s="5" t="s">
        <v>124</v>
      </c>
      <c r="K2" s="5" t="s">
        <v>125</v>
      </c>
      <c r="L2" s="5" t="s">
        <v>126</v>
      </c>
      <c r="M2" s="5" t="s">
        <v>127</v>
      </c>
      <c r="N2" s="5" t="s">
        <v>128</v>
      </c>
      <c r="O2" s="5" t="s">
        <v>129</v>
      </c>
      <c r="P2" s="5" t="s">
        <v>130</v>
      </c>
      <c r="Q2" s="5" t="s">
        <v>131</v>
      </c>
      <c r="R2" s="5" t="s">
        <v>132</v>
      </c>
      <c r="S2" s="5" t="s">
        <v>133</v>
      </c>
      <c r="T2" s="5" t="s">
        <v>134</v>
      </c>
      <c r="U2" s="5" t="s">
        <v>135</v>
      </c>
      <c r="V2" s="39" t="s">
        <v>136</v>
      </c>
    </row>
    <row r="3" spans="1:22" ht="99.95" customHeight="1" x14ac:dyDescent="0.25">
      <c r="A3" s="40" t="s">
        <v>137</v>
      </c>
      <c r="B3" s="41" t="s">
        <v>138</v>
      </c>
      <c r="C3" s="41" t="s">
        <v>139</v>
      </c>
      <c r="D3" s="42" t="s">
        <v>140</v>
      </c>
      <c r="E3" s="43" t="s">
        <v>141</v>
      </c>
      <c r="F3" s="41" t="s">
        <v>142</v>
      </c>
      <c r="G3" s="44" t="s">
        <v>143</v>
      </c>
      <c r="H3" s="44" t="s">
        <v>144</v>
      </c>
      <c r="I3" s="45"/>
      <c r="J3" s="41">
        <f t="shared" ref="J3:J34" si="0">LEN(I3)</f>
        <v>0</v>
      </c>
      <c r="K3" s="44" t="s">
        <v>145</v>
      </c>
      <c r="L3" s="45"/>
      <c r="M3" s="41">
        <f t="shared" ref="M3:M34" si="1">LEN(L3)</f>
        <v>0</v>
      </c>
      <c r="N3" s="44" t="s">
        <v>146</v>
      </c>
      <c r="O3" s="45"/>
      <c r="P3" s="45"/>
      <c r="Q3" s="45"/>
      <c r="R3" s="44"/>
      <c r="S3" s="46" t="str">
        <f>IF(LEN(R3)&gt;0, _xludf.IMAGE(R3), "")</f>
        <v/>
      </c>
      <c r="T3" s="45"/>
      <c r="U3" s="47" t="str">
        <f>IFERROR(HYPERLINK("#Main!A"&amp;MATCH(D2,Main!A:A,0),"Open"),HYPERLINK("#Main!A1","Open"))</f>
        <v>Open</v>
      </c>
      <c r="V3" s="47"/>
    </row>
    <row r="4" spans="1:22" ht="99.95" customHeight="1" x14ac:dyDescent="0.25">
      <c r="A4" s="40" t="s">
        <v>137</v>
      </c>
      <c r="B4" s="41" t="s">
        <v>138</v>
      </c>
      <c r="C4" s="41" t="s">
        <v>147</v>
      </c>
      <c r="D4" s="48" t="s">
        <v>148</v>
      </c>
      <c r="E4" s="43" t="s">
        <v>149</v>
      </c>
      <c r="F4" s="41" t="s">
        <v>150</v>
      </c>
      <c r="G4" s="44" t="s">
        <v>151</v>
      </c>
      <c r="H4" s="44" t="s">
        <v>152</v>
      </c>
      <c r="I4" s="45"/>
      <c r="J4" s="41">
        <f t="shared" si="0"/>
        <v>0</v>
      </c>
      <c r="K4" s="44" t="s">
        <v>153</v>
      </c>
      <c r="L4" s="45"/>
      <c r="M4" s="41">
        <f t="shared" si="1"/>
        <v>0</v>
      </c>
      <c r="N4" s="44" t="s">
        <v>154</v>
      </c>
      <c r="O4" s="45"/>
      <c r="P4" s="45"/>
      <c r="Q4" s="45"/>
      <c r="R4" s="44"/>
      <c r="S4" s="46" t="str">
        <f>IF(LEN(R4)&gt;0, _xludf.IMAGE(R4), "")</f>
        <v/>
      </c>
      <c r="T4" s="45"/>
      <c r="U4" s="41" t="str">
        <f>IFERROR(HYPERLINK("#Main!A"&amp;MATCH(D3,Main!A:A,0),"Open"),HYPERLINK("#Main!A1","Open"))</f>
        <v>Open</v>
      </c>
      <c r="V4" s="41"/>
    </row>
    <row r="5" spans="1:22" ht="99.95" customHeight="1" x14ac:dyDescent="0.25">
      <c r="A5" s="40" t="s">
        <v>137</v>
      </c>
      <c r="B5" s="41" t="s">
        <v>138</v>
      </c>
      <c r="C5" s="41" t="s">
        <v>155</v>
      </c>
      <c r="D5" s="42" t="s">
        <v>156</v>
      </c>
      <c r="E5" s="43" t="s">
        <v>157</v>
      </c>
      <c r="F5" s="41" t="s">
        <v>158</v>
      </c>
      <c r="G5" s="44" t="s">
        <v>159</v>
      </c>
      <c r="H5" s="44" t="s">
        <v>160</v>
      </c>
      <c r="I5" s="45"/>
      <c r="J5" s="41">
        <f t="shared" si="0"/>
        <v>0</v>
      </c>
      <c r="K5" s="44" t="s">
        <v>161</v>
      </c>
      <c r="L5" s="45"/>
      <c r="M5" s="41">
        <f t="shared" si="1"/>
        <v>0</v>
      </c>
      <c r="N5" s="44" t="s">
        <v>162</v>
      </c>
      <c r="O5" s="45"/>
      <c r="P5" s="45"/>
      <c r="Q5" s="45"/>
      <c r="R5" s="44"/>
      <c r="S5" s="46" t="str">
        <f>IF(LEN(R5)&gt;0, _xludf.IMAGE(R5), "")</f>
        <v/>
      </c>
      <c r="T5" s="45"/>
      <c r="U5" s="47" t="str">
        <f>IFERROR(HYPERLINK("#Main!A"&amp;MATCH(D4,Main!A:A,0),"Open"),HYPERLINK("#Main!A1","Open"))</f>
        <v>Open</v>
      </c>
      <c r="V5" s="47"/>
    </row>
    <row r="6" spans="1:22" ht="99.95" customHeight="1" x14ac:dyDescent="0.25">
      <c r="A6" s="40" t="s">
        <v>137</v>
      </c>
      <c r="B6" s="41" t="s">
        <v>138</v>
      </c>
      <c r="C6" s="41" t="s">
        <v>163</v>
      </c>
      <c r="D6" s="48" t="s">
        <v>164</v>
      </c>
      <c r="E6" s="43" t="s">
        <v>165</v>
      </c>
      <c r="F6" s="41" t="s">
        <v>166</v>
      </c>
      <c r="G6" s="44" t="s">
        <v>167</v>
      </c>
      <c r="H6" s="44" t="s">
        <v>168</v>
      </c>
      <c r="I6" s="45"/>
      <c r="J6" s="41">
        <f t="shared" si="0"/>
        <v>0</v>
      </c>
      <c r="K6" s="44" t="s">
        <v>169</v>
      </c>
      <c r="L6" s="45"/>
      <c r="M6" s="41">
        <f t="shared" si="1"/>
        <v>0</v>
      </c>
      <c r="N6" s="44" t="s">
        <v>170</v>
      </c>
      <c r="O6" s="45"/>
      <c r="P6" s="45"/>
      <c r="Q6" s="45"/>
      <c r="R6" s="44"/>
      <c r="S6" s="46" t="str">
        <f>IF(LEN(R6)&gt;0, _xludf.IMAGE(R6), "")</f>
        <v/>
      </c>
      <c r="T6" s="45"/>
      <c r="U6" s="41" t="str">
        <f>IFERROR(HYPERLINK("#Main!A"&amp;MATCH(D5,Main!A:A,0),"Open"),HYPERLINK("#Main!A1","Open"))</f>
        <v>Open</v>
      </c>
      <c r="V6" s="41"/>
    </row>
    <row r="7" spans="1:22" ht="99.95" customHeight="1" x14ac:dyDescent="0.25">
      <c r="A7" s="40" t="s">
        <v>137</v>
      </c>
      <c r="B7" s="41" t="s">
        <v>138</v>
      </c>
      <c r="C7" s="41" t="s">
        <v>171</v>
      </c>
      <c r="D7" s="42" t="s">
        <v>172</v>
      </c>
      <c r="E7" s="43" t="s">
        <v>173</v>
      </c>
      <c r="F7" s="41" t="s">
        <v>174</v>
      </c>
      <c r="G7" s="44" t="s">
        <v>175</v>
      </c>
      <c r="H7" s="44" t="s">
        <v>176</v>
      </c>
      <c r="I7" s="45"/>
      <c r="J7" s="41">
        <f t="shared" si="0"/>
        <v>0</v>
      </c>
      <c r="K7" s="44" t="s">
        <v>177</v>
      </c>
      <c r="L7" s="45"/>
      <c r="M7" s="41">
        <f t="shared" si="1"/>
        <v>0</v>
      </c>
      <c r="N7" s="44" t="s">
        <v>178</v>
      </c>
      <c r="O7" s="45"/>
      <c r="P7" s="45"/>
      <c r="Q7" s="45"/>
      <c r="R7" s="44"/>
      <c r="S7" s="46" t="str">
        <f>IF(LEN(R7)&gt;0, _xludf.IMAGE(R7), "")</f>
        <v/>
      </c>
      <c r="T7" s="45"/>
      <c r="U7" s="47" t="str">
        <f>IFERROR(HYPERLINK("#Main!A"&amp;MATCH(D6,Main!A:A,0),"Open"),HYPERLINK("#Main!A1","Open"))</f>
        <v>Open</v>
      </c>
      <c r="V7" s="47"/>
    </row>
    <row r="8" spans="1:22" ht="99.95" customHeight="1" x14ac:dyDescent="0.25">
      <c r="A8" s="40" t="s">
        <v>137</v>
      </c>
      <c r="B8" s="41" t="s">
        <v>138</v>
      </c>
      <c r="C8" s="41" t="s">
        <v>179</v>
      </c>
      <c r="D8" s="48" t="s">
        <v>180</v>
      </c>
      <c r="E8" s="43" t="s">
        <v>181</v>
      </c>
      <c r="F8" s="41" t="s">
        <v>182</v>
      </c>
      <c r="G8" s="44" t="s">
        <v>183</v>
      </c>
      <c r="H8" s="44" t="s">
        <v>184</v>
      </c>
      <c r="I8" s="45"/>
      <c r="J8" s="41">
        <f t="shared" si="0"/>
        <v>0</v>
      </c>
      <c r="K8" s="44" t="s">
        <v>185</v>
      </c>
      <c r="L8" s="45"/>
      <c r="M8" s="41">
        <f t="shared" si="1"/>
        <v>0</v>
      </c>
      <c r="N8" s="44" t="s">
        <v>186</v>
      </c>
      <c r="O8" s="45"/>
      <c r="P8" s="45"/>
      <c r="Q8" s="45"/>
      <c r="R8" s="44"/>
      <c r="S8" s="46" t="str">
        <f>IF(LEN(R8)&gt;0, _xludf.IMAGE(R8), "")</f>
        <v/>
      </c>
      <c r="T8" s="45"/>
      <c r="U8" s="41" t="str">
        <f>IFERROR(HYPERLINK("#Main!A"&amp;MATCH(D7,Main!A:A,0),"Open"),HYPERLINK("#Main!A1","Open"))</f>
        <v>Open</v>
      </c>
      <c r="V8" s="41"/>
    </row>
    <row r="9" spans="1:22" ht="99.95" customHeight="1" x14ac:dyDescent="0.25">
      <c r="A9" s="40" t="s">
        <v>137</v>
      </c>
      <c r="B9" s="41" t="s">
        <v>138</v>
      </c>
      <c r="C9" s="41" t="s">
        <v>187</v>
      </c>
      <c r="D9" s="42" t="s">
        <v>188</v>
      </c>
      <c r="E9" s="43" t="s">
        <v>189</v>
      </c>
      <c r="F9" s="41" t="s">
        <v>190</v>
      </c>
      <c r="G9" s="44" t="s">
        <v>191</v>
      </c>
      <c r="H9" s="44" t="s">
        <v>192</v>
      </c>
      <c r="I9" s="45"/>
      <c r="J9" s="41">
        <f t="shared" si="0"/>
        <v>0</v>
      </c>
      <c r="K9" s="44" t="s">
        <v>193</v>
      </c>
      <c r="L9" s="45"/>
      <c r="M9" s="41">
        <f t="shared" si="1"/>
        <v>0</v>
      </c>
      <c r="N9" s="44" t="s">
        <v>194</v>
      </c>
      <c r="O9" s="45"/>
      <c r="P9" s="45"/>
      <c r="Q9" s="45"/>
      <c r="R9" s="44"/>
      <c r="S9" s="46" t="str">
        <f>IF(LEN(R9)&gt;0, _xludf.IMAGE(R9), "")</f>
        <v/>
      </c>
      <c r="T9" s="45"/>
      <c r="U9" s="47" t="str">
        <f>IFERROR(HYPERLINK("#Main!A"&amp;MATCH(D8,Main!A:A,0),"Open"),HYPERLINK("#Main!A1","Open"))</f>
        <v>Open</v>
      </c>
      <c r="V9" s="47"/>
    </row>
    <row r="10" spans="1:22" ht="99.95" customHeight="1" x14ac:dyDescent="0.25">
      <c r="A10" s="40" t="s">
        <v>137</v>
      </c>
      <c r="B10" s="41" t="s">
        <v>138</v>
      </c>
      <c r="C10" s="41" t="s">
        <v>195</v>
      </c>
      <c r="D10" s="48" t="s">
        <v>196</v>
      </c>
      <c r="E10" s="43" t="s">
        <v>197</v>
      </c>
      <c r="F10" s="41" t="s">
        <v>198</v>
      </c>
      <c r="G10" s="44" t="s">
        <v>199</v>
      </c>
      <c r="H10" s="44" t="s">
        <v>200</v>
      </c>
      <c r="I10" s="45"/>
      <c r="J10" s="41">
        <f t="shared" si="0"/>
        <v>0</v>
      </c>
      <c r="K10" s="44" t="s">
        <v>201</v>
      </c>
      <c r="L10" s="45"/>
      <c r="M10" s="41">
        <f t="shared" si="1"/>
        <v>0</v>
      </c>
      <c r="N10" s="44" t="s">
        <v>202</v>
      </c>
      <c r="O10" s="45"/>
      <c r="P10" s="45"/>
      <c r="Q10" s="45"/>
      <c r="R10" s="44"/>
      <c r="S10" s="46" t="str">
        <f>IF(LEN(R10)&gt;0, _xludf.IMAGE(R10), "")</f>
        <v/>
      </c>
      <c r="T10" s="45"/>
      <c r="U10" s="41" t="str">
        <f>IFERROR(HYPERLINK("#Main!A"&amp;MATCH(D9,Main!A:A,0),"Open"),HYPERLINK("#Main!A1","Open"))</f>
        <v>Open</v>
      </c>
      <c r="V10" s="41"/>
    </row>
    <row r="11" spans="1:22" ht="99.95" customHeight="1" x14ac:dyDescent="0.25">
      <c r="A11" s="40" t="s">
        <v>137</v>
      </c>
      <c r="B11" s="41" t="s">
        <v>138</v>
      </c>
      <c r="C11" s="41" t="s">
        <v>203</v>
      </c>
      <c r="D11" s="42" t="s">
        <v>99</v>
      </c>
      <c r="E11" s="43" t="s">
        <v>204</v>
      </c>
      <c r="F11" s="41" t="s">
        <v>205</v>
      </c>
      <c r="G11" s="44" t="s">
        <v>206</v>
      </c>
      <c r="H11" s="44" t="s">
        <v>207</v>
      </c>
      <c r="I11" s="45"/>
      <c r="J11" s="41">
        <f t="shared" si="0"/>
        <v>0</v>
      </c>
      <c r="K11" s="44" t="s">
        <v>208</v>
      </c>
      <c r="L11" s="45"/>
      <c r="M11" s="41">
        <f t="shared" si="1"/>
        <v>0</v>
      </c>
      <c r="N11" s="44"/>
      <c r="O11" s="45"/>
      <c r="P11" s="45"/>
      <c r="Q11" s="45"/>
      <c r="R11" s="44"/>
      <c r="S11" s="46" t="str">
        <f>IF(LEN(R11)&gt;0, _xludf.IMAGE(R11), "")</f>
        <v/>
      </c>
      <c r="T11" s="45"/>
      <c r="U11" s="47" t="str">
        <f>IFERROR(HYPERLINK("#Main!A"&amp;MATCH(D10,Main!A:A,0),"Open"),HYPERLINK("#Main!A1","Open"))</f>
        <v>Open</v>
      </c>
      <c r="V11" s="47"/>
    </row>
    <row r="12" spans="1:22" ht="99.95" customHeight="1" x14ac:dyDescent="0.25">
      <c r="A12" s="40" t="s">
        <v>137</v>
      </c>
      <c r="B12" s="41" t="s">
        <v>138</v>
      </c>
      <c r="C12" s="41" t="s">
        <v>209</v>
      </c>
      <c r="D12" s="48" t="s">
        <v>210</v>
      </c>
      <c r="E12" s="43" t="s">
        <v>211</v>
      </c>
      <c r="F12" s="41" t="s">
        <v>212</v>
      </c>
      <c r="G12" s="44" t="s">
        <v>213</v>
      </c>
      <c r="H12" s="44" t="s">
        <v>214</v>
      </c>
      <c r="I12" s="45"/>
      <c r="J12" s="41">
        <f t="shared" si="0"/>
        <v>0</v>
      </c>
      <c r="K12" s="44" t="s">
        <v>215</v>
      </c>
      <c r="L12" s="45"/>
      <c r="M12" s="41">
        <f t="shared" si="1"/>
        <v>0</v>
      </c>
      <c r="N12" s="44" t="s">
        <v>216</v>
      </c>
      <c r="O12" s="45"/>
      <c r="P12" s="45"/>
      <c r="Q12" s="45"/>
      <c r="R12" s="44"/>
      <c r="S12" s="46" t="str">
        <f>IF(LEN(R12)&gt;0, _xludf.IMAGE(R12), "")</f>
        <v/>
      </c>
      <c r="T12" s="45"/>
      <c r="U12" s="41" t="str">
        <f>IFERROR(HYPERLINK("#Main!A"&amp;MATCH(D11,Main!A:A,0),"Open"),HYPERLINK("#Main!A1","Open"))</f>
        <v>Open</v>
      </c>
      <c r="V12" s="41"/>
    </row>
    <row r="13" spans="1:22" ht="99.95" customHeight="1" x14ac:dyDescent="0.25">
      <c r="A13" s="40" t="s">
        <v>137</v>
      </c>
      <c r="B13" s="41" t="s">
        <v>138</v>
      </c>
      <c r="C13" s="41" t="s">
        <v>217</v>
      </c>
      <c r="D13" s="42" t="s">
        <v>218</v>
      </c>
      <c r="E13" s="43" t="s">
        <v>219</v>
      </c>
      <c r="F13" s="41" t="s">
        <v>220</v>
      </c>
      <c r="G13" s="44" t="s">
        <v>221</v>
      </c>
      <c r="H13" s="44" t="s">
        <v>222</v>
      </c>
      <c r="I13" s="45"/>
      <c r="J13" s="41">
        <f t="shared" si="0"/>
        <v>0</v>
      </c>
      <c r="K13" s="44" t="s">
        <v>223</v>
      </c>
      <c r="L13" s="45"/>
      <c r="M13" s="41">
        <f t="shared" si="1"/>
        <v>0</v>
      </c>
      <c r="N13" s="44" t="s">
        <v>224</v>
      </c>
      <c r="O13" s="45"/>
      <c r="P13" s="45"/>
      <c r="Q13" s="45"/>
      <c r="R13" s="44"/>
      <c r="S13" s="46" t="str">
        <f>IF(LEN(R13)&gt;0, _xludf.IMAGE(R13), "")</f>
        <v/>
      </c>
      <c r="T13" s="45"/>
      <c r="U13" s="47" t="str">
        <f>IFERROR(HYPERLINK("#Main!A"&amp;MATCH(D12,Main!A:A,0),"Open"),HYPERLINK("#Main!A1","Open"))</f>
        <v>Open</v>
      </c>
      <c r="V13" s="47"/>
    </row>
    <row r="14" spans="1:22" ht="99.95" customHeight="1" x14ac:dyDescent="0.25">
      <c r="A14" s="40" t="s">
        <v>137</v>
      </c>
      <c r="B14" s="41" t="s">
        <v>138</v>
      </c>
      <c r="C14" s="41" t="s">
        <v>225</v>
      </c>
      <c r="D14" s="48" t="s">
        <v>226</v>
      </c>
      <c r="E14" s="43" t="s">
        <v>227</v>
      </c>
      <c r="F14" s="41" t="s">
        <v>228</v>
      </c>
      <c r="G14" s="44" t="s">
        <v>229</v>
      </c>
      <c r="H14" s="44" t="s">
        <v>230</v>
      </c>
      <c r="I14" s="45"/>
      <c r="J14" s="41">
        <f t="shared" si="0"/>
        <v>0</v>
      </c>
      <c r="K14" s="44" t="s">
        <v>231</v>
      </c>
      <c r="L14" s="45"/>
      <c r="M14" s="41">
        <f t="shared" si="1"/>
        <v>0</v>
      </c>
      <c r="N14" s="44" t="s">
        <v>232</v>
      </c>
      <c r="O14" s="45"/>
      <c r="P14" s="45"/>
      <c r="Q14" s="45"/>
      <c r="R14" s="44"/>
      <c r="S14" s="46" t="str">
        <f>IF(LEN(R14)&gt;0, _xludf.IMAGE(R14), "")</f>
        <v/>
      </c>
      <c r="T14" s="45"/>
      <c r="U14" s="41" t="str">
        <f>IFERROR(HYPERLINK("#Main!A"&amp;MATCH(D13,Main!A:A,0),"Open"),HYPERLINK("#Main!A1","Open"))</f>
        <v>Open</v>
      </c>
      <c r="V14" s="41"/>
    </row>
    <row r="15" spans="1:22" ht="99.95" customHeight="1" x14ac:dyDescent="0.25">
      <c r="A15" s="40" t="s">
        <v>137</v>
      </c>
      <c r="B15" s="41" t="s">
        <v>138</v>
      </c>
      <c r="C15" s="41" t="s">
        <v>233</v>
      </c>
      <c r="D15" s="42" t="s">
        <v>234</v>
      </c>
      <c r="E15" s="43" t="s">
        <v>235</v>
      </c>
      <c r="F15" s="41" t="s">
        <v>236</v>
      </c>
      <c r="G15" s="44" t="s">
        <v>237</v>
      </c>
      <c r="H15" s="44" t="s">
        <v>238</v>
      </c>
      <c r="I15" s="45"/>
      <c r="J15" s="41">
        <f t="shared" si="0"/>
        <v>0</v>
      </c>
      <c r="K15" s="44" t="s">
        <v>239</v>
      </c>
      <c r="L15" s="45"/>
      <c r="M15" s="41">
        <f t="shared" si="1"/>
        <v>0</v>
      </c>
      <c r="N15" s="44" t="s">
        <v>240</v>
      </c>
      <c r="O15" s="45"/>
      <c r="P15" s="45"/>
      <c r="Q15" s="45"/>
      <c r="R15" s="44"/>
      <c r="S15" s="46" t="str">
        <f>IF(LEN(R15)&gt;0, _xludf.IMAGE(R15), "")</f>
        <v/>
      </c>
      <c r="T15" s="45"/>
      <c r="U15" s="47" t="str">
        <f>IFERROR(HYPERLINK("#Main!A"&amp;MATCH(D14,Main!A:A,0),"Open"),HYPERLINK("#Main!A1","Open"))</f>
        <v>Open</v>
      </c>
      <c r="V15" s="47"/>
    </row>
    <row r="16" spans="1:22" ht="99.95" customHeight="1" x14ac:dyDescent="0.25">
      <c r="A16" s="40" t="s">
        <v>137</v>
      </c>
      <c r="B16" s="41" t="s">
        <v>138</v>
      </c>
      <c r="C16" s="41" t="s">
        <v>241</v>
      </c>
      <c r="D16" s="48" t="s">
        <v>242</v>
      </c>
      <c r="E16" s="43" t="s">
        <v>243</v>
      </c>
      <c r="F16" s="41" t="s">
        <v>244</v>
      </c>
      <c r="G16" s="44" t="s">
        <v>245</v>
      </c>
      <c r="H16" s="44" t="s">
        <v>246</v>
      </c>
      <c r="I16" s="45"/>
      <c r="J16" s="41">
        <f t="shared" si="0"/>
        <v>0</v>
      </c>
      <c r="K16" s="44" t="s">
        <v>247</v>
      </c>
      <c r="L16" s="45"/>
      <c r="M16" s="41">
        <f t="shared" si="1"/>
        <v>0</v>
      </c>
      <c r="N16" s="44" t="s">
        <v>248</v>
      </c>
      <c r="O16" s="45"/>
      <c r="P16" s="45"/>
      <c r="Q16" s="45"/>
      <c r="R16" s="44"/>
      <c r="S16" s="46" t="str">
        <f>IF(LEN(R16)&gt;0, _xludf.IMAGE(R16), "")</f>
        <v/>
      </c>
      <c r="T16" s="45"/>
      <c r="U16" s="41" t="str">
        <f>IFERROR(HYPERLINK("#Main!A"&amp;MATCH(D15,Main!A:A,0),"Open"),HYPERLINK("#Main!A1","Open"))</f>
        <v>Open</v>
      </c>
      <c r="V16" s="41"/>
    </row>
    <row r="17" spans="1:22" ht="99.95" customHeight="1" x14ac:dyDescent="0.25">
      <c r="A17" s="40" t="s">
        <v>137</v>
      </c>
      <c r="B17" s="41" t="s">
        <v>138</v>
      </c>
      <c r="C17" s="41" t="s">
        <v>249</v>
      </c>
      <c r="D17" s="42" t="s">
        <v>250</v>
      </c>
      <c r="E17" s="43" t="s">
        <v>251</v>
      </c>
      <c r="F17" s="41" t="s">
        <v>252</v>
      </c>
      <c r="G17" s="44" t="s">
        <v>253</v>
      </c>
      <c r="H17" s="44" t="s">
        <v>254</v>
      </c>
      <c r="I17" s="45"/>
      <c r="J17" s="41">
        <f t="shared" si="0"/>
        <v>0</v>
      </c>
      <c r="K17" s="44" t="s">
        <v>255</v>
      </c>
      <c r="L17" s="45"/>
      <c r="M17" s="41">
        <f t="shared" si="1"/>
        <v>0</v>
      </c>
      <c r="N17" s="44" t="s">
        <v>256</v>
      </c>
      <c r="O17" s="45"/>
      <c r="P17" s="45"/>
      <c r="Q17" s="45"/>
      <c r="R17" s="44"/>
      <c r="S17" s="46" t="str">
        <f>IF(LEN(R17)&gt;0, _xludf.IMAGE(R17), "")</f>
        <v/>
      </c>
      <c r="T17" s="45"/>
      <c r="U17" s="47" t="str">
        <f>IFERROR(HYPERLINK("#Main!A"&amp;MATCH(D16,Main!A:A,0),"Open"),HYPERLINK("#Main!A1","Open"))</f>
        <v>Open</v>
      </c>
      <c r="V17" s="47"/>
    </row>
    <row r="18" spans="1:22" ht="99.95" customHeight="1" x14ac:dyDescent="0.25">
      <c r="A18" s="40" t="s">
        <v>137</v>
      </c>
      <c r="B18" s="41" t="s">
        <v>138</v>
      </c>
      <c r="C18" s="41" t="s">
        <v>257</v>
      </c>
      <c r="D18" s="48" t="s">
        <v>258</v>
      </c>
      <c r="E18" s="43" t="s">
        <v>259</v>
      </c>
      <c r="F18" s="41" t="s">
        <v>260</v>
      </c>
      <c r="G18" s="44" t="s">
        <v>261</v>
      </c>
      <c r="H18" s="44" t="s">
        <v>262</v>
      </c>
      <c r="I18" s="45"/>
      <c r="J18" s="41">
        <f t="shared" si="0"/>
        <v>0</v>
      </c>
      <c r="K18" s="44" t="s">
        <v>263</v>
      </c>
      <c r="L18" s="45"/>
      <c r="M18" s="41">
        <f t="shared" si="1"/>
        <v>0</v>
      </c>
      <c r="N18" s="44" t="s">
        <v>264</v>
      </c>
      <c r="O18" s="45"/>
      <c r="P18" s="45"/>
      <c r="Q18" s="45"/>
      <c r="R18" s="44"/>
      <c r="S18" s="46" t="str">
        <f>IF(LEN(R18)&gt;0, _xludf.IMAGE(R18), "")</f>
        <v/>
      </c>
      <c r="T18" s="45"/>
      <c r="U18" s="41" t="str">
        <f>IFERROR(HYPERLINK("#Main!A"&amp;MATCH(D17,Main!A:A,0),"Open"),HYPERLINK("#Main!A1","Open"))</f>
        <v>Open</v>
      </c>
      <c r="V18" s="41"/>
    </row>
    <row r="19" spans="1:22" ht="99.95" customHeight="1" x14ac:dyDescent="0.25">
      <c r="A19" s="40" t="s">
        <v>137</v>
      </c>
      <c r="B19" s="41" t="s">
        <v>138</v>
      </c>
      <c r="C19" s="41" t="s">
        <v>265</v>
      </c>
      <c r="D19" s="42" t="s">
        <v>266</v>
      </c>
      <c r="E19" s="43" t="s">
        <v>267</v>
      </c>
      <c r="F19" s="41" t="s">
        <v>268</v>
      </c>
      <c r="G19" s="44" t="s">
        <v>269</v>
      </c>
      <c r="H19" s="44" t="s">
        <v>270</v>
      </c>
      <c r="I19" s="45"/>
      <c r="J19" s="41">
        <f t="shared" si="0"/>
        <v>0</v>
      </c>
      <c r="K19" s="44" t="s">
        <v>271</v>
      </c>
      <c r="L19" s="45"/>
      <c r="M19" s="41">
        <f t="shared" si="1"/>
        <v>0</v>
      </c>
      <c r="N19" s="44" t="s">
        <v>272</v>
      </c>
      <c r="O19" s="45"/>
      <c r="P19" s="45"/>
      <c r="Q19" s="45"/>
      <c r="R19" s="44"/>
      <c r="S19" s="46" t="str">
        <f>IF(LEN(R19)&gt;0, _xludf.IMAGE(R19), "")</f>
        <v/>
      </c>
      <c r="T19" s="45"/>
      <c r="U19" s="47" t="str">
        <f>IFERROR(HYPERLINK("#Main!A"&amp;MATCH(D18,Main!A:A,0),"Open"),HYPERLINK("#Main!A1","Open"))</f>
        <v>Open</v>
      </c>
      <c r="V19" s="47"/>
    </row>
    <row r="20" spans="1:22" ht="99.95" customHeight="1" x14ac:dyDescent="0.25">
      <c r="A20" s="40" t="s">
        <v>137</v>
      </c>
      <c r="B20" s="41" t="s">
        <v>138</v>
      </c>
      <c r="C20" s="41" t="s">
        <v>273</v>
      </c>
      <c r="D20" s="48" t="s">
        <v>274</v>
      </c>
      <c r="E20" s="43" t="s">
        <v>275</v>
      </c>
      <c r="F20" s="41" t="s">
        <v>276</v>
      </c>
      <c r="G20" s="44" t="s">
        <v>277</v>
      </c>
      <c r="H20" s="44" t="s">
        <v>278</v>
      </c>
      <c r="I20" s="45"/>
      <c r="J20" s="41">
        <f t="shared" si="0"/>
        <v>0</v>
      </c>
      <c r="K20" s="44" t="s">
        <v>279</v>
      </c>
      <c r="L20" s="45"/>
      <c r="M20" s="41">
        <f t="shared" si="1"/>
        <v>0</v>
      </c>
      <c r="N20" s="44" t="s">
        <v>280</v>
      </c>
      <c r="O20" s="45"/>
      <c r="P20" s="45"/>
      <c r="Q20" s="45"/>
      <c r="R20" s="44"/>
      <c r="S20" s="46" t="str">
        <f>IF(LEN(R20)&gt;0, _xludf.IMAGE(R20), "")</f>
        <v/>
      </c>
      <c r="T20" s="45"/>
      <c r="U20" s="41" t="str">
        <f>IFERROR(HYPERLINK("#Main!A"&amp;MATCH(D19,Main!A:A,0),"Open"),HYPERLINK("#Main!A1","Open"))</f>
        <v>Open</v>
      </c>
      <c r="V20" s="41"/>
    </row>
    <row r="21" spans="1:22" ht="99.95" customHeight="1" x14ac:dyDescent="0.25">
      <c r="A21" s="40" t="s">
        <v>137</v>
      </c>
      <c r="B21" s="41" t="s">
        <v>138</v>
      </c>
      <c r="C21" s="41" t="s">
        <v>281</v>
      </c>
      <c r="D21" s="42" t="s">
        <v>282</v>
      </c>
      <c r="E21" s="43" t="s">
        <v>283</v>
      </c>
      <c r="F21" s="41" t="s">
        <v>284</v>
      </c>
      <c r="G21" s="44" t="s">
        <v>285</v>
      </c>
      <c r="H21" s="44" t="s">
        <v>286</v>
      </c>
      <c r="I21" s="45"/>
      <c r="J21" s="41">
        <f t="shared" si="0"/>
        <v>0</v>
      </c>
      <c r="K21" s="44" t="s">
        <v>287</v>
      </c>
      <c r="L21" s="45"/>
      <c r="M21" s="41">
        <f t="shared" si="1"/>
        <v>0</v>
      </c>
      <c r="N21" s="44" t="s">
        <v>288</v>
      </c>
      <c r="O21" s="45"/>
      <c r="P21" s="45"/>
      <c r="Q21" s="45"/>
      <c r="R21" s="44"/>
      <c r="S21" s="46" t="str">
        <f>IF(LEN(R21)&gt;0, _xludf.IMAGE(R21), "")</f>
        <v/>
      </c>
      <c r="T21" s="45"/>
      <c r="U21" s="47" t="str">
        <f>IFERROR(HYPERLINK("#Main!A"&amp;MATCH(D20,Main!A:A,0),"Open"),HYPERLINK("#Main!A1","Open"))</f>
        <v>Open</v>
      </c>
      <c r="V21" s="47"/>
    </row>
    <row r="22" spans="1:22" ht="99.95" customHeight="1" x14ac:dyDescent="0.25">
      <c r="A22" s="40" t="s">
        <v>137</v>
      </c>
      <c r="B22" s="41" t="s">
        <v>138</v>
      </c>
      <c r="C22" s="41" t="s">
        <v>289</v>
      </c>
      <c r="D22" s="48" t="s">
        <v>290</v>
      </c>
      <c r="E22" s="43" t="s">
        <v>291</v>
      </c>
      <c r="F22" s="41" t="s">
        <v>292</v>
      </c>
      <c r="G22" s="44" t="s">
        <v>293</v>
      </c>
      <c r="H22" s="44" t="s">
        <v>294</v>
      </c>
      <c r="I22" s="45"/>
      <c r="J22" s="41">
        <f t="shared" si="0"/>
        <v>0</v>
      </c>
      <c r="K22" s="44" t="s">
        <v>295</v>
      </c>
      <c r="L22" s="45"/>
      <c r="M22" s="41">
        <f t="shared" si="1"/>
        <v>0</v>
      </c>
      <c r="N22" s="44" t="s">
        <v>296</v>
      </c>
      <c r="O22" s="45"/>
      <c r="P22" s="45"/>
      <c r="Q22" s="45"/>
      <c r="R22" s="44"/>
      <c r="S22" s="46" t="str">
        <f>IF(LEN(R22)&gt;0, _xludf.IMAGE(R22), "")</f>
        <v/>
      </c>
      <c r="T22" s="45"/>
      <c r="U22" s="41" t="str">
        <f>IFERROR(HYPERLINK("#Main!A"&amp;MATCH(D21,Main!A:A,0),"Open"),HYPERLINK("#Main!A1","Open"))</f>
        <v>Open</v>
      </c>
      <c r="V22" s="41"/>
    </row>
    <row r="23" spans="1:22" ht="99.95" customHeight="1" x14ac:dyDescent="0.25">
      <c r="A23" s="40" t="s">
        <v>137</v>
      </c>
      <c r="B23" s="41" t="s">
        <v>138</v>
      </c>
      <c r="C23" s="41" t="s">
        <v>297</v>
      </c>
      <c r="D23" s="42" t="s">
        <v>298</v>
      </c>
      <c r="E23" s="43" t="s">
        <v>299</v>
      </c>
      <c r="F23" s="41" t="s">
        <v>300</v>
      </c>
      <c r="G23" s="44" t="s">
        <v>301</v>
      </c>
      <c r="H23" s="44" t="s">
        <v>302</v>
      </c>
      <c r="I23" s="45"/>
      <c r="J23" s="41">
        <f t="shared" si="0"/>
        <v>0</v>
      </c>
      <c r="K23" s="44" t="s">
        <v>303</v>
      </c>
      <c r="L23" s="45"/>
      <c r="M23" s="41">
        <f t="shared" si="1"/>
        <v>0</v>
      </c>
      <c r="N23" s="44" t="s">
        <v>304</v>
      </c>
      <c r="O23" s="45"/>
      <c r="P23" s="45"/>
      <c r="Q23" s="45"/>
      <c r="R23" s="44"/>
      <c r="S23" s="46" t="str">
        <f>IF(LEN(R23)&gt;0, _xludf.IMAGE(R23), "")</f>
        <v/>
      </c>
      <c r="T23" s="45"/>
      <c r="U23" s="47" t="str">
        <f>IFERROR(HYPERLINK("#Main!A"&amp;MATCH(D22,Main!A:A,0),"Open"),HYPERLINK("#Main!A1","Open"))</f>
        <v>Open</v>
      </c>
      <c r="V23" s="47"/>
    </row>
    <row r="24" spans="1:22" ht="99.95" customHeight="1" x14ac:dyDescent="0.25">
      <c r="A24" s="40" t="s">
        <v>137</v>
      </c>
      <c r="B24" s="41" t="s">
        <v>138</v>
      </c>
      <c r="C24" s="41" t="s">
        <v>305</v>
      </c>
      <c r="D24" s="48" t="s">
        <v>306</v>
      </c>
      <c r="E24" s="43" t="s">
        <v>307</v>
      </c>
      <c r="F24" s="41" t="s">
        <v>308</v>
      </c>
      <c r="G24" s="44" t="s">
        <v>309</v>
      </c>
      <c r="H24" s="44" t="s">
        <v>310</v>
      </c>
      <c r="I24" s="45"/>
      <c r="J24" s="41">
        <f t="shared" si="0"/>
        <v>0</v>
      </c>
      <c r="K24" s="44" t="s">
        <v>311</v>
      </c>
      <c r="L24" s="45"/>
      <c r="M24" s="41">
        <f t="shared" si="1"/>
        <v>0</v>
      </c>
      <c r="N24" s="44" t="s">
        <v>312</v>
      </c>
      <c r="O24" s="45"/>
      <c r="P24" s="45"/>
      <c r="Q24" s="45"/>
      <c r="R24" s="44"/>
      <c r="S24" s="46" t="str">
        <f>IF(LEN(R24)&gt;0, _xludf.IMAGE(R24), "")</f>
        <v/>
      </c>
      <c r="T24" s="45"/>
      <c r="U24" s="41" t="str">
        <f>IFERROR(HYPERLINK("#Main!A"&amp;MATCH(D23,Main!A:A,0),"Open"),HYPERLINK("#Main!A1","Open"))</f>
        <v>Open</v>
      </c>
      <c r="V24" s="41"/>
    </row>
    <row r="25" spans="1:22" ht="99.95" customHeight="1" x14ac:dyDescent="0.25">
      <c r="A25" s="40" t="s">
        <v>137</v>
      </c>
      <c r="B25" s="41" t="s">
        <v>138</v>
      </c>
      <c r="C25" s="41" t="s">
        <v>313</v>
      </c>
      <c r="D25" s="42" t="s">
        <v>314</v>
      </c>
      <c r="E25" s="43" t="s">
        <v>315</v>
      </c>
      <c r="F25" s="41" t="s">
        <v>316</v>
      </c>
      <c r="G25" s="44" t="s">
        <v>317</v>
      </c>
      <c r="H25" s="44" t="s">
        <v>318</v>
      </c>
      <c r="I25" s="45"/>
      <c r="J25" s="41">
        <f t="shared" si="0"/>
        <v>0</v>
      </c>
      <c r="K25" s="44" t="s">
        <v>319</v>
      </c>
      <c r="L25" s="45"/>
      <c r="M25" s="41">
        <f t="shared" si="1"/>
        <v>0</v>
      </c>
      <c r="N25" s="44" t="s">
        <v>320</v>
      </c>
      <c r="O25" s="45"/>
      <c r="P25" s="45"/>
      <c r="Q25" s="45"/>
      <c r="R25" s="44"/>
      <c r="S25" s="46" t="str">
        <f>IF(LEN(R25)&gt;0, _xludf.IMAGE(R25), "")</f>
        <v/>
      </c>
      <c r="T25" s="45"/>
      <c r="U25" s="47" t="str">
        <f>IFERROR(HYPERLINK("#Main!A"&amp;MATCH(D24,Main!A:A,0),"Open"),HYPERLINK("#Main!A1","Open"))</f>
        <v>Open</v>
      </c>
      <c r="V25" s="47"/>
    </row>
    <row r="26" spans="1:22" ht="99.95" customHeight="1" x14ac:dyDescent="0.25">
      <c r="A26" s="40" t="s">
        <v>137</v>
      </c>
      <c r="B26" s="41" t="s">
        <v>138</v>
      </c>
      <c r="C26" s="41" t="s">
        <v>321</v>
      </c>
      <c r="D26" s="48" t="s">
        <v>322</v>
      </c>
      <c r="E26" s="43" t="s">
        <v>323</v>
      </c>
      <c r="F26" s="41" t="s">
        <v>324</v>
      </c>
      <c r="G26" s="44" t="s">
        <v>325</v>
      </c>
      <c r="H26" s="44" t="s">
        <v>326</v>
      </c>
      <c r="I26" s="45"/>
      <c r="J26" s="41">
        <f t="shared" si="0"/>
        <v>0</v>
      </c>
      <c r="K26" s="44" t="s">
        <v>327</v>
      </c>
      <c r="L26" s="45"/>
      <c r="M26" s="41">
        <f t="shared" si="1"/>
        <v>0</v>
      </c>
      <c r="N26" s="44" t="s">
        <v>328</v>
      </c>
      <c r="O26" s="45"/>
      <c r="P26" s="45"/>
      <c r="Q26" s="45"/>
      <c r="R26" s="44"/>
      <c r="S26" s="46" t="str">
        <f>IF(LEN(R26)&gt;0, _xludf.IMAGE(R26), "")</f>
        <v/>
      </c>
      <c r="T26" s="45"/>
      <c r="U26" s="41" t="str">
        <f>IFERROR(HYPERLINK("#Main!A"&amp;MATCH(D25,Main!A:A,0),"Open"),HYPERLINK("#Main!A1","Open"))</f>
        <v>Open</v>
      </c>
      <c r="V26" s="41"/>
    </row>
    <row r="27" spans="1:22" ht="99.95" customHeight="1" x14ac:dyDescent="0.25">
      <c r="A27" s="40" t="s">
        <v>137</v>
      </c>
      <c r="B27" s="41" t="s">
        <v>138</v>
      </c>
      <c r="C27" s="41" t="s">
        <v>329</v>
      </c>
      <c r="D27" s="42" t="s">
        <v>330</v>
      </c>
      <c r="E27" s="43" t="s">
        <v>331</v>
      </c>
      <c r="F27" s="41" t="s">
        <v>332</v>
      </c>
      <c r="G27" s="44" t="s">
        <v>333</v>
      </c>
      <c r="H27" s="44" t="s">
        <v>334</v>
      </c>
      <c r="I27" s="45"/>
      <c r="J27" s="41">
        <f t="shared" si="0"/>
        <v>0</v>
      </c>
      <c r="K27" s="44" t="s">
        <v>335</v>
      </c>
      <c r="L27" s="45"/>
      <c r="M27" s="41">
        <f t="shared" si="1"/>
        <v>0</v>
      </c>
      <c r="N27" s="44" t="s">
        <v>336</v>
      </c>
      <c r="O27" s="45"/>
      <c r="P27" s="45"/>
      <c r="Q27" s="45"/>
      <c r="R27" s="44"/>
      <c r="S27" s="46" t="str">
        <f>IF(LEN(R27)&gt;0, _xludf.IMAGE(R27), "")</f>
        <v/>
      </c>
      <c r="T27" s="45"/>
      <c r="U27" s="47" t="str">
        <f>IFERROR(HYPERLINK("#Main!A"&amp;MATCH(D26,Main!A:A,0),"Open"),HYPERLINK("#Main!A1","Open"))</f>
        <v>Open</v>
      </c>
      <c r="V27" s="47"/>
    </row>
    <row r="28" spans="1:22" ht="99.95" customHeight="1" x14ac:dyDescent="0.25">
      <c r="A28" s="40" t="s">
        <v>137</v>
      </c>
      <c r="B28" s="41" t="s">
        <v>138</v>
      </c>
      <c r="C28" s="41" t="s">
        <v>337</v>
      </c>
      <c r="D28" s="48" t="s">
        <v>338</v>
      </c>
      <c r="E28" s="41"/>
      <c r="F28" s="41" t="s">
        <v>339</v>
      </c>
      <c r="G28" s="44"/>
      <c r="H28" s="44" t="s">
        <v>340</v>
      </c>
      <c r="I28" s="45"/>
      <c r="J28" s="41">
        <f t="shared" si="0"/>
        <v>0</v>
      </c>
      <c r="K28" s="44" t="s">
        <v>208</v>
      </c>
      <c r="L28" s="45"/>
      <c r="M28" s="41">
        <f t="shared" si="1"/>
        <v>0</v>
      </c>
      <c r="N28" s="44"/>
      <c r="O28" s="45"/>
      <c r="P28" s="45"/>
      <c r="Q28" s="45"/>
      <c r="R28" s="44"/>
      <c r="S28" s="46" t="str">
        <f>IF(LEN(R28)&gt;0, _xludf.IMAGE(R28), "")</f>
        <v/>
      </c>
      <c r="T28" s="45"/>
      <c r="U28" s="41" t="str">
        <f>IFERROR(HYPERLINK("#Main!A"&amp;MATCH(D27,Main!A:A,0),"Open"),HYPERLINK("#Main!A1","Open"))</f>
        <v>Open</v>
      </c>
      <c r="V28" s="41"/>
    </row>
    <row r="29" spans="1:22" ht="99.95" customHeight="1" x14ac:dyDescent="0.25">
      <c r="A29" s="40" t="s">
        <v>137</v>
      </c>
      <c r="B29" s="41" t="s">
        <v>138</v>
      </c>
      <c r="C29" s="41" t="s">
        <v>341</v>
      </c>
      <c r="D29" s="42" t="s">
        <v>342</v>
      </c>
      <c r="E29" s="43" t="s">
        <v>343</v>
      </c>
      <c r="F29" s="41" t="s">
        <v>344</v>
      </c>
      <c r="G29" s="44" t="s">
        <v>345</v>
      </c>
      <c r="H29" s="44" t="s">
        <v>346</v>
      </c>
      <c r="I29" s="45"/>
      <c r="J29" s="41">
        <f t="shared" si="0"/>
        <v>0</v>
      </c>
      <c r="K29" s="44" t="s">
        <v>347</v>
      </c>
      <c r="L29" s="45"/>
      <c r="M29" s="41">
        <f t="shared" si="1"/>
        <v>0</v>
      </c>
      <c r="N29" s="44" t="s">
        <v>348</v>
      </c>
      <c r="O29" s="45"/>
      <c r="P29" s="45"/>
      <c r="Q29" s="45"/>
      <c r="R29" s="44"/>
      <c r="S29" s="46" t="str">
        <f>IF(LEN(R29)&gt;0, _xludf.IMAGE(R29), "")</f>
        <v/>
      </c>
      <c r="T29" s="45"/>
      <c r="U29" s="47" t="str">
        <f>IFERROR(HYPERLINK("#Main!A"&amp;MATCH(D28,Main!A:A,0),"Open"),HYPERLINK("#Main!A1","Open"))</f>
        <v>Open</v>
      </c>
      <c r="V29" s="47"/>
    </row>
    <row r="30" spans="1:22" ht="99.95" customHeight="1" x14ac:dyDescent="0.25">
      <c r="A30" s="40" t="s">
        <v>137</v>
      </c>
      <c r="B30" s="41" t="s">
        <v>138</v>
      </c>
      <c r="C30" s="41" t="s">
        <v>349</v>
      </c>
      <c r="D30" s="48" t="s">
        <v>350</v>
      </c>
      <c r="E30" s="43" t="s">
        <v>351</v>
      </c>
      <c r="F30" s="41" t="s">
        <v>352</v>
      </c>
      <c r="G30" s="44" t="s">
        <v>353</v>
      </c>
      <c r="H30" s="44" t="s">
        <v>354</v>
      </c>
      <c r="I30" s="45"/>
      <c r="J30" s="41">
        <f t="shared" si="0"/>
        <v>0</v>
      </c>
      <c r="K30" s="44" t="s">
        <v>355</v>
      </c>
      <c r="L30" s="45"/>
      <c r="M30" s="41">
        <f t="shared" si="1"/>
        <v>0</v>
      </c>
      <c r="N30" s="44" t="s">
        <v>356</v>
      </c>
      <c r="O30" s="45"/>
      <c r="P30" s="45"/>
      <c r="Q30" s="45"/>
      <c r="R30" s="44"/>
      <c r="S30" s="46" t="str">
        <f>IF(LEN(R30)&gt;0, _xludf.IMAGE(R30), "")</f>
        <v/>
      </c>
      <c r="T30" s="45"/>
      <c r="U30" s="41" t="str">
        <f>IFERROR(HYPERLINK("#Main!A"&amp;MATCH(D29,Main!A:A,0),"Open"),HYPERLINK("#Main!A1","Open"))</f>
        <v>Open</v>
      </c>
      <c r="V30" s="41"/>
    </row>
    <row r="31" spans="1:22" ht="99.95" customHeight="1" x14ac:dyDescent="0.25">
      <c r="A31" s="40" t="s">
        <v>137</v>
      </c>
      <c r="B31" s="41" t="s">
        <v>138</v>
      </c>
      <c r="C31" s="41" t="s">
        <v>357</v>
      </c>
      <c r="D31" s="42" t="s">
        <v>358</v>
      </c>
      <c r="E31" s="43" t="s">
        <v>359</v>
      </c>
      <c r="F31" s="41" t="s">
        <v>360</v>
      </c>
      <c r="G31" s="44" t="s">
        <v>361</v>
      </c>
      <c r="H31" s="44" t="s">
        <v>362</v>
      </c>
      <c r="I31" s="45"/>
      <c r="J31" s="41">
        <f t="shared" si="0"/>
        <v>0</v>
      </c>
      <c r="K31" s="44" t="s">
        <v>363</v>
      </c>
      <c r="L31" s="45"/>
      <c r="M31" s="41">
        <f t="shared" si="1"/>
        <v>0</v>
      </c>
      <c r="N31" s="44" t="s">
        <v>364</v>
      </c>
      <c r="O31" s="45"/>
      <c r="P31" s="45"/>
      <c r="Q31" s="45"/>
      <c r="R31" s="44"/>
      <c r="S31" s="46" t="str">
        <f>IF(LEN(R31)&gt;0, _xludf.IMAGE(R31), "")</f>
        <v/>
      </c>
      <c r="T31" s="45"/>
      <c r="U31" s="47" t="str">
        <f>IFERROR(HYPERLINK("#Main!A"&amp;MATCH(D30,Main!A:A,0),"Open"),HYPERLINK("#Main!A1","Open"))</f>
        <v>Open</v>
      </c>
      <c r="V31" s="47"/>
    </row>
    <row r="32" spans="1:22" ht="99.95" customHeight="1" x14ac:dyDescent="0.25">
      <c r="A32" s="40" t="s">
        <v>137</v>
      </c>
      <c r="B32" s="41" t="s">
        <v>138</v>
      </c>
      <c r="C32" s="41" t="s">
        <v>365</v>
      </c>
      <c r="D32" s="48" t="s">
        <v>366</v>
      </c>
      <c r="E32" s="43" t="s">
        <v>367</v>
      </c>
      <c r="F32" s="41" t="s">
        <v>368</v>
      </c>
      <c r="G32" s="44" t="s">
        <v>369</v>
      </c>
      <c r="H32" s="44" t="s">
        <v>370</v>
      </c>
      <c r="I32" s="45"/>
      <c r="J32" s="41">
        <f t="shared" si="0"/>
        <v>0</v>
      </c>
      <c r="K32" s="44" t="s">
        <v>371</v>
      </c>
      <c r="L32" s="45"/>
      <c r="M32" s="41">
        <f t="shared" si="1"/>
        <v>0</v>
      </c>
      <c r="N32" s="44" t="s">
        <v>372</v>
      </c>
      <c r="O32" s="45"/>
      <c r="P32" s="45"/>
      <c r="Q32" s="45"/>
      <c r="R32" s="44"/>
      <c r="S32" s="46" t="str">
        <f>IF(LEN(R32)&gt;0, _xludf.IMAGE(R32), "")</f>
        <v/>
      </c>
      <c r="T32" s="45"/>
      <c r="U32" s="41" t="str">
        <f>IFERROR(HYPERLINK("#Main!A"&amp;MATCH(D31,Main!A:A,0),"Open"),HYPERLINK("#Main!A1","Open"))</f>
        <v>Open</v>
      </c>
      <c r="V32" s="41"/>
    </row>
    <row r="33" spans="1:22" ht="99.95" customHeight="1" x14ac:dyDescent="0.25">
      <c r="A33" s="40" t="s">
        <v>137</v>
      </c>
      <c r="B33" s="41" t="s">
        <v>138</v>
      </c>
      <c r="C33" s="41" t="s">
        <v>373</v>
      </c>
      <c r="D33" s="42" t="s">
        <v>374</v>
      </c>
      <c r="E33" s="43" t="s">
        <v>351</v>
      </c>
      <c r="F33" s="41" t="s">
        <v>375</v>
      </c>
      <c r="G33" s="44" t="s">
        <v>353</v>
      </c>
      <c r="H33" s="44" t="s">
        <v>354</v>
      </c>
      <c r="I33" s="45"/>
      <c r="J33" s="41">
        <f t="shared" si="0"/>
        <v>0</v>
      </c>
      <c r="K33" s="44" t="s">
        <v>355</v>
      </c>
      <c r="L33" s="45"/>
      <c r="M33" s="41">
        <f t="shared" si="1"/>
        <v>0</v>
      </c>
      <c r="N33" s="44" t="s">
        <v>356</v>
      </c>
      <c r="O33" s="45"/>
      <c r="P33" s="45"/>
      <c r="Q33" s="45"/>
      <c r="R33" s="44"/>
      <c r="S33" s="46" t="str">
        <f>IF(LEN(R33)&gt;0, _xludf.IMAGE(R33), "")</f>
        <v/>
      </c>
      <c r="T33" s="45"/>
      <c r="U33" s="47" t="str">
        <f>IFERROR(HYPERLINK("#Main!A"&amp;MATCH(D32,Main!A:A,0),"Open"),HYPERLINK("#Main!A1","Open"))</f>
        <v>Open</v>
      </c>
      <c r="V33" s="47"/>
    </row>
    <row r="34" spans="1:22" ht="99.95" customHeight="1" x14ac:dyDescent="0.25">
      <c r="A34" s="40" t="s">
        <v>137</v>
      </c>
      <c r="B34" s="41" t="s">
        <v>138</v>
      </c>
      <c r="C34" s="41" t="s">
        <v>376</v>
      </c>
      <c r="D34" s="48" t="s">
        <v>377</v>
      </c>
      <c r="E34" s="43" t="s">
        <v>378</v>
      </c>
      <c r="F34" s="41" t="s">
        <v>379</v>
      </c>
      <c r="G34" s="44" t="s">
        <v>380</v>
      </c>
      <c r="H34" s="44" t="s">
        <v>381</v>
      </c>
      <c r="I34" s="45"/>
      <c r="J34" s="41">
        <f t="shared" si="0"/>
        <v>0</v>
      </c>
      <c r="K34" s="44" t="s">
        <v>382</v>
      </c>
      <c r="L34" s="45"/>
      <c r="M34" s="41">
        <f t="shared" si="1"/>
        <v>0</v>
      </c>
      <c r="N34" s="44" t="s">
        <v>383</v>
      </c>
      <c r="O34" s="45"/>
      <c r="P34" s="45"/>
      <c r="Q34" s="45"/>
      <c r="R34" s="44"/>
      <c r="S34" s="46" t="str">
        <f>IF(LEN(R34)&gt;0, _xludf.IMAGE(R34), "")</f>
        <v/>
      </c>
      <c r="T34" s="45"/>
      <c r="U34" s="41" t="str">
        <f>IFERROR(HYPERLINK("#Main!A"&amp;MATCH(D33,Main!A:A,0),"Open"),HYPERLINK("#Main!A1","Open"))</f>
        <v>Open</v>
      </c>
      <c r="V34" s="41"/>
    </row>
    <row r="35" spans="1:22" ht="99.95" customHeight="1" x14ac:dyDescent="0.25">
      <c r="A35" s="40" t="s">
        <v>137</v>
      </c>
      <c r="B35" s="41" t="s">
        <v>138</v>
      </c>
      <c r="C35" s="41" t="s">
        <v>384</v>
      </c>
      <c r="D35" s="42" t="s">
        <v>385</v>
      </c>
      <c r="E35" s="43" t="s">
        <v>386</v>
      </c>
      <c r="F35" s="41" t="s">
        <v>387</v>
      </c>
      <c r="G35" s="44" t="s">
        <v>388</v>
      </c>
      <c r="H35" s="44" t="s">
        <v>389</v>
      </c>
      <c r="I35" s="45"/>
      <c r="J35" s="41">
        <f t="shared" ref="J35:J66" si="2">LEN(I35)</f>
        <v>0</v>
      </c>
      <c r="K35" s="44" t="s">
        <v>390</v>
      </c>
      <c r="L35" s="45"/>
      <c r="M35" s="41">
        <f t="shared" ref="M35:M66" si="3">LEN(L35)</f>
        <v>0</v>
      </c>
      <c r="N35" s="44" t="s">
        <v>391</v>
      </c>
      <c r="O35" s="45"/>
      <c r="P35" s="45"/>
      <c r="Q35" s="45"/>
      <c r="R35" s="44"/>
      <c r="S35" s="46" t="str">
        <f>IF(LEN(R35)&gt;0, _xludf.IMAGE(R35), "")</f>
        <v/>
      </c>
      <c r="T35" s="45"/>
      <c r="U35" s="47" t="str">
        <f>IFERROR(HYPERLINK("#Main!A"&amp;MATCH(D34,Main!A:A,0),"Open"),HYPERLINK("#Main!A1","Open"))</f>
        <v>Open</v>
      </c>
      <c r="V35" s="47"/>
    </row>
    <row r="36" spans="1:22" ht="99.95" customHeight="1" x14ac:dyDescent="0.25">
      <c r="A36" s="40" t="s">
        <v>137</v>
      </c>
      <c r="B36" s="41" t="s">
        <v>138</v>
      </c>
      <c r="C36" s="41" t="s">
        <v>392</v>
      </c>
      <c r="D36" s="48" t="s">
        <v>393</v>
      </c>
      <c r="E36" s="43" t="s">
        <v>394</v>
      </c>
      <c r="F36" s="41" t="s">
        <v>395</v>
      </c>
      <c r="G36" s="44" t="s">
        <v>396</v>
      </c>
      <c r="H36" s="44" t="s">
        <v>397</v>
      </c>
      <c r="I36" s="45"/>
      <c r="J36" s="41">
        <f t="shared" si="2"/>
        <v>0</v>
      </c>
      <c r="K36" s="44" t="s">
        <v>398</v>
      </c>
      <c r="L36" s="45"/>
      <c r="M36" s="41">
        <f t="shared" si="3"/>
        <v>0</v>
      </c>
      <c r="N36" s="44" t="s">
        <v>399</v>
      </c>
      <c r="O36" s="45"/>
      <c r="P36" s="45"/>
      <c r="Q36" s="45"/>
      <c r="R36" s="44"/>
      <c r="S36" s="46" t="str">
        <f>IF(LEN(R36)&gt;0, _xludf.IMAGE(R36), "")</f>
        <v/>
      </c>
      <c r="T36" s="45"/>
      <c r="U36" s="41" t="str">
        <f>IFERROR(HYPERLINK("#Main!A"&amp;MATCH(D35,Main!A:A,0),"Open"),HYPERLINK("#Main!A1","Open"))</f>
        <v>Open</v>
      </c>
      <c r="V36" s="41"/>
    </row>
    <row r="37" spans="1:22" ht="99.95" customHeight="1" x14ac:dyDescent="0.25">
      <c r="A37" s="40" t="s">
        <v>137</v>
      </c>
      <c r="B37" s="41" t="s">
        <v>138</v>
      </c>
      <c r="C37" s="41" t="s">
        <v>400</v>
      </c>
      <c r="D37" s="42" t="s">
        <v>401</v>
      </c>
      <c r="E37" s="43" t="s">
        <v>402</v>
      </c>
      <c r="F37" s="41" t="s">
        <v>403</v>
      </c>
      <c r="G37" s="44" t="s">
        <v>404</v>
      </c>
      <c r="H37" s="44" t="s">
        <v>405</v>
      </c>
      <c r="I37" s="45"/>
      <c r="J37" s="41">
        <f t="shared" si="2"/>
        <v>0</v>
      </c>
      <c r="K37" s="44" t="s">
        <v>406</v>
      </c>
      <c r="L37" s="45"/>
      <c r="M37" s="41">
        <f t="shared" si="3"/>
        <v>0</v>
      </c>
      <c r="N37" s="44" t="s">
        <v>407</v>
      </c>
      <c r="O37" s="45"/>
      <c r="P37" s="45"/>
      <c r="Q37" s="45"/>
      <c r="R37" s="44"/>
      <c r="S37" s="46" t="str">
        <f>IF(LEN(R37)&gt;0, _xludf.IMAGE(R37), "")</f>
        <v/>
      </c>
      <c r="T37" s="45"/>
      <c r="U37" s="47" t="str">
        <f>IFERROR(HYPERLINK("#Main!A"&amp;MATCH(D36,Main!A:A,0),"Open"),HYPERLINK("#Main!A1","Open"))</f>
        <v>Open</v>
      </c>
      <c r="V37" s="47"/>
    </row>
    <row r="38" spans="1:22" ht="99.95" customHeight="1" x14ac:dyDescent="0.25">
      <c r="A38" s="40" t="s">
        <v>137</v>
      </c>
      <c r="B38" s="41" t="s">
        <v>138</v>
      </c>
      <c r="C38" s="41" t="s">
        <v>408</v>
      </c>
      <c r="D38" s="48" t="s">
        <v>409</v>
      </c>
      <c r="E38" s="43" t="s">
        <v>410</v>
      </c>
      <c r="F38" s="41" t="s">
        <v>411</v>
      </c>
      <c r="G38" s="44" t="s">
        <v>412</v>
      </c>
      <c r="H38" s="44" t="s">
        <v>413</v>
      </c>
      <c r="I38" s="45"/>
      <c r="J38" s="41">
        <f t="shared" si="2"/>
        <v>0</v>
      </c>
      <c r="K38" s="44" t="s">
        <v>414</v>
      </c>
      <c r="L38" s="45"/>
      <c r="M38" s="41">
        <f t="shared" si="3"/>
        <v>0</v>
      </c>
      <c r="N38" s="44" t="s">
        <v>415</v>
      </c>
      <c r="O38" s="45"/>
      <c r="P38" s="45"/>
      <c r="Q38" s="45"/>
      <c r="R38" s="44"/>
      <c r="S38" s="46" t="str">
        <f>IF(LEN(R38)&gt;0, _xludf.IMAGE(R38), "")</f>
        <v/>
      </c>
      <c r="T38" s="45"/>
      <c r="U38" s="41" t="str">
        <f>IFERROR(HYPERLINK("#Main!A"&amp;MATCH(D37,Main!A:A,0),"Open"),HYPERLINK("#Main!A1","Open"))</f>
        <v>Open</v>
      </c>
      <c r="V38" s="41"/>
    </row>
    <row r="39" spans="1:22" ht="99.95" customHeight="1" x14ac:dyDescent="0.25">
      <c r="A39" s="40" t="s">
        <v>137</v>
      </c>
      <c r="B39" s="41" t="s">
        <v>138</v>
      </c>
      <c r="C39" s="41" t="s">
        <v>416</v>
      </c>
      <c r="D39" s="42" t="s">
        <v>417</v>
      </c>
      <c r="E39" s="43" t="s">
        <v>418</v>
      </c>
      <c r="F39" s="41" t="s">
        <v>419</v>
      </c>
      <c r="G39" s="44" t="s">
        <v>420</v>
      </c>
      <c r="H39" s="44" t="s">
        <v>421</v>
      </c>
      <c r="I39" s="45"/>
      <c r="J39" s="41">
        <f t="shared" si="2"/>
        <v>0</v>
      </c>
      <c r="K39" s="44" t="s">
        <v>422</v>
      </c>
      <c r="L39" s="45"/>
      <c r="M39" s="41">
        <f t="shared" si="3"/>
        <v>0</v>
      </c>
      <c r="N39" s="44" t="s">
        <v>423</v>
      </c>
      <c r="O39" s="45"/>
      <c r="P39" s="45"/>
      <c r="Q39" s="45"/>
      <c r="R39" s="44"/>
      <c r="S39" s="46" t="str">
        <f>IF(LEN(R39)&gt;0, _xludf.IMAGE(R39), "")</f>
        <v/>
      </c>
      <c r="T39" s="45"/>
      <c r="U39" s="47" t="str">
        <f>IFERROR(HYPERLINK("#Main!A"&amp;MATCH(D38,Main!A:A,0),"Open"),HYPERLINK("#Main!A1","Open"))</f>
        <v>Open</v>
      </c>
      <c r="V39" s="47"/>
    </row>
    <row r="40" spans="1:22" ht="99.95" customHeight="1" x14ac:dyDescent="0.25">
      <c r="A40" s="40" t="s">
        <v>137</v>
      </c>
      <c r="B40" s="41" t="s">
        <v>138</v>
      </c>
      <c r="C40" s="41" t="s">
        <v>424</v>
      </c>
      <c r="D40" s="48" t="s">
        <v>425</v>
      </c>
      <c r="E40" s="43" t="s">
        <v>426</v>
      </c>
      <c r="F40" s="41" t="s">
        <v>427</v>
      </c>
      <c r="G40" s="44" t="s">
        <v>428</v>
      </c>
      <c r="H40" s="44" t="s">
        <v>429</v>
      </c>
      <c r="I40" s="45"/>
      <c r="J40" s="41">
        <f t="shared" si="2"/>
        <v>0</v>
      </c>
      <c r="K40" s="44" t="s">
        <v>430</v>
      </c>
      <c r="L40" s="45"/>
      <c r="M40" s="41">
        <f t="shared" si="3"/>
        <v>0</v>
      </c>
      <c r="N40" s="44" t="s">
        <v>431</v>
      </c>
      <c r="O40" s="45"/>
      <c r="P40" s="45"/>
      <c r="Q40" s="45"/>
      <c r="R40" s="44"/>
      <c r="S40" s="46" t="str">
        <f>IF(LEN(R40)&gt;0, _xludf.IMAGE(R40), "")</f>
        <v/>
      </c>
      <c r="T40" s="45"/>
      <c r="U40" s="41" t="str">
        <f>IFERROR(HYPERLINK("#Main!A"&amp;MATCH(D39,Main!A:A,0),"Open"),HYPERLINK("#Main!A1","Open"))</f>
        <v>Open</v>
      </c>
      <c r="V40" s="41"/>
    </row>
    <row r="41" spans="1:22" ht="99.95" customHeight="1" x14ac:dyDescent="0.25">
      <c r="A41" s="40" t="s">
        <v>137</v>
      </c>
      <c r="B41" s="41" t="s">
        <v>138</v>
      </c>
      <c r="C41" s="41" t="s">
        <v>432</v>
      </c>
      <c r="D41" s="42" t="s">
        <v>433</v>
      </c>
      <c r="E41" s="41"/>
      <c r="F41" s="41" t="s">
        <v>434</v>
      </c>
      <c r="G41" s="44"/>
      <c r="H41" s="44" t="s">
        <v>340</v>
      </c>
      <c r="I41" s="45"/>
      <c r="J41" s="41">
        <f t="shared" si="2"/>
        <v>0</v>
      </c>
      <c r="K41" s="44" t="s">
        <v>208</v>
      </c>
      <c r="L41" s="45"/>
      <c r="M41" s="41">
        <f t="shared" si="3"/>
        <v>0</v>
      </c>
      <c r="N41" s="44"/>
      <c r="O41" s="45"/>
      <c r="P41" s="45"/>
      <c r="Q41" s="45"/>
      <c r="R41" s="44"/>
      <c r="S41" s="46" t="str">
        <f>IF(LEN(R41)&gt;0, _xludf.IMAGE(R41), "")</f>
        <v/>
      </c>
      <c r="T41" s="45"/>
      <c r="U41" s="47" t="str">
        <f>IFERROR(HYPERLINK("#Main!A"&amp;MATCH(D40,Main!A:A,0),"Open"),HYPERLINK("#Main!A1","Open"))</f>
        <v>Open</v>
      </c>
      <c r="V41" s="47"/>
    </row>
    <row r="42" spans="1:22" ht="99.95" customHeight="1" x14ac:dyDescent="0.25">
      <c r="A42" s="40" t="s">
        <v>137</v>
      </c>
      <c r="B42" s="41" t="s">
        <v>138</v>
      </c>
      <c r="C42" s="41" t="s">
        <v>435</v>
      </c>
      <c r="D42" s="48" t="s">
        <v>436</v>
      </c>
      <c r="E42" s="43" t="s">
        <v>437</v>
      </c>
      <c r="F42" s="41" t="s">
        <v>438</v>
      </c>
      <c r="G42" s="44" t="s">
        <v>439</v>
      </c>
      <c r="H42" s="44" t="s">
        <v>440</v>
      </c>
      <c r="I42" s="45"/>
      <c r="J42" s="41">
        <f t="shared" si="2"/>
        <v>0</v>
      </c>
      <c r="K42" s="44" t="s">
        <v>441</v>
      </c>
      <c r="L42" s="45"/>
      <c r="M42" s="41">
        <f t="shared" si="3"/>
        <v>0</v>
      </c>
      <c r="N42" s="44" t="s">
        <v>442</v>
      </c>
      <c r="O42" s="45"/>
      <c r="P42" s="45"/>
      <c r="Q42" s="45"/>
      <c r="R42" s="44"/>
      <c r="S42" s="46" t="str">
        <f>IF(LEN(R42)&gt;0, _xludf.IMAGE(R42), "")</f>
        <v/>
      </c>
      <c r="T42" s="45"/>
      <c r="U42" s="41" t="str">
        <f>IFERROR(HYPERLINK("#Main!A"&amp;MATCH(D41,Main!A:A,0),"Open"),HYPERLINK("#Main!A1","Open"))</f>
        <v>Open</v>
      </c>
      <c r="V42" s="41"/>
    </row>
    <row r="43" spans="1:22" ht="99.95" customHeight="1" x14ac:dyDescent="0.25">
      <c r="A43" s="40" t="s">
        <v>137</v>
      </c>
      <c r="B43" s="41" t="s">
        <v>138</v>
      </c>
      <c r="C43" s="41" t="s">
        <v>443</v>
      </c>
      <c r="D43" s="42" t="s">
        <v>444</v>
      </c>
      <c r="E43" s="43" t="s">
        <v>445</v>
      </c>
      <c r="F43" s="41" t="s">
        <v>446</v>
      </c>
      <c r="G43" s="44" t="s">
        <v>206</v>
      </c>
      <c r="H43" s="44" t="s">
        <v>447</v>
      </c>
      <c r="I43" s="45"/>
      <c r="J43" s="41">
        <f t="shared" si="2"/>
        <v>0</v>
      </c>
      <c r="K43" s="44" t="s">
        <v>208</v>
      </c>
      <c r="L43" s="45"/>
      <c r="M43" s="41">
        <f t="shared" si="3"/>
        <v>0</v>
      </c>
      <c r="N43" s="44"/>
      <c r="O43" s="45"/>
      <c r="P43" s="45"/>
      <c r="Q43" s="45"/>
      <c r="R43" s="44"/>
      <c r="S43" s="46" t="str">
        <f>IF(LEN(R43)&gt;0, _xludf.IMAGE(R43), "")</f>
        <v/>
      </c>
      <c r="T43" s="45"/>
      <c r="U43" s="47" t="str">
        <f>IFERROR(HYPERLINK("#Main!A"&amp;MATCH(D42,Main!A:A,0),"Open"),HYPERLINK("#Main!A1","Open"))</f>
        <v>Open</v>
      </c>
      <c r="V43" s="47"/>
    </row>
    <row r="44" spans="1:22" ht="99.95" customHeight="1" x14ac:dyDescent="0.25">
      <c r="A44" s="40" t="s">
        <v>137</v>
      </c>
      <c r="B44" s="41" t="s">
        <v>138</v>
      </c>
      <c r="C44" s="41" t="s">
        <v>448</v>
      </c>
      <c r="D44" s="48" t="s">
        <v>449</v>
      </c>
      <c r="E44" s="43" t="s">
        <v>450</v>
      </c>
      <c r="F44" s="41" t="s">
        <v>451</v>
      </c>
      <c r="G44" s="44" t="s">
        <v>452</v>
      </c>
      <c r="H44" s="44" t="s">
        <v>453</v>
      </c>
      <c r="I44" s="45"/>
      <c r="J44" s="41">
        <f t="shared" si="2"/>
        <v>0</v>
      </c>
      <c r="K44" s="44" t="s">
        <v>454</v>
      </c>
      <c r="L44" s="45"/>
      <c r="M44" s="41">
        <f t="shared" si="3"/>
        <v>0</v>
      </c>
      <c r="N44" s="44" t="s">
        <v>455</v>
      </c>
      <c r="O44" s="45"/>
      <c r="P44" s="45"/>
      <c r="Q44" s="45"/>
      <c r="R44" s="44"/>
      <c r="S44" s="46" t="str">
        <f>IF(LEN(R44)&gt;0, _xludf.IMAGE(R44), "")</f>
        <v/>
      </c>
      <c r="T44" s="45"/>
      <c r="U44" s="41" t="str">
        <f>IFERROR(HYPERLINK("#Main!A"&amp;MATCH(D43,Main!A:A,0),"Open"),HYPERLINK("#Main!A1","Open"))</f>
        <v>Open</v>
      </c>
      <c r="V44" s="41"/>
    </row>
    <row r="45" spans="1:22" ht="99.95" customHeight="1" x14ac:dyDescent="0.25">
      <c r="A45" s="40" t="s">
        <v>137</v>
      </c>
      <c r="B45" s="41" t="s">
        <v>138</v>
      </c>
      <c r="C45" s="41" t="s">
        <v>456</v>
      </c>
      <c r="D45" s="42" t="s">
        <v>457</v>
      </c>
      <c r="E45" s="43" t="s">
        <v>458</v>
      </c>
      <c r="F45" s="41" t="s">
        <v>459</v>
      </c>
      <c r="G45" s="44" t="s">
        <v>460</v>
      </c>
      <c r="H45" s="44" t="s">
        <v>461</v>
      </c>
      <c r="I45" s="45"/>
      <c r="J45" s="41">
        <f t="shared" si="2"/>
        <v>0</v>
      </c>
      <c r="K45" s="44" t="s">
        <v>462</v>
      </c>
      <c r="L45" s="45"/>
      <c r="M45" s="41">
        <f t="shared" si="3"/>
        <v>0</v>
      </c>
      <c r="N45" s="44" t="s">
        <v>463</v>
      </c>
      <c r="O45" s="45"/>
      <c r="P45" s="45"/>
      <c r="Q45" s="45"/>
      <c r="R45" s="44"/>
      <c r="S45" s="46" t="str">
        <f>IF(LEN(R45)&gt;0, _xludf.IMAGE(R45), "")</f>
        <v/>
      </c>
      <c r="T45" s="45"/>
      <c r="U45" s="47" t="str">
        <f>IFERROR(HYPERLINK("#Main!A"&amp;MATCH(D44,Main!A:A,0),"Open"),HYPERLINK("#Main!A1","Open"))</f>
        <v>Open</v>
      </c>
      <c r="V45" s="47"/>
    </row>
    <row r="46" spans="1:22" ht="99.95" customHeight="1" x14ac:dyDescent="0.25">
      <c r="A46" s="40" t="s">
        <v>137</v>
      </c>
      <c r="B46" s="41" t="s">
        <v>138</v>
      </c>
      <c r="C46" s="41" t="s">
        <v>464</v>
      </c>
      <c r="D46" s="48" t="s">
        <v>465</v>
      </c>
      <c r="E46" s="43" t="s">
        <v>466</v>
      </c>
      <c r="F46" s="41" t="s">
        <v>467</v>
      </c>
      <c r="G46" s="44" t="s">
        <v>468</v>
      </c>
      <c r="H46" s="44" t="s">
        <v>469</v>
      </c>
      <c r="I46" s="45"/>
      <c r="J46" s="41">
        <f t="shared" si="2"/>
        <v>0</v>
      </c>
      <c r="K46" s="44" t="s">
        <v>470</v>
      </c>
      <c r="L46" s="45"/>
      <c r="M46" s="41">
        <f t="shared" si="3"/>
        <v>0</v>
      </c>
      <c r="N46" s="44" t="s">
        <v>471</v>
      </c>
      <c r="O46" s="45"/>
      <c r="P46" s="45"/>
      <c r="Q46" s="45"/>
      <c r="R46" s="44"/>
      <c r="S46" s="46" t="str">
        <f>IF(LEN(R46)&gt;0, _xludf.IMAGE(R46), "")</f>
        <v/>
      </c>
      <c r="T46" s="45"/>
      <c r="U46" s="41" t="str">
        <f>IFERROR(HYPERLINK("#Main!A"&amp;MATCH(D45,Main!A:A,0),"Open"),HYPERLINK("#Main!A1","Open"))</f>
        <v>Open</v>
      </c>
      <c r="V46" s="41"/>
    </row>
    <row r="47" spans="1:22" ht="99.95" customHeight="1" x14ac:dyDescent="0.25">
      <c r="A47" s="40" t="s">
        <v>137</v>
      </c>
      <c r="B47" s="41" t="s">
        <v>138</v>
      </c>
      <c r="C47" s="41" t="s">
        <v>472</v>
      </c>
      <c r="D47" s="42" t="s">
        <v>473</v>
      </c>
      <c r="E47" s="43" t="s">
        <v>474</v>
      </c>
      <c r="F47" s="41" t="s">
        <v>475</v>
      </c>
      <c r="G47" s="44" t="s">
        <v>476</v>
      </c>
      <c r="H47" s="44" t="s">
        <v>477</v>
      </c>
      <c r="I47" s="45"/>
      <c r="J47" s="41">
        <f t="shared" si="2"/>
        <v>0</v>
      </c>
      <c r="K47" s="44" t="s">
        <v>478</v>
      </c>
      <c r="L47" s="45"/>
      <c r="M47" s="41">
        <f t="shared" si="3"/>
        <v>0</v>
      </c>
      <c r="N47" s="44" t="s">
        <v>479</v>
      </c>
      <c r="O47" s="45"/>
      <c r="P47" s="45"/>
      <c r="Q47" s="45"/>
      <c r="R47" s="44"/>
      <c r="S47" s="46" t="str">
        <f>IF(LEN(R47)&gt;0, _xludf.IMAGE(R47), "")</f>
        <v/>
      </c>
      <c r="T47" s="45"/>
      <c r="U47" s="47" t="str">
        <f>IFERROR(HYPERLINK("#Main!A"&amp;MATCH(D46,Main!A:A,0),"Open"),HYPERLINK("#Main!A1","Open"))</f>
        <v>Open</v>
      </c>
      <c r="V47" s="47"/>
    </row>
    <row r="48" spans="1:22" ht="99.95" customHeight="1" x14ac:dyDescent="0.25">
      <c r="A48" s="40" t="s">
        <v>137</v>
      </c>
      <c r="B48" s="41" t="s">
        <v>138</v>
      </c>
      <c r="C48" s="41" t="s">
        <v>480</v>
      </c>
      <c r="D48" s="48" t="s">
        <v>481</v>
      </c>
      <c r="E48" s="43" t="s">
        <v>482</v>
      </c>
      <c r="F48" s="41" t="s">
        <v>483</v>
      </c>
      <c r="G48" s="44" t="s">
        <v>484</v>
      </c>
      <c r="H48" s="44" t="s">
        <v>485</v>
      </c>
      <c r="I48" s="45"/>
      <c r="J48" s="41">
        <f t="shared" si="2"/>
        <v>0</v>
      </c>
      <c r="K48" s="44" t="s">
        <v>486</v>
      </c>
      <c r="L48" s="45"/>
      <c r="M48" s="41">
        <f t="shared" si="3"/>
        <v>0</v>
      </c>
      <c r="N48" s="44" t="s">
        <v>487</v>
      </c>
      <c r="O48" s="45"/>
      <c r="P48" s="45"/>
      <c r="Q48" s="45"/>
      <c r="R48" s="44"/>
      <c r="S48" s="46" t="str">
        <f>IF(LEN(R48)&gt;0, _xludf.IMAGE(R48), "")</f>
        <v/>
      </c>
      <c r="T48" s="45"/>
      <c r="U48" s="41" t="str">
        <f>IFERROR(HYPERLINK("#Main!A"&amp;MATCH(D47,Main!A:A,0),"Open"),HYPERLINK("#Main!A1","Open"))</f>
        <v>Open</v>
      </c>
      <c r="V48" s="41"/>
    </row>
    <row r="49" spans="1:22" ht="99.95" customHeight="1" x14ac:dyDescent="0.25">
      <c r="A49" s="40" t="s">
        <v>137</v>
      </c>
      <c r="B49" s="41" t="s">
        <v>138</v>
      </c>
      <c r="C49" s="41" t="s">
        <v>488</v>
      </c>
      <c r="D49" s="42" t="s">
        <v>489</v>
      </c>
      <c r="E49" s="43" t="s">
        <v>490</v>
      </c>
      <c r="F49" s="41" t="s">
        <v>491</v>
      </c>
      <c r="G49" s="44" t="s">
        <v>492</v>
      </c>
      <c r="H49" s="44" t="s">
        <v>493</v>
      </c>
      <c r="I49" s="45"/>
      <c r="J49" s="41">
        <f t="shared" si="2"/>
        <v>0</v>
      </c>
      <c r="K49" s="44" t="s">
        <v>494</v>
      </c>
      <c r="L49" s="45"/>
      <c r="M49" s="41">
        <f t="shared" si="3"/>
        <v>0</v>
      </c>
      <c r="N49" s="44" t="s">
        <v>495</v>
      </c>
      <c r="O49" s="45"/>
      <c r="P49" s="45"/>
      <c r="Q49" s="45"/>
      <c r="R49" s="44"/>
      <c r="S49" s="46" t="str">
        <f>IF(LEN(R49)&gt;0, _xludf.IMAGE(R49), "")</f>
        <v/>
      </c>
      <c r="T49" s="45"/>
      <c r="U49" s="47" t="str">
        <f>IFERROR(HYPERLINK("#Main!A"&amp;MATCH(D48,Main!A:A,0),"Open"),HYPERLINK("#Main!A1","Open"))</f>
        <v>Open</v>
      </c>
      <c r="V49" s="47"/>
    </row>
    <row r="50" spans="1:22" ht="99.95" customHeight="1" x14ac:dyDescent="0.25">
      <c r="A50" s="40" t="s">
        <v>137</v>
      </c>
      <c r="B50" s="41" t="s">
        <v>138</v>
      </c>
      <c r="C50" s="41" t="s">
        <v>496</v>
      </c>
      <c r="D50" s="48" t="s">
        <v>497</v>
      </c>
      <c r="E50" s="43" t="s">
        <v>498</v>
      </c>
      <c r="F50" s="41" t="s">
        <v>499</v>
      </c>
      <c r="G50" s="44" t="s">
        <v>500</v>
      </c>
      <c r="H50" s="44" t="s">
        <v>501</v>
      </c>
      <c r="I50" s="45"/>
      <c r="J50" s="41">
        <f t="shared" si="2"/>
        <v>0</v>
      </c>
      <c r="K50" s="44" t="s">
        <v>502</v>
      </c>
      <c r="L50" s="45"/>
      <c r="M50" s="41">
        <f t="shared" si="3"/>
        <v>0</v>
      </c>
      <c r="N50" s="44" t="s">
        <v>503</v>
      </c>
      <c r="O50" s="45"/>
      <c r="P50" s="45"/>
      <c r="Q50" s="45"/>
      <c r="R50" s="44"/>
      <c r="S50" s="46" t="str">
        <f>IF(LEN(R50)&gt;0, _xludf.IMAGE(R50), "")</f>
        <v/>
      </c>
      <c r="T50" s="45"/>
      <c r="U50" s="41" t="str">
        <f>IFERROR(HYPERLINK("#Main!A"&amp;MATCH(D49,Main!A:A,0),"Open"),HYPERLINK("#Main!A1","Open"))</f>
        <v>Open</v>
      </c>
      <c r="V50" s="41"/>
    </row>
    <row r="51" spans="1:22" ht="99.95" customHeight="1" x14ac:dyDescent="0.25">
      <c r="A51" s="40" t="s">
        <v>137</v>
      </c>
      <c r="B51" s="41" t="s">
        <v>138</v>
      </c>
      <c r="C51" s="41" t="s">
        <v>504</v>
      </c>
      <c r="D51" s="42" t="s">
        <v>505</v>
      </c>
      <c r="E51" s="43" t="s">
        <v>506</v>
      </c>
      <c r="F51" s="41" t="s">
        <v>507</v>
      </c>
      <c r="G51" s="44" t="s">
        <v>508</v>
      </c>
      <c r="H51" s="44" t="s">
        <v>509</v>
      </c>
      <c r="I51" s="45"/>
      <c r="J51" s="41">
        <f t="shared" si="2"/>
        <v>0</v>
      </c>
      <c r="K51" s="44" t="s">
        <v>510</v>
      </c>
      <c r="L51" s="45"/>
      <c r="M51" s="41">
        <f t="shared" si="3"/>
        <v>0</v>
      </c>
      <c r="N51" s="44" t="s">
        <v>503</v>
      </c>
      <c r="O51" s="45"/>
      <c r="P51" s="45"/>
      <c r="Q51" s="45"/>
      <c r="R51" s="44"/>
      <c r="S51" s="46" t="str">
        <f>IF(LEN(R51)&gt;0, _xludf.IMAGE(R51), "")</f>
        <v/>
      </c>
      <c r="T51" s="45"/>
      <c r="U51" s="47" t="str">
        <f>IFERROR(HYPERLINK("#Main!A"&amp;MATCH(D50,Main!A:A,0),"Open"),HYPERLINK("#Main!A1","Open"))</f>
        <v>Open</v>
      </c>
      <c r="V51" s="47"/>
    </row>
    <row r="52" spans="1:22" ht="99.95" customHeight="1" x14ac:dyDescent="0.25">
      <c r="A52" s="40" t="s">
        <v>137</v>
      </c>
      <c r="B52" s="41" t="s">
        <v>138</v>
      </c>
      <c r="C52" s="41" t="s">
        <v>511</v>
      </c>
      <c r="D52" s="48" t="s">
        <v>512</v>
      </c>
      <c r="E52" s="43" t="s">
        <v>513</v>
      </c>
      <c r="F52" s="41" t="s">
        <v>514</v>
      </c>
      <c r="G52" s="44" t="s">
        <v>515</v>
      </c>
      <c r="H52" s="44" t="s">
        <v>516</v>
      </c>
      <c r="I52" s="45"/>
      <c r="J52" s="41">
        <f t="shared" si="2"/>
        <v>0</v>
      </c>
      <c r="K52" s="44" t="s">
        <v>502</v>
      </c>
      <c r="L52" s="45"/>
      <c r="M52" s="41">
        <f t="shared" si="3"/>
        <v>0</v>
      </c>
      <c r="N52" s="44" t="s">
        <v>517</v>
      </c>
      <c r="O52" s="45"/>
      <c r="P52" s="45"/>
      <c r="Q52" s="45"/>
      <c r="R52" s="44"/>
      <c r="S52" s="46" t="str">
        <f>IF(LEN(R52)&gt;0, _xludf.IMAGE(R52), "")</f>
        <v/>
      </c>
      <c r="T52" s="45"/>
      <c r="U52" s="41" t="str">
        <f>IFERROR(HYPERLINK("#Main!A"&amp;MATCH(D51,Main!A:A,0),"Open"),HYPERLINK("#Main!A1","Open"))</f>
        <v>Open</v>
      </c>
      <c r="V52" s="41"/>
    </row>
    <row r="53" spans="1:22" ht="99.95" customHeight="1" x14ac:dyDescent="0.25">
      <c r="A53" s="40" t="s">
        <v>137</v>
      </c>
      <c r="B53" s="41" t="s">
        <v>138</v>
      </c>
      <c r="C53" s="41" t="s">
        <v>518</v>
      </c>
      <c r="D53" s="42" t="s">
        <v>519</v>
      </c>
      <c r="E53" s="43" t="s">
        <v>520</v>
      </c>
      <c r="F53" s="41" t="s">
        <v>521</v>
      </c>
      <c r="G53" s="44" t="s">
        <v>522</v>
      </c>
      <c r="H53" s="44" t="s">
        <v>523</v>
      </c>
      <c r="I53" s="45"/>
      <c r="J53" s="41">
        <f t="shared" si="2"/>
        <v>0</v>
      </c>
      <c r="K53" s="44" t="s">
        <v>524</v>
      </c>
      <c r="L53" s="45"/>
      <c r="M53" s="41">
        <f t="shared" si="3"/>
        <v>0</v>
      </c>
      <c r="N53" s="44" t="s">
        <v>525</v>
      </c>
      <c r="O53" s="45"/>
      <c r="P53" s="45"/>
      <c r="Q53" s="45"/>
      <c r="R53" s="44"/>
      <c r="S53" s="46" t="str">
        <f>IF(LEN(R53)&gt;0, _xludf.IMAGE(R53), "")</f>
        <v/>
      </c>
      <c r="T53" s="45"/>
      <c r="U53" s="47" t="str">
        <f>IFERROR(HYPERLINK("#Main!A"&amp;MATCH(D52,Main!A:A,0),"Open"),HYPERLINK("#Main!A1","Open"))</f>
        <v>Open</v>
      </c>
      <c r="V53" s="47"/>
    </row>
    <row r="54" spans="1:22" ht="99.95" customHeight="1" x14ac:dyDescent="0.25">
      <c r="A54" s="40" t="s">
        <v>137</v>
      </c>
      <c r="B54" s="41" t="s">
        <v>138</v>
      </c>
      <c r="C54" s="41" t="s">
        <v>526</v>
      </c>
      <c r="D54" s="48" t="s">
        <v>527</v>
      </c>
      <c r="E54" s="43" t="s">
        <v>528</v>
      </c>
      <c r="F54" s="41" t="s">
        <v>529</v>
      </c>
      <c r="G54" s="44" t="s">
        <v>530</v>
      </c>
      <c r="H54" s="44" t="s">
        <v>531</v>
      </c>
      <c r="I54" s="45"/>
      <c r="J54" s="41">
        <f t="shared" si="2"/>
        <v>0</v>
      </c>
      <c r="K54" s="44" t="s">
        <v>532</v>
      </c>
      <c r="L54" s="45"/>
      <c r="M54" s="41">
        <f t="shared" si="3"/>
        <v>0</v>
      </c>
      <c r="N54" s="44" t="s">
        <v>533</v>
      </c>
      <c r="O54" s="45"/>
      <c r="P54" s="45"/>
      <c r="Q54" s="45"/>
      <c r="R54" s="44"/>
      <c r="S54" s="46" t="str">
        <f>IF(LEN(R54)&gt;0, _xludf.IMAGE(R54), "")</f>
        <v/>
      </c>
      <c r="T54" s="45"/>
      <c r="U54" s="41" t="str">
        <f>IFERROR(HYPERLINK("#Main!A"&amp;MATCH(D53,Main!A:A,0),"Open"),HYPERLINK("#Main!A1","Open"))</f>
        <v>Open</v>
      </c>
      <c r="V54" s="41"/>
    </row>
    <row r="55" spans="1:22" ht="99.95" customHeight="1" x14ac:dyDescent="0.25">
      <c r="A55" s="40" t="s">
        <v>137</v>
      </c>
      <c r="B55" s="41" t="s">
        <v>138</v>
      </c>
      <c r="C55" s="41" t="s">
        <v>534</v>
      </c>
      <c r="D55" s="42" t="s">
        <v>535</v>
      </c>
      <c r="E55" s="43" t="s">
        <v>536</v>
      </c>
      <c r="F55" s="41" t="s">
        <v>537</v>
      </c>
      <c r="G55" s="44" t="s">
        <v>538</v>
      </c>
      <c r="H55" s="44" t="s">
        <v>539</v>
      </c>
      <c r="I55" s="45"/>
      <c r="J55" s="41">
        <f t="shared" si="2"/>
        <v>0</v>
      </c>
      <c r="K55" s="44" t="s">
        <v>540</v>
      </c>
      <c r="L55" s="45"/>
      <c r="M55" s="41">
        <f t="shared" si="3"/>
        <v>0</v>
      </c>
      <c r="N55" s="44" t="s">
        <v>541</v>
      </c>
      <c r="O55" s="45"/>
      <c r="P55" s="45"/>
      <c r="Q55" s="45"/>
      <c r="R55" s="44"/>
      <c r="S55" s="46" t="str">
        <f>IF(LEN(R55)&gt;0, _xludf.IMAGE(R55), "")</f>
        <v/>
      </c>
      <c r="T55" s="45"/>
      <c r="U55" s="47" t="str">
        <f>IFERROR(HYPERLINK("#Main!A"&amp;MATCH(D54,Main!A:A,0),"Open"),HYPERLINK("#Main!A1","Open"))</f>
        <v>Open</v>
      </c>
      <c r="V55" s="47"/>
    </row>
    <row r="56" spans="1:22" ht="99.95" customHeight="1" x14ac:dyDescent="0.25">
      <c r="A56" s="40" t="s">
        <v>137</v>
      </c>
      <c r="B56" s="41" t="s">
        <v>138</v>
      </c>
      <c r="C56" s="41" t="s">
        <v>542</v>
      </c>
      <c r="D56" s="48" t="s">
        <v>543</v>
      </c>
      <c r="E56" s="43" t="s">
        <v>544</v>
      </c>
      <c r="F56" s="41" t="s">
        <v>545</v>
      </c>
      <c r="G56" s="44" t="s">
        <v>546</v>
      </c>
      <c r="H56" s="44" t="s">
        <v>547</v>
      </c>
      <c r="I56" s="45"/>
      <c r="J56" s="41">
        <f t="shared" si="2"/>
        <v>0</v>
      </c>
      <c r="K56" s="44" t="s">
        <v>548</v>
      </c>
      <c r="L56" s="45"/>
      <c r="M56" s="41">
        <f t="shared" si="3"/>
        <v>0</v>
      </c>
      <c r="N56" s="44" t="s">
        <v>549</v>
      </c>
      <c r="O56" s="45"/>
      <c r="P56" s="45"/>
      <c r="Q56" s="45"/>
      <c r="R56" s="44"/>
      <c r="S56" s="46" t="str">
        <f>IF(LEN(R56)&gt;0, _xludf.IMAGE(R56), "")</f>
        <v/>
      </c>
      <c r="T56" s="45"/>
      <c r="U56" s="41" t="str">
        <f>IFERROR(HYPERLINK("#Main!A"&amp;MATCH(D55,Main!A:A,0),"Open"),HYPERLINK("#Main!A1","Open"))</f>
        <v>Open</v>
      </c>
      <c r="V56" s="41"/>
    </row>
    <row r="57" spans="1:22" ht="99.95" customHeight="1" x14ac:dyDescent="0.25">
      <c r="A57" s="40" t="s">
        <v>137</v>
      </c>
      <c r="B57" s="41" t="s">
        <v>138</v>
      </c>
      <c r="C57" s="41" t="s">
        <v>550</v>
      </c>
      <c r="D57" s="42" t="s">
        <v>551</v>
      </c>
      <c r="E57" s="43" t="s">
        <v>552</v>
      </c>
      <c r="F57" s="41" t="s">
        <v>553</v>
      </c>
      <c r="G57" s="44" t="s">
        <v>554</v>
      </c>
      <c r="H57" s="44" t="s">
        <v>555</v>
      </c>
      <c r="I57" s="45"/>
      <c r="J57" s="41">
        <f t="shared" si="2"/>
        <v>0</v>
      </c>
      <c r="K57" s="44" t="s">
        <v>556</v>
      </c>
      <c r="L57" s="45"/>
      <c r="M57" s="41">
        <f t="shared" si="3"/>
        <v>0</v>
      </c>
      <c r="N57" s="44" t="s">
        <v>557</v>
      </c>
      <c r="O57" s="45"/>
      <c r="P57" s="45"/>
      <c r="Q57" s="45"/>
      <c r="R57" s="44"/>
      <c r="S57" s="46" t="str">
        <f>IF(LEN(R57)&gt;0, _xludf.IMAGE(R57), "")</f>
        <v/>
      </c>
      <c r="T57" s="45"/>
      <c r="U57" s="47" t="str">
        <f>IFERROR(HYPERLINK("#Main!A"&amp;MATCH(D56,Main!A:A,0),"Open"),HYPERLINK("#Main!A1","Open"))</f>
        <v>Open</v>
      </c>
      <c r="V57" s="47"/>
    </row>
    <row r="58" spans="1:22" ht="99.95" customHeight="1" x14ac:dyDescent="0.25">
      <c r="A58" s="40" t="s">
        <v>137</v>
      </c>
      <c r="B58" s="41" t="s">
        <v>138</v>
      </c>
      <c r="C58" s="41" t="s">
        <v>558</v>
      </c>
      <c r="D58" s="48" t="s">
        <v>559</v>
      </c>
      <c r="E58" s="43" t="s">
        <v>560</v>
      </c>
      <c r="F58" s="41" t="s">
        <v>561</v>
      </c>
      <c r="G58" s="44" t="s">
        <v>562</v>
      </c>
      <c r="H58" s="44" t="s">
        <v>563</v>
      </c>
      <c r="I58" s="45"/>
      <c r="J58" s="41">
        <f t="shared" si="2"/>
        <v>0</v>
      </c>
      <c r="K58" s="44" t="s">
        <v>564</v>
      </c>
      <c r="L58" s="45"/>
      <c r="M58" s="41">
        <f t="shared" si="3"/>
        <v>0</v>
      </c>
      <c r="N58" s="44"/>
      <c r="O58" s="45"/>
      <c r="P58" s="45"/>
      <c r="Q58" s="45"/>
      <c r="R58" s="44"/>
      <c r="S58" s="46" t="str">
        <f>IF(LEN(R58)&gt;0, _xludf.IMAGE(R58), "")</f>
        <v/>
      </c>
      <c r="T58" s="45"/>
      <c r="U58" s="41" t="str">
        <f>IFERROR(HYPERLINK("#Main!A"&amp;MATCH(D57,Main!A:A,0),"Open"),HYPERLINK("#Main!A1","Open"))</f>
        <v>Open</v>
      </c>
      <c r="V58" s="41"/>
    </row>
    <row r="59" spans="1:22" ht="99.95" customHeight="1" x14ac:dyDescent="0.25">
      <c r="A59" s="40" t="s">
        <v>137</v>
      </c>
      <c r="B59" s="41" t="s">
        <v>138</v>
      </c>
      <c r="C59" s="41" t="s">
        <v>565</v>
      </c>
      <c r="D59" s="42" t="s">
        <v>566</v>
      </c>
      <c r="E59" s="43" t="s">
        <v>567</v>
      </c>
      <c r="F59" s="41" t="s">
        <v>568</v>
      </c>
      <c r="G59" s="44" t="s">
        <v>569</v>
      </c>
      <c r="H59" s="44" t="s">
        <v>570</v>
      </c>
      <c r="I59" s="45"/>
      <c r="J59" s="41">
        <f t="shared" si="2"/>
        <v>0</v>
      </c>
      <c r="K59" s="44" t="s">
        <v>571</v>
      </c>
      <c r="L59" s="45"/>
      <c r="M59" s="41">
        <f t="shared" si="3"/>
        <v>0</v>
      </c>
      <c r="N59" s="44" t="s">
        <v>572</v>
      </c>
      <c r="O59" s="45"/>
      <c r="P59" s="45"/>
      <c r="Q59" s="45"/>
      <c r="R59" s="44"/>
      <c r="S59" s="46" t="str">
        <f>IF(LEN(R59)&gt;0, _xludf.IMAGE(R59), "")</f>
        <v/>
      </c>
      <c r="T59" s="45"/>
      <c r="U59" s="47" t="str">
        <f>IFERROR(HYPERLINK("#Main!A"&amp;MATCH(D58,Main!A:A,0),"Open"),HYPERLINK("#Main!A1","Open"))</f>
        <v>Open</v>
      </c>
      <c r="V59" s="47"/>
    </row>
    <row r="60" spans="1:22" ht="99.95" customHeight="1" x14ac:dyDescent="0.25">
      <c r="A60" s="40" t="s">
        <v>137</v>
      </c>
      <c r="B60" s="41" t="s">
        <v>138</v>
      </c>
      <c r="C60" s="41" t="s">
        <v>573</v>
      </c>
      <c r="D60" s="48" t="s">
        <v>574</v>
      </c>
      <c r="E60" s="43" t="s">
        <v>575</v>
      </c>
      <c r="F60" s="41" t="s">
        <v>576</v>
      </c>
      <c r="G60" s="44" t="s">
        <v>577</v>
      </c>
      <c r="H60" s="44" t="s">
        <v>578</v>
      </c>
      <c r="I60" s="45"/>
      <c r="J60" s="41">
        <f t="shared" si="2"/>
        <v>0</v>
      </c>
      <c r="K60" s="44" t="s">
        <v>579</v>
      </c>
      <c r="L60" s="45"/>
      <c r="M60" s="41">
        <f t="shared" si="3"/>
        <v>0</v>
      </c>
      <c r="N60" s="44" t="s">
        <v>580</v>
      </c>
      <c r="O60" s="45"/>
      <c r="P60" s="45"/>
      <c r="Q60" s="45"/>
      <c r="R60" s="44"/>
      <c r="S60" s="46" t="str">
        <f>IF(LEN(R60)&gt;0, _xludf.IMAGE(R60), "")</f>
        <v/>
      </c>
      <c r="T60" s="45"/>
      <c r="U60" s="41" t="str">
        <f>IFERROR(HYPERLINK("#Main!A"&amp;MATCH(D59,Main!A:A,0),"Open"),HYPERLINK("#Main!A1","Open"))</f>
        <v>Open</v>
      </c>
      <c r="V60" s="41"/>
    </row>
    <row r="61" spans="1:22" ht="99.95" customHeight="1" x14ac:dyDescent="0.25">
      <c r="A61" s="40" t="s">
        <v>137</v>
      </c>
      <c r="B61" s="41" t="s">
        <v>138</v>
      </c>
      <c r="C61" s="41" t="s">
        <v>581</v>
      </c>
      <c r="D61" s="42" t="s">
        <v>582</v>
      </c>
      <c r="E61" s="43" t="s">
        <v>583</v>
      </c>
      <c r="F61" s="41" t="s">
        <v>584</v>
      </c>
      <c r="G61" s="44" t="s">
        <v>585</v>
      </c>
      <c r="H61" s="44" t="s">
        <v>586</v>
      </c>
      <c r="I61" s="45"/>
      <c r="J61" s="41">
        <f t="shared" si="2"/>
        <v>0</v>
      </c>
      <c r="K61" s="44" t="s">
        <v>587</v>
      </c>
      <c r="L61" s="45"/>
      <c r="M61" s="41">
        <f t="shared" si="3"/>
        <v>0</v>
      </c>
      <c r="N61" s="44" t="s">
        <v>588</v>
      </c>
      <c r="O61" s="45"/>
      <c r="P61" s="45"/>
      <c r="Q61" s="45"/>
      <c r="R61" s="44"/>
      <c r="S61" s="46" t="str">
        <f>IF(LEN(R61)&gt;0, _xludf.IMAGE(R61), "")</f>
        <v/>
      </c>
      <c r="T61" s="45"/>
      <c r="U61" s="47" t="str">
        <f>IFERROR(HYPERLINK("#Main!A"&amp;MATCH(D60,Main!A:A,0),"Open"),HYPERLINK("#Main!A1","Open"))</f>
        <v>Open</v>
      </c>
      <c r="V61" s="47"/>
    </row>
    <row r="62" spans="1:22" ht="99.95" customHeight="1" x14ac:dyDescent="0.25">
      <c r="A62" s="40" t="s">
        <v>137</v>
      </c>
      <c r="B62" s="41" t="s">
        <v>138</v>
      </c>
      <c r="C62" s="41" t="s">
        <v>589</v>
      </c>
      <c r="D62" s="48" t="s">
        <v>590</v>
      </c>
      <c r="E62" s="43" t="s">
        <v>591</v>
      </c>
      <c r="F62" s="41" t="s">
        <v>592</v>
      </c>
      <c r="G62" s="44" t="s">
        <v>593</v>
      </c>
      <c r="H62" s="44" t="s">
        <v>594</v>
      </c>
      <c r="I62" s="45"/>
      <c r="J62" s="41">
        <f t="shared" si="2"/>
        <v>0</v>
      </c>
      <c r="K62" s="44" t="s">
        <v>595</v>
      </c>
      <c r="L62" s="45"/>
      <c r="M62" s="41">
        <f t="shared" si="3"/>
        <v>0</v>
      </c>
      <c r="N62" s="44" t="s">
        <v>596</v>
      </c>
      <c r="O62" s="45"/>
      <c r="P62" s="45"/>
      <c r="Q62" s="45"/>
      <c r="R62" s="44"/>
      <c r="S62" s="46" t="str">
        <f>IF(LEN(R62)&gt;0, _xludf.IMAGE(R62), "")</f>
        <v/>
      </c>
      <c r="T62" s="45"/>
      <c r="U62" s="41" t="str">
        <f>IFERROR(HYPERLINK("#Main!A"&amp;MATCH(D61,Main!A:A,0),"Open"),HYPERLINK("#Main!A1","Open"))</f>
        <v>Open</v>
      </c>
      <c r="V62" s="41"/>
    </row>
    <row r="63" spans="1:22" ht="99.95" customHeight="1" x14ac:dyDescent="0.25">
      <c r="A63" s="40" t="s">
        <v>137</v>
      </c>
      <c r="B63" s="41" t="s">
        <v>138</v>
      </c>
      <c r="C63" s="41" t="s">
        <v>597</v>
      </c>
      <c r="D63" s="42" t="s">
        <v>598</v>
      </c>
      <c r="E63" s="43" t="s">
        <v>599</v>
      </c>
      <c r="F63" s="41" t="s">
        <v>600</v>
      </c>
      <c r="G63" s="44" t="s">
        <v>601</v>
      </c>
      <c r="H63" s="44" t="s">
        <v>602</v>
      </c>
      <c r="I63" s="45"/>
      <c r="J63" s="41">
        <f t="shared" si="2"/>
        <v>0</v>
      </c>
      <c r="K63" s="44" t="s">
        <v>603</v>
      </c>
      <c r="L63" s="45"/>
      <c r="M63" s="41">
        <f t="shared" si="3"/>
        <v>0</v>
      </c>
      <c r="N63" s="44" t="s">
        <v>604</v>
      </c>
      <c r="O63" s="45"/>
      <c r="P63" s="45"/>
      <c r="Q63" s="45"/>
      <c r="R63" s="44"/>
      <c r="S63" s="46" t="str">
        <f>IF(LEN(R63)&gt;0, _xludf.IMAGE(R63), "")</f>
        <v/>
      </c>
      <c r="T63" s="45"/>
      <c r="U63" s="47" t="str">
        <f>IFERROR(HYPERLINK("#Main!A"&amp;MATCH(D62,Main!A:A,0),"Open"),HYPERLINK("#Main!A1","Open"))</f>
        <v>Open</v>
      </c>
      <c r="V63" s="47"/>
    </row>
    <row r="64" spans="1:22" ht="99.95" customHeight="1" x14ac:dyDescent="0.25">
      <c r="A64" s="40" t="s">
        <v>137</v>
      </c>
      <c r="B64" s="41" t="s">
        <v>138</v>
      </c>
      <c r="C64" s="41" t="s">
        <v>605</v>
      </c>
      <c r="D64" s="48" t="s">
        <v>606</v>
      </c>
      <c r="E64" s="43" t="s">
        <v>607</v>
      </c>
      <c r="F64" s="41" t="s">
        <v>608</v>
      </c>
      <c r="G64" s="44" t="s">
        <v>609</v>
      </c>
      <c r="H64" s="44" t="s">
        <v>610</v>
      </c>
      <c r="I64" s="45"/>
      <c r="J64" s="41">
        <f t="shared" si="2"/>
        <v>0</v>
      </c>
      <c r="K64" s="44" t="s">
        <v>611</v>
      </c>
      <c r="L64" s="45"/>
      <c r="M64" s="41">
        <f t="shared" si="3"/>
        <v>0</v>
      </c>
      <c r="N64" s="44" t="s">
        <v>612</v>
      </c>
      <c r="O64" s="45"/>
      <c r="P64" s="45"/>
      <c r="Q64" s="45"/>
      <c r="R64" s="44"/>
      <c r="S64" s="46" t="str">
        <f>IF(LEN(R64)&gt;0, _xludf.IMAGE(R64), "")</f>
        <v/>
      </c>
      <c r="T64" s="45"/>
      <c r="U64" s="41" t="str">
        <f>IFERROR(HYPERLINK("#Main!A"&amp;MATCH(D63,Main!A:A,0),"Open"),HYPERLINK("#Main!A1","Open"))</f>
        <v>Open</v>
      </c>
      <c r="V64" s="41"/>
    </row>
    <row r="65" spans="1:22" ht="99.95" customHeight="1" x14ac:dyDescent="0.25">
      <c r="A65" s="40" t="s">
        <v>137</v>
      </c>
      <c r="B65" s="41" t="s">
        <v>138</v>
      </c>
      <c r="C65" s="41" t="s">
        <v>613</v>
      </c>
      <c r="D65" s="42" t="s">
        <v>614</v>
      </c>
      <c r="E65" s="43" t="s">
        <v>615</v>
      </c>
      <c r="F65" s="41" t="s">
        <v>616</v>
      </c>
      <c r="G65" s="44" t="s">
        <v>617</v>
      </c>
      <c r="H65" s="44" t="s">
        <v>618</v>
      </c>
      <c r="I65" s="45"/>
      <c r="J65" s="41">
        <f t="shared" si="2"/>
        <v>0</v>
      </c>
      <c r="K65" s="44" t="s">
        <v>619</v>
      </c>
      <c r="L65" s="45"/>
      <c r="M65" s="41">
        <f t="shared" si="3"/>
        <v>0</v>
      </c>
      <c r="N65" s="44" t="s">
        <v>620</v>
      </c>
      <c r="O65" s="45"/>
      <c r="P65" s="45"/>
      <c r="Q65" s="45"/>
      <c r="R65" s="44"/>
      <c r="S65" s="46" t="str">
        <f>IF(LEN(R65)&gt;0, _xludf.IMAGE(R65), "")</f>
        <v/>
      </c>
      <c r="T65" s="45"/>
      <c r="U65" s="47" t="str">
        <f>IFERROR(HYPERLINK("#Main!A"&amp;MATCH(D64,Main!A:A,0),"Open"),HYPERLINK("#Main!A1","Open"))</f>
        <v>Open</v>
      </c>
      <c r="V65" s="47"/>
    </row>
    <row r="66" spans="1:22" ht="99.95" customHeight="1" x14ac:dyDescent="0.25">
      <c r="A66" s="40" t="s">
        <v>137</v>
      </c>
      <c r="B66" s="41" t="s">
        <v>138</v>
      </c>
      <c r="C66" s="41" t="s">
        <v>621</v>
      </c>
      <c r="D66" s="48" t="s">
        <v>622</v>
      </c>
      <c r="E66" s="43" t="s">
        <v>623</v>
      </c>
      <c r="F66" s="41" t="s">
        <v>624</v>
      </c>
      <c r="G66" s="44" t="s">
        <v>206</v>
      </c>
      <c r="H66" s="44" t="s">
        <v>625</v>
      </c>
      <c r="I66" s="45"/>
      <c r="J66" s="41">
        <f t="shared" si="2"/>
        <v>0</v>
      </c>
      <c r="K66" s="44" t="s">
        <v>208</v>
      </c>
      <c r="L66" s="45"/>
      <c r="M66" s="41">
        <f t="shared" si="3"/>
        <v>0</v>
      </c>
      <c r="N66" s="44"/>
      <c r="O66" s="45"/>
      <c r="P66" s="45"/>
      <c r="Q66" s="45"/>
      <c r="R66" s="44"/>
      <c r="S66" s="46" t="str">
        <f>IF(LEN(R66)&gt;0, _xludf.IMAGE(R66), "")</f>
        <v/>
      </c>
      <c r="T66" s="45"/>
      <c r="U66" s="41" t="str">
        <f>IFERROR(HYPERLINK("#Main!A"&amp;MATCH(D65,Main!A:A,0),"Open"),HYPERLINK("#Main!A1","Open"))</f>
        <v>Open</v>
      </c>
      <c r="V66" s="41"/>
    </row>
    <row r="67" spans="1:22" ht="99.95" customHeight="1" x14ac:dyDescent="0.25">
      <c r="A67" s="40" t="s">
        <v>137</v>
      </c>
      <c r="B67" s="41" t="s">
        <v>138</v>
      </c>
      <c r="C67" s="41" t="s">
        <v>626</v>
      </c>
      <c r="D67" s="42" t="s">
        <v>627</v>
      </c>
      <c r="E67" s="43" t="s">
        <v>628</v>
      </c>
      <c r="F67" s="41" t="s">
        <v>629</v>
      </c>
      <c r="G67" s="44" t="s">
        <v>630</v>
      </c>
      <c r="H67" s="44" t="s">
        <v>631</v>
      </c>
      <c r="I67" s="45"/>
      <c r="J67" s="41">
        <f t="shared" ref="J67:J87" si="4">LEN(I67)</f>
        <v>0</v>
      </c>
      <c r="K67" s="44" t="s">
        <v>632</v>
      </c>
      <c r="L67" s="45"/>
      <c r="M67" s="41">
        <f t="shared" ref="M67:M87" si="5">LEN(L67)</f>
        <v>0</v>
      </c>
      <c r="N67" s="44" t="s">
        <v>633</v>
      </c>
      <c r="O67" s="45"/>
      <c r="P67" s="45"/>
      <c r="Q67" s="45"/>
      <c r="R67" s="44"/>
      <c r="S67" s="46" t="str">
        <f>IF(LEN(R67)&gt;0, _xludf.IMAGE(R67), "")</f>
        <v/>
      </c>
      <c r="T67" s="45"/>
      <c r="U67" s="47" t="str">
        <f>IFERROR(HYPERLINK("#Main!A"&amp;MATCH(D66,Main!A:A,0),"Open"),HYPERLINK("#Main!A1","Open"))</f>
        <v>Open</v>
      </c>
      <c r="V67" s="47"/>
    </row>
    <row r="68" spans="1:22" ht="99.95" customHeight="1" x14ac:dyDescent="0.25">
      <c r="A68" s="40" t="s">
        <v>137</v>
      </c>
      <c r="B68" s="41" t="s">
        <v>138</v>
      </c>
      <c r="C68" s="41" t="s">
        <v>634</v>
      </c>
      <c r="D68" s="48" t="s">
        <v>635</v>
      </c>
      <c r="E68" s="43" t="s">
        <v>636</v>
      </c>
      <c r="F68" s="41" t="s">
        <v>637</v>
      </c>
      <c r="G68" s="44" t="s">
        <v>638</v>
      </c>
      <c r="H68" s="44" t="s">
        <v>639</v>
      </c>
      <c r="I68" s="45"/>
      <c r="J68" s="41">
        <f t="shared" si="4"/>
        <v>0</v>
      </c>
      <c r="K68" s="44" t="s">
        <v>640</v>
      </c>
      <c r="L68" s="45"/>
      <c r="M68" s="41">
        <f t="shared" si="5"/>
        <v>0</v>
      </c>
      <c r="N68" s="44" t="s">
        <v>549</v>
      </c>
      <c r="O68" s="45"/>
      <c r="P68" s="45"/>
      <c r="Q68" s="45"/>
      <c r="R68" s="44"/>
      <c r="S68" s="46" t="str">
        <f>IF(LEN(R68)&gt;0, _xludf.IMAGE(R68), "")</f>
        <v/>
      </c>
      <c r="T68" s="45"/>
      <c r="U68" s="41" t="str">
        <f>IFERROR(HYPERLINK("#Main!A"&amp;MATCH(D67,Main!A:A,0),"Open"),HYPERLINK("#Main!A1","Open"))</f>
        <v>Open</v>
      </c>
      <c r="V68" s="41"/>
    </row>
    <row r="69" spans="1:22" ht="99.95" customHeight="1" x14ac:dyDescent="0.25">
      <c r="A69" s="40" t="s">
        <v>137</v>
      </c>
      <c r="B69" s="41" t="s">
        <v>138</v>
      </c>
      <c r="C69" s="41" t="s">
        <v>641</v>
      </c>
      <c r="D69" s="42" t="s">
        <v>642</v>
      </c>
      <c r="E69" s="43" t="s">
        <v>643</v>
      </c>
      <c r="F69" s="41" t="s">
        <v>644</v>
      </c>
      <c r="G69" s="44" t="s">
        <v>645</v>
      </c>
      <c r="H69" s="44" t="s">
        <v>646</v>
      </c>
      <c r="I69" s="45"/>
      <c r="J69" s="41">
        <f t="shared" si="4"/>
        <v>0</v>
      </c>
      <c r="K69" s="44" t="s">
        <v>647</v>
      </c>
      <c r="L69" s="45"/>
      <c r="M69" s="41">
        <f t="shared" si="5"/>
        <v>0</v>
      </c>
      <c r="N69" s="44" t="s">
        <v>648</v>
      </c>
      <c r="O69" s="45"/>
      <c r="P69" s="45"/>
      <c r="Q69" s="45"/>
      <c r="R69" s="44"/>
      <c r="S69" s="46" t="str">
        <f>IF(LEN(R69)&gt;0, _xludf.IMAGE(R69), "")</f>
        <v/>
      </c>
      <c r="T69" s="45"/>
      <c r="U69" s="47" t="str">
        <f>IFERROR(HYPERLINK("#Main!A"&amp;MATCH(D68,Main!A:A,0),"Open"),HYPERLINK("#Main!A1","Open"))</f>
        <v>Open</v>
      </c>
      <c r="V69" s="47"/>
    </row>
    <row r="70" spans="1:22" ht="99.95" customHeight="1" x14ac:dyDescent="0.25">
      <c r="A70" s="40" t="s">
        <v>137</v>
      </c>
      <c r="B70" s="41" t="s">
        <v>138</v>
      </c>
      <c r="C70" s="41" t="s">
        <v>649</v>
      </c>
      <c r="D70" s="48" t="s">
        <v>650</v>
      </c>
      <c r="E70" s="43" t="s">
        <v>651</v>
      </c>
      <c r="F70" s="41" t="s">
        <v>652</v>
      </c>
      <c r="G70" s="44" t="s">
        <v>653</v>
      </c>
      <c r="H70" s="44" t="s">
        <v>654</v>
      </c>
      <c r="I70" s="45"/>
      <c r="J70" s="41">
        <f t="shared" si="4"/>
        <v>0</v>
      </c>
      <c r="K70" s="44" t="s">
        <v>655</v>
      </c>
      <c r="L70" s="45"/>
      <c r="M70" s="41">
        <f t="shared" si="5"/>
        <v>0</v>
      </c>
      <c r="N70" s="44" t="s">
        <v>656</v>
      </c>
      <c r="O70" s="45"/>
      <c r="P70" s="45"/>
      <c r="Q70" s="45"/>
      <c r="R70" s="44"/>
      <c r="S70" s="46" t="str">
        <f>IF(LEN(R70)&gt;0, _xludf.IMAGE(R70), "")</f>
        <v/>
      </c>
      <c r="T70" s="45"/>
      <c r="U70" s="41" t="str">
        <f>IFERROR(HYPERLINK("#Main!A"&amp;MATCH(D69,Main!A:A,0),"Open"),HYPERLINK("#Main!A1","Open"))</f>
        <v>Open</v>
      </c>
      <c r="V70" s="41"/>
    </row>
    <row r="71" spans="1:22" ht="99.95" customHeight="1" x14ac:dyDescent="0.25">
      <c r="A71" s="40" t="s">
        <v>137</v>
      </c>
      <c r="B71" s="41" t="s">
        <v>138</v>
      </c>
      <c r="C71" s="41" t="s">
        <v>657</v>
      </c>
      <c r="D71" s="42" t="s">
        <v>658</v>
      </c>
      <c r="E71" s="43" t="s">
        <v>659</v>
      </c>
      <c r="F71" s="41" t="s">
        <v>660</v>
      </c>
      <c r="G71" s="44" t="s">
        <v>661</v>
      </c>
      <c r="H71" s="44" t="s">
        <v>662</v>
      </c>
      <c r="I71" s="45"/>
      <c r="J71" s="41">
        <f t="shared" si="4"/>
        <v>0</v>
      </c>
      <c r="K71" s="44" t="s">
        <v>663</v>
      </c>
      <c r="L71" s="45"/>
      <c r="M71" s="41">
        <f t="shared" si="5"/>
        <v>0</v>
      </c>
      <c r="N71" s="44" t="s">
        <v>664</v>
      </c>
      <c r="O71" s="45"/>
      <c r="P71" s="45"/>
      <c r="Q71" s="45"/>
      <c r="R71" s="44"/>
      <c r="S71" s="46" t="str">
        <f>IF(LEN(R71)&gt;0, _xludf.IMAGE(R71), "")</f>
        <v/>
      </c>
      <c r="T71" s="45"/>
      <c r="U71" s="47" t="str">
        <f>IFERROR(HYPERLINK("#Main!A"&amp;MATCH(D70,Main!A:A,0),"Open"),HYPERLINK("#Main!A1","Open"))</f>
        <v>Open</v>
      </c>
      <c r="V71" s="47"/>
    </row>
    <row r="72" spans="1:22" ht="99.95" customHeight="1" x14ac:dyDescent="0.25">
      <c r="A72" s="40" t="s">
        <v>137</v>
      </c>
      <c r="B72" s="41" t="s">
        <v>138</v>
      </c>
      <c r="C72" s="41" t="s">
        <v>665</v>
      </c>
      <c r="D72" s="48" t="s">
        <v>666</v>
      </c>
      <c r="E72" s="43" t="s">
        <v>667</v>
      </c>
      <c r="F72" s="41" t="s">
        <v>668</v>
      </c>
      <c r="G72" s="44" t="s">
        <v>669</v>
      </c>
      <c r="H72" s="44" t="s">
        <v>670</v>
      </c>
      <c r="I72" s="45"/>
      <c r="J72" s="41">
        <f t="shared" si="4"/>
        <v>0</v>
      </c>
      <c r="K72" s="44" t="s">
        <v>671</v>
      </c>
      <c r="L72" s="45"/>
      <c r="M72" s="41">
        <f t="shared" si="5"/>
        <v>0</v>
      </c>
      <c r="N72" s="44" t="s">
        <v>672</v>
      </c>
      <c r="O72" s="45"/>
      <c r="P72" s="45"/>
      <c r="Q72" s="45"/>
      <c r="R72" s="44"/>
      <c r="S72" s="46" t="str">
        <f>IF(LEN(R72)&gt;0, _xludf.IMAGE(R72), "")</f>
        <v/>
      </c>
      <c r="T72" s="45"/>
      <c r="U72" s="41" t="str">
        <f>IFERROR(HYPERLINK("#Main!A"&amp;MATCH(D71,Main!A:A,0),"Open"),HYPERLINK("#Main!A1","Open"))</f>
        <v>Open</v>
      </c>
      <c r="V72" s="41"/>
    </row>
    <row r="73" spans="1:22" ht="99.95" customHeight="1" x14ac:dyDescent="0.25">
      <c r="A73" s="40" t="s">
        <v>137</v>
      </c>
      <c r="B73" s="41" t="s">
        <v>138</v>
      </c>
      <c r="C73" s="41" t="s">
        <v>673</v>
      </c>
      <c r="D73" s="42" t="s">
        <v>674</v>
      </c>
      <c r="E73" s="43" t="s">
        <v>675</v>
      </c>
      <c r="F73" s="41" t="s">
        <v>676</v>
      </c>
      <c r="G73" s="44" t="s">
        <v>677</v>
      </c>
      <c r="H73" s="44" t="s">
        <v>678</v>
      </c>
      <c r="I73" s="45"/>
      <c r="J73" s="41">
        <f t="shared" si="4"/>
        <v>0</v>
      </c>
      <c r="K73" s="44" t="s">
        <v>679</v>
      </c>
      <c r="L73" s="45"/>
      <c r="M73" s="41">
        <f t="shared" si="5"/>
        <v>0</v>
      </c>
      <c r="N73" s="44" t="s">
        <v>680</v>
      </c>
      <c r="O73" s="45"/>
      <c r="P73" s="45"/>
      <c r="Q73" s="45"/>
      <c r="R73" s="44"/>
      <c r="S73" s="46" t="str">
        <f>IF(LEN(R73)&gt;0, _xludf.IMAGE(R73), "")</f>
        <v/>
      </c>
      <c r="T73" s="45"/>
      <c r="U73" s="47" t="str">
        <f>IFERROR(HYPERLINK("#Main!A"&amp;MATCH(D72,Main!A:A,0),"Open"),HYPERLINK("#Main!A1","Open"))</f>
        <v>Open</v>
      </c>
      <c r="V73" s="47"/>
    </row>
    <row r="74" spans="1:22" ht="99.95" customHeight="1" x14ac:dyDescent="0.25">
      <c r="A74" s="40" t="s">
        <v>137</v>
      </c>
      <c r="B74" s="41" t="s">
        <v>138</v>
      </c>
      <c r="C74" s="41" t="s">
        <v>681</v>
      </c>
      <c r="D74" s="48" t="s">
        <v>682</v>
      </c>
      <c r="E74" s="43" t="s">
        <v>683</v>
      </c>
      <c r="F74" s="41" t="s">
        <v>684</v>
      </c>
      <c r="G74" s="44" t="s">
        <v>685</v>
      </c>
      <c r="H74" s="44" t="s">
        <v>686</v>
      </c>
      <c r="I74" s="45"/>
      <c r="J74" s="41">
        <f t="shared" si="4"/>
        <v>0</v>
      </c>
      <c r="K74" s="44" t="s">
        <v>687</v>
      </c>
      <c r="L74" s="45"/>
      <c r="M74" s="41">
        <f t="shared" si="5"/>
        <v>0</v>
      </c>
      <c r="N74" s="44" t="s">
        <v>688</v>
      </c>
      <c r="O74" s="45"/>
      <c r="P74" s="45"/>
      <c r="Q74" s="45"/>
      <c r="R74" s="44"/>
      <c r="S74" s="46" t="str">
        <f>IF(LEN(R74)&gt;0, _xludf.IMAGE(R74), "")</f>
        <v/>
      </c>
      <c r="T74" s="45"/>
      <c r="U74" s="41" t="str">
        <f>IFERROR(HYPERLINK("#Main!A"&amp;MATCH(D73,Main!A:A,0),"Open"),HYPERLINK("#Main!A1","Open"))</f>
        <v>Open</v>
      </c>
      <c r="V74" s="41"/>
    </row>
    <row r="75" spans="1:22" ht="99.95" customHeight="1" x14ac:dyDescent="0.25">
      <c r="A75" s="40" t="s">
        <v>137</v>
      </c>
      <c r="B75" s="41" t="s">
        <v>138</v>
      </c>
      <c r="C75" s="41" t="s">
        <v>689</v>
      </c>
      <c r="D75" s="42" t="s">
        <v>690</v>
      </c>
      <c r="E75" s="43" t="s">
        <v>691</v>
      </c>
      <c r="F75" s="41" t="s">
        <v>692</v>
      </c>
      <c r="G75" s="44" t="s">
        <v>693</v>
      </c>
      <c r="H75" s="44" t="s">
        <v>694</v>
      </c>
      <c r="I75" s="45"/>
      <c r="J75" s="41">
        <f t="shared" si="4"/>
        <v>0</v>
      </c>
      <c r="K75" s="44" t="s">
        <v>695</v>
      </c>
      <c r="L75" s="45"/>
      <c r="M75" s="41">
        <f t="shared" si="5"/>
        <v>0</v>
      </c>
      <c r="N75" s="44" t="s">
        <v>696</v>
      </c>
      <c r="O75" s="45"/>
      <c r="P75" s="45"/>
      <c r="Q75" s="45"/>
      <c r="R75" s="44"/>
      <c r="S75" s="46" t="str">
        <f>IF(LEN(R75)&gt;0, _xludf.IMAGE(R75), "")</f>
        <v/>
      </c>
      <c r="T75" s="45"/>
      <c r="U75" s="47" t="str">
        <f>IFERROR(HYPERLINK("#Main!A"&amp;MATCH(D74,Main!A:A,0),"Open"),HYPERLINK("#Main!A1","Open"))</f>
        <v>Open</v>
      </c>
      <c r="V75" s="47"/>
    </row>
    <row r="76" spans="1:22" ht="99.95" customHeight="1" x14ac:dyDescent="0.25">
      <c r="A76" s="40" t="s">
        <v>137</v>
      </c>
      <c r="B76" s="41" t="s">
        <v>138</v>
      </c>
      <c r="C76" s="41" t="s">
        <v>697</v>
      </c>
      <c r="D76" s="48" t="s">
        <v>698</v>
      </c>
      <c r="E76" s="43" t="s">
        <v>699</v>
      </c>
      <c r="F76" s="41" t="s">
        <v>268</v>
      </c>
      <c r="G76" s="44" t="s">
        <v>700</v>
      </c>
      <c r="H76" s="44" t="s">
        <v>270</v>
      </c>
      <c r="I76" s="45"/>
      <c r="J76" s="41">
        <f t="shared" si="4"/>
        <v>0</v>
      </c>
      <c r="K76" s="44" t="s">
        <v>701</v>
      </c>
      <c r="L76" s="45"/>
      <c r="M76" s="41">
        <f t="shared" si="5"/>
        <v>0</v>
      </c>
      <c r="N76" s="44" t="s">
        <v>702</v>
      </c>
      <c r="O76" s="45"/>
      <c r="P76" s="45"/>
      <c r="Q76" s="45"/>
      <c r="R76" s="44"/>
      <c r="S76" s="46" t="str">
        <f>IF(LEN(R76)&gt;0, _xludf.IMAGE(R76), "")</f>
        <v/>
      </c>
      <c r="T76" s="45"/>
      <c r="U76" s="41" t="str">
        <f>IFERROR(HYPERLINK("#Main!A"&amp;MATCH(D75,Main!A:A,0),"Open"),HYPERLINK("#Main!A1","Open"))</f>
        <v>Open</v>
      </c>
      <c r="V76" s="41"/>
    </row>
    <row r="77" spans="1:22" ht="99.95" customHeight="1" x14ac:dyDescent="0.25">
      <c r="A77" s="40" t="s">
        <v>137</v>
      </c>
      <c r="B77" s="41" t="s">
        <v>138</v>
      </c>
      <c r="C77" s="41" t="s">
        <v>703</v>
      </c>
      <c r="D77" s="42" t="s">
        <v>704</v>
      </c>
      <c r="E77" s="43" t="s">
        <v>705</v>
      </c>
      <c r="F77" s="41" t="s">
        <v>706</v>
      </c>
      <c r="G77" s="44" t="s">
        <v>707</v>
      </c>
      <c r="H77" s="44" t="s">
        <v>708</v>
      </c>
      <c r="I77" s="45"/>
      <c r="J77" s="41">
        <f t="shared" si="4"/>
        <v>0</v>
      </c>
      <c r="K77" s="44" t="s">
        <v>709</v>
      </c>
      <c r="L77" s="45"/>
      <c r="M77" s="41">
        <f t="shared" si="5"/>
        <v>0</v>
      </c>
      <c r="N77" s="44" t="s">
        <v>710</v>
      </c>
      <c r="O77" s="45"/>
      <c r="P77" s="45"/>
      <c r="Q77" s="45"/>
      <c r="R77" s="44"/>
      <c r="S77" s="46" t="str">
        <f>IF(LEN(R77)&gt;0, _xludf.IMAGE(R77), "")</f>
        <v/>
      </c>
      <c r="T77" s="45"/>
      <c r="U77" s="47" t="str">
        <f>IFERROR(HYPERLINK("#Main!A"&amp;MATCH(D76,Main!A:A,0),"Open"),HYPERLINK("#Main!A1","Open"))</f>
        <v>Open</v>
      </c>
      <c r="V77" s="47"/>
    </row>
    <row r="78" spans="1:22" ht="99.95" customHeight="1" x14ac:dyDescent="0.25">
      <c r="A78" s="40" t="s">
        <v>137</v>
      </c>
      <c r="B78" s="41" t="s">
        <v>138</v>
      </c>
      <c r="C78" s="41" t="s">
        <v>711</v>
      </c>
      <c r="D78" s="48" t="s">
        <v>712</v>
      </c>
      <c r="E78" s="43" t="s">
        <v>713</v>
      </c>
      <c r="F78" s="41" t="s">
        <v>714</v>
      </c>
      <c r="G78" s="44" t="s">
        <v>715</v>
      </c>
      <c r="H78" s="44" t="s">
        <v>716</v>
      </c>
      <c r="I78" s="45"/>
      <c r="J78" s="41">
        <f t="shared" si="4"/>
        <v>0</v>
      </c>
      <c r="K78" s="44" t="s">
        <v>717</v>
      </c>
      <c r="L78" s="45"/>
      <c r="M78" s="41">
        <f t="shared" si="5"/>
        <v>0</v>
      </c>
      <c r="N78" s="44" t="s">
        <v>718</v>
      </c>
      <c r="O78" s="45"/>
      <c r="P78" s="45"/>
      <c r="Q78" s="45"/>
      <c r="R78" s="44"/>
      <c r="S78" s="46" t="str">
        <f>IF(LEN(R78)&gt;0, _xludf.IMAGE(R78), "")</f>
        <v/>
      </c>
      <c r="T78" s="45"/>
      <c r="U78" s="41" t="str">
        <f>IFERROR(HYPERLINK("#Main!A"&amp;MATCH(D77,Main!A:A,0),"Open"),HYPERLINK("#Main!A1","Open"))</f>
        <v>Open</v>
      </c>
      <c r="V78" s="41"/>
    </row>
    <row r="79" spans="1:22" ht="99.95" customHeight="1" x14ac:dyDescent="0.25">
      <c r="A79" s="40" t="s">
        <v>137</v>
      </c>
      <c r="B79" s="41" t="s">
        <v>138</v>
      </c>
      <c r="C79" s="41" t="s">
        <v>719</v>
      </c>
      <c r="D79" s="42" t="s">
        <v>720</v>
      </c>
      <c r="E79" s="43" t="s">
        <v>721</v>
      </c>
      <c r="F79" s="41" t="s">
        <v>722</v>
      </c>
      <c r="G79" s="44" t="s">
        <v>723</v>
      </c>
      <c r="H79" s="44" t="s">
        <v>724</v>
      </c>
      <c r="I79" s="45"/>
      <c r="J79" s="41">
        <f t="shared" si="4"/>
        <v>0</v>
      </c>
      <c r="K79" s="44" t="s">
        <v>725</v>
      </c>
      <c r="L79" s="45"/>
      <c r="M79" s="41">
        <f t="shared" si="5"/>
        <v>0</v>
      </c>
      <c r="N79" s="44"/>
      <c r="O79" s="45"/>
      <c r="P79" s="45"/>
      <c r="Q79" s="45"/>
      <c r="R79" s="44"/>
      <c r="S79" s="46" t="str">
        <f>IF(LEN(R79)&gt;0, _xludf.IMAGE(R79), "")</f>
        <v/>
      </c>
      <c r="T79" s="45"/>
      <c r="U79" s="47" t="str">
        <f>IFERROR(HYPERLINK("#Main!A"&amp;MATCH(D78,Main!A:A,0),"Open"),HYPERLINK("#Main!A1","Open"))</f>
        <v>Open</v>
      </c>
      <c r="V79" s="47"/>
    </row>
    <row r="80" spans="1:22" ht="99.95" customHeight="1" x14ac:dyDescent="0.25">
      <c r="A80" s="40" t="s">
        <v>137</v>
      </c>
      <c r="B80" s="41" t="s">
        <v>138</v>
      </c>
      <c r="C80" s="41" t="s">
        <v>726</v>
      </c>
      <c r="D80" s="48" t="s">
        <v>727</v>
      </c>
      <c r="E80" s="43" t="s">
        <v>728</v>
      </c>
      <c r="F80" s="41" t="s">
        <v>729</v>
      </c>
      <c r="G80" s="44" t="s">
        <v>730</v>
      </c>
      <c r="H80" s="44" t="s">
        <v>731</v>
      </c>
      <c r="I80" s="45"/>
      <c r="J80" s="41">
        <f t="shared" si="4"/>
        <v>0</v>
      </c>
      <c r="K80" s="44" t="s">
        <v>732</v>
      </c>
      <c r="L80" s="45"/>
      <c r="M80" s="41">
        <f t="shared" si="5"/>
        <v>0</v>
      </c>
      <c r="N80" s="44" t="s">
        <v>733</v>
      </c>
      <c r="O80" s="45"/>
      <c r="P80" s="45"/>
      <c r="Q80" s="45"/>
      <c r="R80" s="44"/>
      <c r="S80" s="46" t="str">
        <f>IF(LEN(R80)&gt;0, _xludf.IMAGE(R80), "")</f>
        <v/>
      </c>
      <c r="T80" s="45"/>
      <c r="U80" s="41" t="str">
        <f>IFERROR(HYPERLINK("#Main!A"&amp;MATCH(D79,Main!A:A,0),"Open"),HYPERLINK("#Main!A1","Open"))</f>
        <v>Open</v>
      </c>
      <c r="V80" s="41"/>
    </row>
    <row r="81" spans="1:22" ht="99.95" customHeight="1" x14ac:dyDescent="0.25">
      <c r="A81" s="40" t="s">
        <v>137</v>
      </c>
      <c r="B81" s="41" t="s">
        <v>138</v>
      </c>
      <c r="C81" s="41" t="s">
        <v>734</v>
      </c>
      <c r="D81" s="42" t="s">
        <v>735</v>
      </c>
      <c r="E81" s="43" t="s">
        <v>736</v>
      </c>
      <c r="F81" s="41" t="s">
        <v>737</v>
      </c>
      <c r="G81" s="44" t="s">
        <v>738</v>
      </c>
      <c r="H81" s="44" t="s">
        <v>739</v>
      </c>
      <c r="I81" s="45"/>
      <c r="J81" s="41">
        <f t="shared" si="4"/>
        <v>0</v>
      </c>
      <c r="K81" s="44" t="s">
        <v>740</v>
      </c>
      <c r="L81" s="45"/>
      <c r="M81" s="41">
        <f t="shared" si="5"/>
        <v>0</v>
      </c>
      <c r="N81" s="44" t="s">
        <v>741</v>
      </c>
      <c r="O81" s="45"/>
      <c r="P81" s="45"/>
      <c r="Q81" s="45"/>
      <c r="R81" s="44"/>
      <c r="S81" s="46" t="str">
        <f>IF(LEN(R81)&gt;0, _xludf.IMAGE(R81), "")</f>
        <v/>
      </c>
      <c r="T81" s="45"/>
      <c r="U81" s="47" t="str">
        <f>IFERROR(HYPERLINK("#Main!A"&amp;MATCH(D80,Main!A:A,0),"Open"),HYPERLINK("#Main!A1","Open"))</f>
        <v>Open</v>
      </c>
      <c r="V81" s="47"/>
    </row>
    <row r="82" spans="1:22" ht="99.95" customHeight="1" x14ac:dyDescent="0.25">
      <c r="A82" s="40" t="s">
        <v>137</v>
      </c>
      <c r="B82" s="41" t="s">
        <v>138</v>
      </c>
      <c r="C82" s="41" t="s">
        <v>742</v>
      </c>
      <c r="D82" s="48" t="s">
        <v>743</v>
      </c>
      <c r="E82" s="43" t="s">
        <v>744</v>
      </c>
      <c r="F82" s="41" t="s">
        <v>745</v>
      </c>
      <c r="G82" s="44" t="s">
        <v>746</v>
      </c>
      <c r="H82" s="44" t="s">
        <v>747</v>
      </c>
      <c r="I82" s="45"/>
      <c r="J82" s="41">
        <f t="shared" si="4"/>
        <v>0</v>
      </c>
      <c r="K82" s="44" t="s">
        <v>748</v>
      </c>
      <c r="L82" s="45"/>
      <c r="M82" s="41">
        <f t="shared" si="5"/>
        <v>0</v>
      </c>
      <c r="N82" s="44" t="s">
        <v>741</v>
      </c>
      <c r="O82" s="45"/>
      <c r="P82" s="45"/>
      <c r="Q82" s="45"/>
      <c r="R82" s="44"/>
      <c r="S82" s="46" t="str">
        <f>IF(LEN(R82)&gt;0, _xludf.IMAGE(R82), "")</f>
        <v/>
      </c>
      <c r="T82" s="45"/>
      <c r="U82" s="41" t="str">
        <f>IFERROR(HYPERLINK("#Main!A"&amp;MATCH(D81,Main!A:A,0),"Open"),HYPERLINK("#Main!A1","Open"))</f>
        <v>Open</v>
      </c>
      <c r="V82" s="41"/>
    </row>
    <row r="83" spans="1:22" ht="99.95" customHeight="1" x14ac:dyDescent="0.25">
      <c r="A83" s="40" t="s">
        <v>137</v>
      </c>
      <c r="B83" s="41" t="s">
        <v>138</v>
      </c>
      <c r="C83" s="41" t="s">
        <v>749</v>
      </c>
      <c r="D83" s="42" t="s">
        <v>750</v>
      </c>
      <c r="E83" s="43" t="s">
        <v>751</v>
      </c>
      <c r="F83" s="41" t="s">
        <v>752</v>
      </c>
      <c r="G83" s="44" t="s">
        <v>753</v>
      </c>
      <c r="H83" s="44" t="s">
        <v>754</v>
      </c>
      <c r="I83" s="45"/>
      <c r="J83" s="41">
        <f t="shared" si="4"/>
        <v>0</v>
      </c>
      <c r="K83" s="44" t="s">
        <v>755</v>
      </c>
      <c r="L83" s="45"/>
      <c r="M83" s="41">
        <f t="shared" si="5"/>
        <v>0</v>
      </c>
      <c r="N83" s="44" t="s">
        <v>756</v>
      </c>
      <c r="O83" s="45"/>
      <c r="P83" s="45"/>
      <c r="Q83" s="45"/>
      <c r="R83" s="44"/>
      <c r="S83" s="46" t="str">
        <f>IF(LEN(R83)&gt;0, _xludf.IMAGE(R83), "")</f>
        <v/>
      </c>
      <c r="T83" s="45"/>
      <c r="U83" s="47" t="str">
        <f>IFERROR(HYPERLINK("#Main!A"&amp;MATCH(D82,Main!A:A,0),"Open"),HYPERLINK("#Main!A1","Open"))</f>
        <v>Open</v>
      </c>
      <c r="V83" s="47"/>
    </row>
    <row r="84" spans="1:22" ht="99.95" customHeight="1" x14ac:dyDescent="0.25">
      <c r="A84" s="40" t="s">
        <v>137</v>
      </c>
      <c r="B84" s="41" t="s">
        <v>138</v>
      </c>
      <c r="C84" s="41" t="s">
        <v>757</v>
      </c>
      <c r="D84" s="48" t="s">
        <v>758</v>
      </c>
      <c r="E84" s="43" t="s">
        <v>759</v>
      </c>
      <c r="F84" s="41" t="s">
        <v>760</v>
      </c>
      <c r="G84" s="44" t="s">
        <v>761</v>
      </c>
      <c r="H84" s="44" t="s">
        <v>762</v>
      </c>
      <c r="I84" s="45"/>
      <c r="J84" s="41">
        <f t="shared" si="4"/>
        <v>0</v>
      </c>
      <c r="K84" s="44" t="s">
        <v>763</v>
      </c>
      <c r="L84" s="45"/>
      <c r="M84" s="41">
        <f t="shared" si="5"/>
        <v>0</v>
      </c>
      <c r="N84" s="44" t="s">
        <v>764</v>
      </c>
      <c r="O84" s="45"/>
      <c r="P84" s="45"/>
      <c r="Q84" s="45"/>
      <c r="R84" s="44"/>
      <c r="S84" s="46" t="str">
        <f>IF(LEN(R84)&gt;0, _xludf.IMAGE(R84), "")</f>
        <v/>
      </c>
      <c r="T84" s="45"/>
      <c r="U84" s="41" t="str">
        <f>IFERROR(HYPERLINK("#Main!A"&amp;MATCH(D83,Main!A:A,0),"Open"),HYPERLINK("#Main!A1","Open"))</f>
        <v>Open</v>
      </c>
      <c r="V84" s="41"/>
    </row>
    <row r="85" spans="1:22" ht="99.95" customHeight="1" x14ac:dyDescent="0.25">
      <c r="A85" s="40" t="s">
        <v>137</v>
      </c>
      <c r="B85" s="41" t="s">
        <v>138</v>
      </c>
      <c r="C85" s="41" t="s">
        <v>765</v>
      </c>
      <c r="D85" s="42" t="s">
        <v>766</v>
      </c>
      <c r="E85" s="43" t="s">
        <v>767</v>
      </c>
      <c r="F85" s="41" t="s">
        <v>768</v>
      </c>
      <c r="G85" s="44" t="s">
        <v>769</v>
      </c>
      <c r="H85" s="44" t="s">
        <v>770</v>
      </c>
      <c r="I85" s="45"/>
      <c r="J85" s="41">
        <f t="shared" si="4"/>
        <v>0</v>
      </c>
      <c r="K85" s="44" t="s">
        <v>771</v>
      </c>
      <c r="L85" s="45"/>
      <c r="M85" s="41">
        <f t="shared" si="5"/>
        <v>0</v>
      </c>
      <c r="N85" s="44" t="s">
        <v>772</v>
      </c>
      <c r="O85" s="45"/>
      <c r="P85" s="45"/>
      <c r="Q85" s="45"/>
      <c r="R85" s="44"/>
      <c r="S85" s="46" t="str">
        <f>IF(LEN(R85)&gt;0, _xludf.IMAGE(R85), "")</f>
        <v/>
      </c>
      <c r="T85" s="45"/>
      <c r="U85" s="47" t="str">
        <f>IFERROR(HYPERLINK("#Main!A"&amp;MATCH(D84,Main!A:A,0),"Open"),HYPERLINK("#Main!A1","Open"))</f>
        <v>Open</v>
      </c>
      <c r="V85" s="47"/>
    </row>
    <row r="86" spans="1:22" ht="99.95" customHeight="1" x14ac:dyDescent="0.25">
      <c r="A86" s="40" t="s">
        <v>137</v>
      </c>
      <c r="B86" s="41" t="s">
        <v>138</v>
      </c>
      <c r="C86" s="41" t="s">
        <v>773</v>
      </c>
      <c r="D86" s="48" t="s">
        <v>774</v>
      </c>
      <c r="E86" s="43" t="s">
        <v>775</v>
      </c>
      <c r="F86" s="41" t="s">
        <v>776</v>
      </c>
      <c r="G86" s="44" t="s">
        <v>777</v>
      </c>
      <c r="H86" s="44" t="s">
        <v>778</v>
      </c>
      <c r="I86" s="45"/>
      <c r="J86" s="41">
        <f t="shared" si="4"/>
        <v>0</v>
      </c>
      <c r="K86" s="44" t="s">
        <v>779</v>
      </c>
      <c r="L86" s="45"/>
      <c r="M86" s="41">
        <f t="shared" si="5"/>
        <v>0</v>
      </c>
      <c r="N86" s="44" t="s">
        <v>780</v>
      </c>
      <c r="O86" s="45"/>
      <c r="P86" s="45"/>
      <c r="Q86" s="45"/>
      <c r="R86" s="44"/>
      <c r="S86" s="46" t="str">
        <f>IF(LEN(R86)&gt;0, _xludf.IMAGE(R86), "")</f>
        <v/>
      </c>
      <c r="T86" s="45"/>
      <c r="U86" s="41" t="str">
        <f>IFERROR(HYPERLINK("#Main!A"&amp;MATCH(D85,Main!A:A,0),"Open"),HYPERLINK("#Main!A1","Open"))</f>
        <v>Open</v>
      </c>
      <c r="V86" s="41"/>
    </row>
    <row r="87" spans="1:22" ht="99.95" customHeight="1" x14ac:dyDescent="0.25">
      <c r="A87" s="40" t="s">
        <v>137</v>
      </c>
      <c r="B87" s="41" t="s">
        <v>138</v>
      </c>
      <c r="C87" s="41" t="s">
        <v>781</v>
      </c>
      <c r="D87" s="42" t="s">
        <v>782</v>
      </c>
      <c r="E87" s="43" t="s">
        <v>783</v>
      </c>
      <c r="F87" s="41" t="s">
        <v>784</v>
      </c>
      <c r="G87" s="44" t="s">
        <v>785</v>
      </c>
      <c r="H87" s="44" t="s">
        <v>786</v>
      </c>
      <c r="I87" s="45"/>
      <c r="J87" s="41">
        <f t="shared" si="4"/>
        <v>0</v>
      </c>
      <c r="K87" s="44" t="s">
        <v>787</v>
      </c>
      <c r="L87" s="45"/>
      <c r="M87" s="41">
        <f t="shared" si="5"/>
        <v>0</v>
      </c>
      <c r="N87" s="44" t="s">
        <v>788</v>
      </c>
      <c r="O87" s="45"/>
      <c r="P87" s="45"/>
      <c r="Q87" s="45"/>
      <c r="R87" s="44"/>
      <c r="S87" s="46" t="str">
        <f>IF(LEN(R87)&gt;0, _xludf.IMAGE(R87), "")</f>
        <v/>
      </c>
      <c r="T87" s="45"/>
      <c r="U87" s="47" t="str">
        <f>IFERROR(HYPERLINK("#Main!A"&amp;MATCH(D86,Main!A:A,0),"Open"),HYPERLINK("#Main!A1","Open"))</f>
        <v>Open</v>
      </c>
      <c r="V87" s="47"/>
    </row>
  </sheetData>
  <autoFilter ref="A2:V87" xr:uid="{00000000-0009-0000-0000-000002000000}"/>
  <mergeCells count="1">
    <mergeCell ref="A1:V1"/>
  </mergeCells>
  <conditionalFormatting sqref="A2:A86">
    <cfRule type="expression" dxfId="59" priority="1" stopIfTrue="1">
      <formula>LOWER(A2)="done"</formula>
    </cfRule>
    <cfRule type="expression" dxfId="58" priority="2" stopIfTrue="1">
      <formula>OR(LOWER(A2)="to do",LOWER(A2)="in progress",LOWER(A2)="in review")</formula>
    </cfRule>
  </conditionalFormatting>
  <conditionalFormatting sqref="A3:A87">
    <cfRule type="expression" dxfId="57" priority="3" stopIfTrue="1">
      <formula>LOWER(A3)="to do"</formula>
    </cfRule>
    <cfRule type="expression" dxfId="56" priority="4" stopIfTrue="1">
      <formula>LOWER(A3)="drafting"</formula>
    </cfRule>
    <cfRule type="expression" dxfId="55" priority="5" stopIfTrue="1">
      <formula>LOWER(A3)="implementation"</formula>
    </cfRule>
    <cfRule type="expression" dxfId="54" priority="6" stopIfTrue="1">
      <formula>LOWER(A3)="completed"</formula>
    </cfRule>
  </conditionalFormatting>
  <conditionalFormatting sqref="A3:Z87">
    <cfRule type="expression" dxfId="53" priority="7">
      <formula>$A3="Completed"</formula>
    </cfRule>
  </conditionalFormatting>
  <conditionalFormatting sqref="J3:J87">
    <cfRule type="expression" dxfId="52" priority="8" stopIfTrue="1">
      <formula>AND(J3&gt;=50,J3&lt;=60)</formula>
    </cfRule>
    <cfRule type="expression" dxfId="51" priority="9" stopIfTrue="1">
      <formula>J3&gt;60</formula>
    </cfRule>
  </conditionalFormatting>
  <conditionalFormatting sqref="M3:M87">
    <cfRule type="expression" dxfId="50" priority="10" stopIfTrue="1">
      <formula>AND(M3&gt;=120,M3&lt;=160)</formula>
    </cfRule>
    <cfRule type="expression" dxfId="49" priority="11" stopIfTrue="1">
      <formula>M3&gt;160</formula>
    </cfRule>
  </conditionalFormatting>
  <dataValidations count="3">
    <dataValidation type="list" allowBlank="1" sqref="A2:A87" xr:uid="{00000000-0002-0000-0200-000000000000}">
      <formula1>"To Do,Drafting,Implementation,Completed"</formula1>
    </dataValidation>
    <dataValidation type="list" allowBlank="1" sqref="B3:B1000" xr:uid="{00000000-0002-0000-0200-000001000000}">
      <formula1>"Unassigned,Copywriter A,Copywriter B,Copywriter C"</formula1>
    </dataValidation>
    <dataValidation type="custom" allowBlank="1" showInputMessage="1" promptTitle="🚀 CONTENT HUB INSTRUCTIONS: 1. D" prompt="Link quality and crawl-path metric. Fix: repair broken links and improve internal linking relevance." sqref="A1" xr:uid="{00000000-0002-0000-0200-000002000000}">
      <formula1>TRUE</formula1>
    </dataValidation>
  </dataValidations>
  <hyperlinks>
    <hyperlink ref="V1" location="Dashboard!A1" display="Dashboard!A1" xr:uid="{00000000-0004-0000-0200-000000000000}"/>
    <hyperlink ref="D3" r:id="rId1" xr:uid="{00000000-0004-0000-0200-000001000000}"/>
    <hyperlink ref="E3" r:id="rId2" xr:uid="{00000000-0004-0000-0200-000002000000}"/>
    <hyperlink ref="D4" r:id="rId3" xr:uid="{00000000-0004-0000-0200-000003000000}"/>
    <hyperlink ref="E4" r:id="rId4" xr:uid="{00000000-0004-0000-0200-000004000000}"/>
    <hyperlink ref="D5" r:id="rId5" xr:uid="{00000000-0004-0000-0200-000005000000}"/>
    <hyperlink ref="E5" r:id="rId6" xr:uid="{00000000-0004-0000-0200-000006000000}"/>
    <hyperlink ref="D6" r:id="rId7" xr:uid="{00000000-0004-0000-0200-000007000000}"/>
    <hyperlink ref="E6" r:id="rId8" xr:uid="{00000000-0004-0000-0200-000008000000}"/>
    <hyperlink ref="D7" r:id="rId9" xr:uid="{00000000-0004-0000-0200-000009000000}"/>
    <hyperlink ref="E7" r:id="rId10" xr:uid="{00000000-0004-0000-0200-00000A000000}"/>
    <hyperlink ref="D8" r:id="rId11" xr:uid="{00000000-0004-0000-0200-00000B000000}"/>
    <hyperlink ref="E8" r:id="rId12" xr:uid="{00000000-0004-0000-0200-00000C000000}"/>
    <hyperlink ref="D9" r:id="rId13" xr:uid="{00000000-0004-0000-0200-00000D000000}"/>
    <hyperlink ref="E9" r:id="rId14" xr:uid="{00000000-0004-0000-0200-00000E000000}"/>
    <hyperlink ref="D10" r:id="rId15" xr:uid="{00000000-0004-0000-0200-00000F000000}"/>
    <hyperlink ref="E10" r:id="rId16" xr:uid="{00000000-0004-0000-0200-000010000000}"/>
    <hyperlink ref="D11" r:id="rId17" xr:uid="{00000000-0004-0000-0200-000011000000}"/>
    <hyperlink ref="E11" r:id="rId18" xr:uid="{00000000-0004-0000-0200-000012000000}"/>
    <hyperlink ref="D12" r:id="rId19" xr:uid="{00000000-0004-0000-0200-000013000000}"/>
    <hyperlink ref="E12" r:id="rId20" xr:uid="{00000000-0004-0000-0200-000014000000}"/>
    <hyperlink ref="D13" r:id="rId21" xr:uid="{00000000-0004-0000-0200-000015000000}"/>
    <hyperlink ref="E13" r:id="rId22" xr:uid="{00000000-0004-0000-0200-000016000000}"/>
    <hyperlink ref="D14" r:id="rId23" xr:uid="{00000000-0004-0000-0200-000017000000}"/>
    <hyperlink ref="E14" r:id="rId24" xr:uid="{00000000-0004-0000-0200-000018000000}"/>
    <hyperlink ref="D15" r:id="rId25" xr:uid="{00000000-0004-0000-0200-000019000000}"/>
    <hyperlink ref="E15" r:id="rId26" xr:uid="{00000000-0004-0000-0200-00001A000000}"/>
    <hyperlink ref="D16" r:id="rId27" xr:uid="{00000000-0004-0000-0200-00001B000000}"/>
    <hyperlink ref="E16" r:id="rId28" xr:uid="{00000000-0004-0000-0200-00001C000000}"/>
    <hyperlink ref="D17" r:id="rId29" xr:uid="{00000000-0004-0000-0200-00001D000000}"/>
    <hyperlink ref="E17" r:id="rId30" xr:uid="{00000000-0004-0000-0200-00001E000000}"/>
    <hyperlink ref="D18" r:id="rId31" xr:uid="{00000000-0004-0000-0200-00001F000000}"/>
    <hyperlink ref="E18" r:id="rId32" xr:uid="{00000000-0004-0000-0200-000020000000}"/>
    <hyperlink ref="D19" r:id="rId33" xr:uid="{00000000-0004-0000-0200-000021000000}"/>
    <hyperlink ref="E19" r:id="rId34" xr:uid="{00000000-0004-0000-0200-000022000000}"/>
    <hyperlink ref="D20" r:id="rId35" xr:uid="{00000000-0004-0000-0200-000023000000}"/>
    <hyperlink ref="E20" r:id="rId36" xr:uid="{00000000-0004-0000-0200-000024000000}"/>
    <hyperlink ref="D21" r:id="rId37" xr:uid="{00000000-0004-0000-0200-000025000000}"/>
    <hyperlink ref="E21" r:id="rId38" xr:uid="{00000000-0004-0000-0200-000026000000}"/>
    <hyperlink ref="D22" r:id="rId39" xr:uid="{00000000-0004-0000-0200-000027000000}"/>
    <hyperlink ref="E22" r:id="rId40" xr:uid="{00000000-0004-0000-0200-000028000000}"/>
    <hyperlink ref="D23" r:id="rId41" xr:uid="{00000000-0004-0000-0200-000029000000}"/>
    <hyperlink ref="E23" r:id="rId42" xr:uid="{00000000-0004-0000-0200-00002A000000}"/>
    <hyperlink ref="D24" r:id="rId43" xr:uid="{00000000-0004-0000-0200-00002B000000}"/>
    <hyperlink ref="E24" r:id="rId44" xr:uid="{00000000-0004-0000-0200-00002C000000}"/>
    <hyperlink ref="D25" r:id="rId45" xr:uid="{00000000-0004-0000-0200-00002D000000}"/>
    <hyperlink ref="E25" r:id="rId46" xr:uid="{00000000-0004-0000-0200-00002E000000}"/>
    <hyperlink ref="D26" r:id="rId47" xr:uid="{00000000-0004-0000-0200-00002F000000}"/>
    <hyperlink ref="E26" r:id="rId48" xr:uid="{00000000-0004-0000-0200-000030000000}"/>
    <hyperlink ref="D27" r:id="rId49" xr:uid="{00000000-0004-0000-0200-000031000000}"/>
    <hyperlink ref="E27" r:id="rId50" xr:uid="{00000000-0004-0000-0200-000032000000}"/>
    <hyperlink ref="D28" r:id="rId51" xr:uid="{00000000-0004-0000-0200-000033000000}"/>
    <hyperlink ref="D29" r:id="rId52" xr:uid="{00000000-0004-0000-0200-000034000000}"/>
    <hyperlink ref="E29" r:id="rId53" xr:uid="{00000000-0004-0000-0200-000035000000}"/>
    <hyperlink ref="D30" r:id="rId54" xr:uid="{00000000-0004-0000-0200-000036000000}"/>
    <hyperlink ref="E30" r:id="rId55" xr:uid="{00000000-0004-0000-0200-000037000000}"/>
    <hyperlink ref="D31" r:id="rId56" xr:uid="{00000000-0004-0000-0200-000038000000}"/>
    <hyperlink ref="E31" r:id="rId57" xr:uid="{00000000-0004-0000-0200-000039000000}"/>
    <hyperlink ref="D32" r:id="rId58" xr:uid="{00000000-0004-0000-0200-00003A000000}"/>
    <hyperlink ref="E32" r:id="rId59" xr:uid="{00000000-0004-0000-0200-00003B000000}"/>
    <hyperlink ref="D33" r:id="rId60" xr:uid="{00000000-0004-0000-0200-00003C000000}"/>
    <hyperlink ref="E33" r:id="rId61" xr:uid="{00000000-0004-0000-0200-00003D000000}"/>
    <hyperlink ref="D34" r:id="rId62" xr:uid="{00000000-0004-0000-0200-00003E000000}"/>
    <hyperlink ref="E34" r:id="rId63" xr:uid="{00000000-0004-0000-0200-00003F000000}"/>
    <hyperlink ref="D35" r:id="rId64" xr:uid="{00000000-0004-0000-0200-000040000000}"/>
    <hyperlink ref="E35" r:id="rId65" xr:uid="{00000000-0004-0000-0200-000041000000}"/>
    <hyperlink ref="D36" r:id="rId66" xr:uid="{00000000-0004-0000-0200-000042000000}"/>
    <hyperlink ref="E36" r:id="rId67" xr:uid="{00000000-0004-0000-0200-000043000000}"/>
    <hyperlink ref="D37" r:id="rId68" xr:uid="{00000000-0004-0000-0200-000044000000}"/>
    <hyperlink ref="E37" r:id="rId69" xr:uid="{00000000-0004-0000-0200-000045000000}"/>
    <hyperlink ref="D38" r:id="rId70" xr:uid="{00000000-0004-0000-0200-000046000000}"/>
    <hyperlink ref="E38" r:id="rId71" xr:uid="{00000000-0004-0000-0200-000047000000}"/>
    <hyperlink ref="D39" r:id="rId72" xr:uid="{00000000-0004-0000-0200-000048000000}"/>
    <hyperlink ref="E39" r:id="rId73" xr:uid="{00000000-0004-0000-0200-000049000000}"/>
    <hyperlink ref="D40" r:id="rId74" xr:uid="{00000000-0004-0000-0200-00004A000000}"/>
    <hyperlink ref="E40" r:id="rId75" xr:uid="{00000000-0004-0000-0200-00004B000000}"/>
    <hyperlink ref="D41" r:id="rId76" xr:uid="{00000000-0004-0000-0200-00004C000000}"/>
    <hyperlink ref="D42" r:id="rId77" xr:uid="{00000000-0004-0000-0200-00004D000000}"/>
    <hyperlink ref="E42" r:id="rId78" xr:uid="{00000000-0004-0000-0200-00004E000000}"/>
    <hyperlink ref="D43" r:id="rId79" xr:uid="{00000000-0004-0000-0200-00004F000000}"/>
    <hyperlink ref="E43" r:id="rId80" xr:uid="{00000000-0004-0000-0200-000050000000}"/>
    <hyperlink ref="D44" r:id="rId81" xr:uid="{00000000-0004-0000-0200-000051000000}"/>
    <hyperlink ref="E44" r:id="rId82" xr:uid="{00000000-0004-0000-0200-000052000000}"/>
    <hyperlink ref="D45" r:id="rId83" xr:uid="{00000000-0004-0000-0200-000053000000}"/>
    <hyperlink ref="E45" r:id="rId84" xr:uid="{00000000-0004-0000-0200-000054000000}"/>
    <hyperlink ref="D46" r:id="rId85" xr:uid="{00000000-0004-0000-0200-000055000000}"/>
    <hyperlink ref="E46" r:id="rId86" xr:uid="{00000000-0004-0000-0200-000056000000}"/>
    <hyperlink ref="D47" r:id="rId87" xr:uid="{00000000-0004-0000-0200-000057000000}"/>
    <hyperlink ref="E47" r:id="rId88" xr:uid="{00000000-0004-0000-0200-000058000000}"/>
    <hyperlink ref="D48" r:id="rId89" xr:uid="{00000000-0004-0000-0200-000059000000}"/>
    <hyperlink ref="E48" r:id="rId90" xr:uid="{00000000-0004-0000-0200-00005A000000}"/>
    <hyperlink ref="D49" r:id="rId91" xr:uid="{00000000-0004-0000-0200-00005B000000}"/>
    <hyperlink ref="E49" r:id="rId92" xr:uid="{00000000-0004-0000-0200-00005C000000}"/>
    <hyperlink ref="D50" r:id="rId93" xr:uid="{00000000-0004-0000-0200-00005D000000}"/>
    <hyperlink ref="E50" r:id="rId94" xr:uid="{00000000-0004-0000-0200-00005E000000}"/>
    <hyperlink ref="D51" r:id="rId95" xr:uid="{00000000-0004-0000-0200-00005F000000}"/>
    <hyperlink ref="E51" r:id="rId96" xr:uid="{00000000-0004-0000-0200-000060000000}"/>
    <hyperlink ref="D52" r:id="rId97" xr:uid="{00000000-0004-0000-0200-000061000000}"/>
    <hyperlink ref="E52" r:id="rId98" xr:uid="{00000000-0004-0000-0200-000062000000}"/>
    <hyperlink ref="D53" r:id="rId99" xr:uid="{00000000-0004-0000-0200-000063000000}"/>
    <hyperlink ref="E53" r:id="rId100" xr:uid="{00000000-0004-0000-0200-000064000000}"/>
    <hyperlink ref="D54" r:id="rId101" xr:uid="{00000000-0004-0000-0200-000065000000}"/>
    <hyperlink ref="E54" r:id="rId102" xr:uid="{00000000-0004-0000-0200-000066000000}"/>
    <hyperlink ref="D55" r:id="rId103" xr:uid="{00000000-0004-0000-0200-000067000000}"/>
    <hyperlink ref="E55" r:id="rId104" xr:uid="{00000000-0004-0000-0200-000068000000}"/>
    <hyperlink ref="D56" r:id="rId105" xr:uid="{00000000-0004-0000-0200-000069000000}"/>
    <hyperlink ref="E56" r:id="rId106" xr:uid="{00000000-0004-0000-0200-00006A000000}"/>
    <hyperlink ref="D57" r:id="rId107" xr:uid="{00000000-0004-0000-0200-00006B000000}"/>
    <hyperlink ref="E57" r:id="rId108" xr:uid="{00000000-0004-0000-0200-00006C000000}"/>
    <hyperlink ref="D58" r:id="rId109" xr:uid="{00000000-0004-0000-0200-00006D000000}"/>
    <hyperlink ref="E58" r:id="rId110" xr:uid="{00000000-0004-0000-0200-00006E000000}"/>
    <hyperlink ref="D59" r:id="rId111" xr:uid="{00000000-0004-0000-0200-00006F000000}"/>
    <hyperlink ref="E59" r:id="rId112" xr:uid="{00000000-0004-0000-0200-000070000000}"/>
    <hyperlink ref="D60" r:id="rId113" xr:uid="{00000000-0004-0000-0200-000071000000}"/>
    <hyperlink ref="E60" r:id="rId114" xr:uid="{00000000-0004-0000-0200-000072000000}"/>
    <hyperlink ref="D61" r:id="rId115" xr:uid="{00000000-0004-0000-0200-000073000000}"/>
    <hyperlink ref="E61" r:id="rId116" xr:uid="{00000000-0004-0000-0200-000074000000}"/>
    <hyperlink ref="D62" r:id="rId117" xr:uid="{00000000-0004-0000-0200-000075000000}"/>
    <hyperlink ref="E62" r:id="rId118" xr:uid="{00000000-0004-0000-0200-000076000000}"/>
    <hyperlink ref="D63" r:id="rId119" xr:uid="{00000000-0004-0000-0200-000077000000}"/>
    <hyperlink ref="E63" r:id="rId120" xr:uid="{00000000-0004-0000-0200-000078000000}"/>
    <hyperlink ref="D64" r:id="rId121" xr:uid="{00000000-0004-0000-0200-000079000000}"/>
    <hyperlink ref="E64" r:id="rId122" xr:uid="{00000000-0004-0000-0200-00007A000000}"/>
    <hyperlink ref="D65" r:id="rId123" xr:uid="{00000000-0004-0000-0200-00007B000000}"/>
    <hyperlink ref="E65" r:id="rId124" xr:uid="{00000000-0004-0000-0200-00007C000000}"/>
    <hyperlink ref="D66" r:id="rId125" xr:uid="{00000000-0004-0000-0200-00007D000000}"/>
    <hyperlink ref="E66" r:id="rId126" xr:uid="{00000000-0004-0000-0200-00007E000000}"/>
    <hyperlink ref="D67" r:id="rId127" xr:uid="{00000000-0004-0000-0200-00007F000000}"/>
    <hyperlink ref="E67" r:id="rId128" xr:uid="{00000000-0004-0000-0200-000080000000}"/>
    <hyperlink ref="D68" r:id="rId129" xr:uid="{00000000-0004-0000-0200-000081000000}"/>
    <hyperlink ref="E68" r:id="rId130" xr:uid="{00000000-0004-0000-0200-000082000000}"/>
    <hyperlink ref="D69" r:id="rId131" xr:uid="{00000000-0004-0000-0200-000083000000}"/>
    <hyperlink ref="E69" r:id="rId132" xr:uid="{00000000-0004-0000-0200-000084000000}"/>
    <hyperlink ref="D70" r:id="rId133" xr:uid="{00000000-0004-0000-0200-000085000000}"/>
    <hyperlink ref="E70" r:id="rId134" xr:uid="{00000000-0004-0000-0200-000086000000}"/>
    <hyperlink ref="D71" r:id="rId135" xr:uid="{00000000-0004-0000-0200-000087000000}"/>
    <hyperlink ref="E71" r:id="rId136" xr:uid="{00000000-0004-0000-0200-000088000000}"/>
    <hyperlink ref="D72" r:id="rId137" xr:uid="{00000000-0004-0000-0200-000089000000}"/>
    <hyperlink ref="E72" r:id="rId138" xr:uid="{00000000-0004-0000-0200-00008A000000}"/>
    <hyperlink ref="D73" r:id="rId139" xr:uid="{00000000-0004-0000-0200-00008B000000}"/>
    <hyperlink ref="E73" r:id="rId140" xr:uid="{00000000-0004-0000-0200-00008C000000}"/>
    <hyperlink ref="D74" r:id="rId141" xr:uid="{00000000-0004-0000-0200-00008D000000}"/>
    <hyperlink ref="E74" r:id="rId142" xr:uid="{00000000-0004-0000-0200-00008E000000}"/>
    <hyperlink ref="D75" r:id="rId143" xr:uid="{00000000-0004-0000-0200-00008F000000}"/>
    <hyperlink ref="E75" r:id="rId144" xr:uid="{00000000-0004-0000-0200-000090000000}"/>
    <hyperlink ref="D76" r:id="rId145" xr:uid="{00000000-0004-0000-0200-000091000000}"/>
    <hyperlink ref="E76" r:id="rId146" xr:uid="{00000000-0004-0000-0200-000092000000}"/>
    <hyperlink ref="D77" r:id="rId147" xr:uid="{00000000-0004-0000-0200-000093000000}"/>
    <hyperlink ref="E77" r:id="rId148" xr:uid="{00000000-0004-0000-0200-000094000000}"/>
    <hyperlink ref="D78" r:id="rId149" xr:uid="{00000000-0004-0000-0200-000095000000}"/>
    <hyperlink ref="E78" r:id="rId150" xr:uid="{00000000-0004-0000-0200-000096000000}"/>
    <hyperlink ref="D79" r:id="rId151" xr:uid="{00000000-0004-0000-0200-000097000000}"/>
    <hyperlink ref="E79" r:id="rId152" xr:uid="{00000000-0004-0000-0200-000098000000}"/>
    <hyperlink ref="D80" r:id="rId153" xr:uid="{00000000-0004-0000-0200-000099000000}"/>
    <hyperlink ref="E80" r:id="rId154" xr:uid="{00000000-0004-0000-0200-00009A000000}"/>
    <hyperlink ref="D81" r:id="rId155" xr:uid="{00000000-0004-0000-0200-00009B000000}"/>
    <hyperlink ref="E81" r:id="rId156" xr:uid="{00000000-0004-0000-0200-00009C000000}"/>
    <hyperlink ref="D82" r:id="rId157" xr:uid="{00000000-0004-0000-0200-00009D000000}"/>
    <hyperlink ref="E82" r:id="rId158" xr:uid="{00000000-0004-0000-0200-00009E000000}"/>
    <hyperlink ref="D83" r:id="rId159" xr:uid="{00000000-0004-0000-0200-00009F000000}"/>
    <hyperlink ref="E83" r:id="rId160" xr:uid="{00000000-0004-0000-0200-0000A0000000}"/>
    <hyperlink ref="D84" r:id="rId161" xr:uid="{00000000-0004-0000-0200-0000A1000000}"/>
    <hyperlink ref="E84" r:id="rId162" xr:uid="{00000000-0004-0000-0200-0000A2000000}"/>
    <hyperlink ref="D85" r:id="rId163" xr:uid="{00000000-0004-0000-0200-0000A3000000}"/>
    <hyperlink ref="E85" r:id="rId164" xr:uid="{00000000-0004-0000-0200-0000A4000000}"/>
    <hyperlink ref="D86" r:id="rId165" xr:uid="{00000000-0004-0000-0200-0000A5000000}"/>
    <hyperlink ref="E86" r:id="rId166" xr:uid="{00000000-0004-0000-0200-0000A6000000}"/>
    <hyperlink ref="D87" r:id="rId167" xr:uid="{00000000-0004-0000-0200-0000A7000000}"/>
    <hyperlink ref="E87" r:id="rId168" xr:uid="{00000000-0004-0000-0200-0000A8000000}"/>
  </hyperlinks>
  <pageMargins left="0.75" right="0.75" top="1" bottom="1" header="0.5" footer="0.5"/>
  <legacyDrawing r:id="rId16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5"/>
  <sheetViews>
    <sheetView workbookViewId="0">
      <pane ySplit="1" topLeftCell="A2" activePane="bottomLeft" state="frozen"/>
      <selection pane="bottomLeft"/>
    </sheetView>
  </sheetViews>
  <sheetFormatPr defaultRowHeight="15" x14ac:dyDescent="0.25"/>
  <cols>
    <col min="1" max="1" width="38" customWidth="1"/>
    <col min="2" max="2" width="13" customWidth="1"/>
    <col min="3" max="4" width="16" customWidth="1"/>
    <col min="5" max="5" width="55" customWidth="1"/>
    <col min="6" max="6" width="22"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8" ht="60" x14ac:dyDescent="0.25">
      <c r="A1" s="4" t="s">
        <v>789</v>
      </c>
      <c r="B1" s="4" t="s">
        <v>88</v>
      </c>
      <c r="C1" s="4" t="s">
        <v>790</v>
      </c>
      <c r="D1" s="4" t="s">
        <v>791</v>
      </c>
      <c r="E1" s="4" t="s">
        <v>65</v>
      </c>
      <c r="F1" s="4" t="s">
        <v>792</v>
      </c>
      <c r="G1" s="4" t="s">
        <v>793</v>
      </c>
      <c r="H1" s="4" t="s">
        <v>118</v>
      </c>
      <c r="I1" s="4" t="s">
        <v>794</v>
      </c>
      <c r="J1" s="4" t="s">
        <v>795</v>
      </c>
      <c r="K1" s="4" t="s">
        <v>63</v>
      </c>
      <c r="L1" s="4" t="s">
        <v>796</v>
      </c>
      <c r="M1" s="4" t="s">
        <v>797</v>
      </c>
      <c r="N1" s="4" t="s">
        <v>798</v>
      </c>
      <c r="O1" s="4" t="s">
        <v>799</v>
      </c>
      <c r="P1" s="4" t="s">
        <v>800</v>
      </c>
      <c r="Q1" s="4" t="s">
        <v>73</v>
      </c>
      <c r="R1" s="4" t="s">
        <v>801</v>
      </c>
      <c r="S1" s="4" t="s">
        <v>802</v>
      </c>
      <c r="T1" s="4" t="s">
        <v>803</v>
      </c>
      <c r="U1" s="4" t="s">
        <v>804</v>
      </c>
      <c r="V1" s="4" t="s">
        <v>805</v>
      </c>
      <c r="W1" s="4" t="s">
        <v>806</v>
      </c>
      <c r="X1" s="4" t="s">
        <v>807</v>
      </c>
      <c r="Y1" s="5" t="s">
        <v>808</v>
      </c>
      <c r="Z1" s="5" t="s">
        <v>135</v>
      </c>
      <c r="AA1" s="5" t="s">
        <v>809</v>
      </c>
      <c r="AB1" s="39" t="s">
        <v>136</v>
      </c>
    </row>
    <row r="2" spans="1:28" x14ac:dyDescent="0.25">
      <c r="A2" s="8" t="s">
        <v>810</v>
      </c>
      <c r="B2" s="49" t="s">
        <v>66</v>
      </c>
      <c r="C2" s="50">
        <v>105</v>
      </c>
      <c r="D2" s="36">
        <v>0</v>
      </c>
      <c r="E2" s="51"/>
      <c r="F2" s="8" t="s">
        <v>12</v>
      </c>
      <c r="G2" s="8" t="s">
        <v>811</v>
      </c>
      <c r="H2" s="51"/>
      <c r="I2" s="8" t="s">
        <v>812</v>
      </c>
      <c r="J2" s="8" t="s">
        <v>813</v>
      </c>
      <c r="K2" s="52" t="s">
        <v>95</v>
      </c>
      <c r="L2" s="52" t="s">
        <v>95</v>
      </c>
      <c r="M2" s="8" t="s">
        <v>814</v>
      </c>
      <c r="N2" s="8">
        <v>10</v>
      </c>
      <c r="O2" s="53">
        <v>5</v>
      </c>
      <c r="P2" s="49" t="s">
        <v>815</v>
      </c>
      <c r="Q2" s="49" t="s">
        <v>137</v>
      </c>
      <c r="R2" s="8"/>
      <c r="S2" s="54"/>
      <c r="T2" s="8" t="s">
        <v>816</v>
      </c>
      <c r="U2" s="8" t="s">
        <v>94</v>
      </c>
      <c r="V2" s="8" t="str">
        <f>HYPERLINK("#Main!A1","Open Main")</f>
        <v>Open Main</v>
      </c>
      <c r="W2" s="8"/>
      <c r="X2" s="8" t="s">
        <v>817</v>
      </c>
      <c r="Y2" s="9" t="str">
        <f>IFERROR(HYPERLINK("#Main!A"&amp;MATCH(H2,Main!A:A,0),"View URL Details"),HYPERLINK("#Main!A1","View URL Details"))</f>
        <v>View URL Details</v>
      </c>
      <c r="Z2" s="9" t="str">
        <f>IFERROR(HYPERLINK("#Main!A"&amp;MATCH(H2,Main!A:A,0),"Open"),HYPERLINK("#Main!A1","Open"))</f>
        <v>Open</v>
      </c>
      <c r="AA2" s="9" t="str">
        <f>IFERROR(INDEX('Content Optimization Hub'!A:A,MATCH(H2,'Content Optimization Hub'!C:C,0)),"Not in Hub")</f>
        <v>Not in Hub</v>
      </c>
      <c r="AB2" s="9"/>
    </row>
    <row r="3" spans="1:28" x14ac:dyDescent="0.25">
      <c r="A3" s="11" t="s">
        <v>818</v>
      </c>
      <c r="B3" s="49" t="s">
        <v>66</v>
      </c>
      <c r="C3" s="50">
        <v>105</v>
      </c>
      <c r="D3" s="10">
        <v>0</v>
      </c>
      <c r="E3" s="55"/>
      <c r="F3" s="11" t="s">
        <v>12</v>
      </c>
      <c r="G3" s="11" t="s">
        <v>819</v>
      </c>
      <c r="H3" s="55"/>
      <c r="I3" s="11" t="s">
        <v>820</v>
      </c>
      <c r="J3" s="11" t="s">
        <v>821</v>
      </c>
      <c r="K3" s="52" t="s">
        <v>95</v>
      </c>
      <c r="L3" s="52" t="s">
        <v>95</v>
      </c>
      <c r="M3" s="11" t="s">
        <v>814</v>
      </c>
      <c r="N3" s="11">
        <v>10</v>
      </c>
      <c r="O3" s="53">
        <v>5</v>
      </c>
      <c r="P3" s="49" t="s">
        <v>815</v>
      </c>
      <c r="Q3" s="49" t="s">
        <v>137</v>
      </c>
      <c r="R3" s="11"/>
      <c r="S3" s="56"/>
      <c r="T3" s="11" t="s">
        <v>816</v>
      </c>
      <c r="U3" s="11" t="s">
        <v>94</v>
      </c>
      <c r="V3" s="11" t="str">
        <f>HYPERLINK("#Main!A1","Open Main")</f>
        <v>Open Main</v>
      </c>
      <c r="W3" s="11"/>
      <c r="X3" s="11" t="s">
        <v>817</v>
      </c>
      <c r="Y3" t="str">
        <f>IFERROR(HYPERLINK("#Main!A"&amp;MATCH(H3,Main!A:A,0),"View URL Details"),HYPERLINK("#Main!A1","View URL Details"))</f>
        <v>View URL Details</v>
      </c>
      <c r="Z3" t="str">
        <f>IFERROR(HYPERLINK("#Main!A"&amp;MATCH(H3,Main!A:A,0),"Open"),HYPERLINK("#Main!A1","Open"))</f>
        <v>Open</v>
      </c>
      <c r="AA3" t="str">
        <f>IFERROR(INDEX('Content Optimization Hub'!A:A,MATCH(H3,'Content Optimization Hub'!C:C,0)),"Not in Hub")</f>
        <v>Not in Hub</v>
      </c>
    </row>
    <row r="4" spans="1:28" x14ac:dyDescent="0.25">
      <c r="A4" s="8" t="s">
        <v>822</v>
      </c>
      <c r="B4" s="49" t="s">
        <v>66</v>
      </c>
      <c r="C4" s="50">
        <v>105</v>
      </c>
      <c r="D4" s="36">
        <v>0</v>
      </c>
      <c r="E4" s="51"/>
      <c r="F4" s="8" t="s">
        <v>7</v>
      </c>
      <c r="G4" s="8" t="s">
        <v>819</v>
      </c>
      <c r="H4" s="51"/>
      <c r="I4" s="8" t="s">
        <v>823</v>
      </c>
      <c r="J4" s="8" t="s">
        <v>824</v>
      </c>
      <c r="K4" s="57" t="s">
        <v>825</v>
      </c>
      <c r="L4" s="57" t="s">
        <v>825</v>
      </c>
      <c r="M4" s="8" t="s">
        <v>814</v>
      </c>
      <c r="N4" s="8">
        <v>10</v>
      </c>
      <c r="O4" s="53">
        <v>5</v>
      </c>
      <c r="P4" s="49" t="s">
        <v>815</v>
      </c>
      <c r="Q4" s="49" t="s">
        <v>137</v>
      </c>
      <c r="R4" s="8"/>
      <c r="S4" s="54"/>
      <c r="T4" s="8" t="s">
        <v>816</v>
      </c>
      <c r="U4" s="8" t="s">
        <v>94</v>
      </c>
      <c r="V4" s="8" t="str">
        <f>HYPERLINK("#Main!A1","Open Main")</f>
        <v>Open Main</v>
      </c>
      <c r="W4" s="8"/>
      <c r="X4" s="8" t="s">
        <v>817</v>
      </c>
      <c r="Y4" s="9" t="str">
        <f>IFERROR(HYPERLINK("#Main!A"&amp;MATCH(H4,Main!A:A,0),"View URL Details"),HYPERLINK("#Main!A1","View URL Details"))</f>
        <v>View URL Details</v>
      </c>
      <c r="Z4" s="9" t="str">
        <f>IFERROR(HYPERLINK("#Main!A"&amp;MATCH(H4,Main!A:A,0),"Open"),HYPERLINK("#Main!A1","Open"))</f>
        <v>Open</v>
      </c>
      <c r="AA4" s="9" t="str">
        <f>IFERROR(INDEX('Content Optimization Hub'!A:A,MATCH(H4,'Content Optimization Hub'!C:C,0)),"Not in Hub")</f>
        <v>Not in Hub</v>
      </c>
      <c r="AB4" s="9"/>
    </row>
    <row r="5" spans="1:28" x14ac:dyDescent="0.25">
      <c r="A5" s="11" t="s">
        <v>826</v>
      </c>
      <c r="B5" s="49" t="s">
        <v>66</v>
      </c>
      <c r="C5" s="50">
        <v>105</v>
      </c>
      <c r="D5" s="10">
        <v>0</v>
      </c>
      <c r="E5" s="55"/>
      <c r="F5" s="11" t="s">
        <v>7</v>
      </c>
      <c r="G5" s="11" t="s">
        <v>819</v>
      </c>
      <c r="H5" s="55"/>
      <c r="I5" s="11" t="s">
        <v>823</v>
      </c>
      <c r="J5" s="11" t="s">
        <v>824</v>
      </c>
      <c r="K5" s="52" t="s">
        <v>95</v>
      </c>
      <c r="L5" s="52" t="s">
        <v>95</v>
      </c>
      <c r="M5" s="11" t="s">
        <v>814</v>
      </c>
      <c r="N5" s="11">
        <v>10</v>
      </c>
      <c r="O5" s="53">
        <v>5</v>
      </c>
      <c r="P5" s="49" t="s">
        <v>815</v>
      </c>
      <c r="Q5" s="49" t="s">
        <v>137</v>
      </c>
      <c r="R5" s="11"/>
      <c r="S5" s="56"/>
      <c r="T5" s="11" t="s">
        <v>816</v>
      </c>
      <c r="U5" s="11" t="s">
        <v>94</v>
      </c>
      <c r="V5" s="11" t="str">
        <f>HYPERLINK("#Main!A1","Open Main")</f>
        <v>Open Main</v>
      </c>
      <c r="W5" s="11"/>
      <c r="X5" s="11" t="s">
        <v>817</v>
      </c>
      <c r="Y5" t="str">
        <f>IFERROR(HYPERLINK("#Main!A"&amp;MATCH(H5,Main!A:A,0),"View URL Details"),HYPERLINK("#Main!A1","View URL Details"))</f>
        <v>View URL Details</v>
      </c>
      <c r="Z5" t="str">
        <f>IFERROR(HYPERLINK("#Main!A"&amp;MATCH(H5,Main!A:A,0),"Open"),HYPERLINK("#Main!A1","Open"))</f>
        <v>Open</v>
      </c>
      <c r="AA5" t="str">
        <f>IFERROR(INDEX('Content Optimization Hub'!A:A,MATCH(H5,'Content Optimization Hub'!C:C,0)),"Not in Hub")</f>
        <v>Not in Hub</v>
      </c>
    </row>
    <row r="6" spans="1:28" x14ac:dyDescent="0.25">
      <c r="A6" s="8" t="s">
        <v>827</v>
      </c>
      <c r="B6" s="49" t="s">
        <v>66</v>
      </c>
      <c r="C6" s="50">
        <v>105</v>
      </c>
      <c r="D6" s="36">
        <v>0</v>
      </c>
      <c r="E6" s="51"/>
      <c r="F6" s="8" t="s">
        <v>11</v>
      </c>
      <c r="G6" s="8" t="s">
        <v>811</v>
      </c>
      <c r="H6" s="51"/>
      <c r="I6" s="8" t="s">
        <v>828</v>
      </c>
      <c r="J6" s="8" t="s">
        <v>829</v>
      </c>
      <c r="K6" s="52" t="s">
        <v>95</v>
      </c>
      <c r="L6" s="52" t="s">
        <v>95</v>
      </c>
      <c r="M6" s="8" t="s">
        <v>814</v>
      </c>
      <c r="N6" s="8">
        <v>10</v>
      </c>
      <c r="O6" s="53">
        <v>5</v>
      </c>
      <c r="P6" s="49" t="s">
        <v>815</v>
      </c>
      <c r="Q6" s="49" t="s">
        <v>137</v>
      </c>
      <c r="R6" s="8"/>
      <c r="S6" s="54"/>
      <c r="T6" s="8" t="s">
        <v>816</v>
      </c>
      <c r="U6" s="8" t="s">
        <v>94</v>
      </c>
      <c r="V6" s="8" t="str">
        <f>HYPERLINK("#Main!A1","Open Main")</f>
        <v>Open Main</v>
      </c>
      <c r="W6" s="8"/>
      <c r="X6" s="8" t="s">
        <v>817</v>
      </c>
      <c r="Y6" s="9" t="str">
        <f>IFERROR(HYPERLINK("#Main!A"&amp;MATCH(H6,Main!A:A,0),"View URL Details"),HYPERLINK("#Main!A1","View URL Details"))</f>
        <v>View URL Details</v>
      </c>
      <c r="Z6" s="9" t="str">
        <f>IFERROR(HYPERLINK("#Main!A"&amp;MATCH(H6,Main!A:A,0),"Open"),HYPERLINK("#Main!A1","Open"))</f>
        <v>Open</v>
      </c>
      <c r="AA6" s="9" t="str">
        <f>IFERROR(INDEX('Content Optimization Hub'!A:A,MATCH(H6,'Content Optimization Hub'!C:C,0)),"Not in Hub")</f>
        <v>Not in Hub</v>
      </c>
      <c r="AB6" s="9"/>
    </row>
    <row r="7" spans="1:28" ht="60" customHeight="1" x14ac:dyDescent="0.25">
      <c r="A7" s="11" t="s">
        <v>830</v>
      </c>
      <c r="B7" s="49" t="s">
        <v>66</v>
      </c>
      <c r="C7" s="50">
        <v>105</v>
      </c>
      <c r="D7" s="10">
        <v>2</v>
      </c>
      <c r="E7" s="55" t="s">
        <v>831</v>
      </c>
      <c r="F7" s="11" t="s">
        <v>7</v>
      </c>
      <c r="G7" s="11" t="s">
        <v>811</v>
      </c>
      <c r="H7" s="58" t="s">
        <v>338</v>
      </c>
      <c r="I7" s="11" t="s">
        <v>832</v>
      </c>
      <c r="J7" s="11" t="s">
        <v>833</v>
      </c>
      <c r="K7" s="57" t="s">
        <v>825</v>
      </c>
      <c r="L7" s="57" t="s">
        <v>825</v>
      </c>
      <c r="M7" s="11" t="s">
        <v>814</v>
      </c>
      <c r="N7" s="11">
        <v>10</v>
      </c>
      <c r="O7" s="53">
        <v>5</v>
      </c>
      <c r="P7" s="49" t="s">
        <v>815</v>
      </c>
      <c r="Q7" s="49" t="s">
        <v>137</v>
      </c>
      <c r="R7" s="11"/>
      <c r="S7" s="56"/>
      <c r="T7" s="11" t="s">
        <v>816</v>
      </c>
      <c r="U7" s="11" t="s">
        <v>94</v>
      </c>
      <c r="V7" s="11" t="str">
        <f>IFERROR(HYPERLINK("#Main!A"&amp;MATCH("https://africanmarketingconfederation.org/amc-conference-sponsors/",Main!A:A,0),"Jump to Main"),HYPERLINK("#Main!A1","Open Main"))</f>
        <v>Open Main</v>
      </c>
      <c r="W7" s="11"/>
      <c r="X7" s="11" t="s">
        <v>817</v>
      </c>
      <c r="Y7" t="str">
        <f>IFERROR(HYPERLINK("#Main!A"&amp;MATCH(H7,Main!A:A,0),"View URL Details"),HYPERLINK("#Main!A1","View URL Details"))</f>
        <v>View URL Details</v>
      </c>
      <c r="Z7" t="str">
        <f>IFERROR(HYPERLINK("#Main!A"&amp;MATCH(H7,Main!A:A,0),"Open"),HYPERLINK("#Main!A1","Open"))</f>
        <v>Open</v>
      </c>
      <c r="AA7" t="str">
        <f>IFERROR(INDEX('Content Optimization Hub'!A:A,MATCH(H7,'Content Optimization Hub'!C:C,0)),"Not in Hub")</f>
        <v>Not in Hub</v>
      </c>
    </row>
    <row r="8" spans="1:28" ht="60" customHeight="1" x14ac:dyDescent="0.25">
      <c r="A8" s="8" t="s">
        <v>834</v>
      </c>
      <c r="B8" s="49" t="s">
        <v>66</v>
      </c>
      <c r="C8" s="50">
        <v>105</v>
      </c>
      <c r="D8" s="36">
        <v>2</v>
      </c>
      <c r="E8" s="51" t="s">
        <v>831</v>
      </c>
      <c r="F8" s="8" t="s">
        <v>7</v>
      </c>
      <c r="G8" s="8" t="s">
        <v>811</v>
      </c>
      <c r="H8" s="59" t="s">
        <v>338</v>
      </c>
      <c r="I8" s="8" t="s">
        <v>835</v>
      </c>
      <c r="J8" s="8" t="s">
        <v>836</v>
      </c>
      <c r="K8" s="60" t="s">
        <v>98</v>
      </c>
      <c r="L8" s="60" t="s">
        <v>98</v>
      </c>
      <c r="M8" s="8" t="s">
        <v>814</v>
      </c>
      <c r="N8" s="8">
        <v>10</v>
      </c>
      <c r="O8" s="53">
        <v>5</v>
      </c>
      <c r="P8" s="49" t="s">
        <v>815</v>
      </c>
      <c r="Q8" s="49" t="s">
        <v>137</v>
      </c>
      <c r="R8" s="8"/>
      <c r="S8" s="54"/>
      <c r="T8" s="8" t="s">
        <v>816</v>
      </c>
      <c r="U8" s="8" t="s">
        <v>94</v>
      </c>
      <c r="V8" s="8" t="str">
        <f>IFERROR(HYPERLINK("#Main!A"&amp;MATCH("https://africanmarketingconfederation.org/amc-conference-sponsors/",Main!A:A,0),"Jump to Main"),HYPERLINK("#Main!A1","Open Main"))</f>
        <v>Open Main</v>
      </c>
      <c r="W8" s="8"/>
      <c r="X8" s="8" t="s">
        <v>817</v>
      </c>
      <c r="Y8" s="9" t="str">
        <f>IFERROR(HYPERLINK("#Main!A"&amp;MATCH(H8,Main!A:A,0),"View URL Details"),HYPERLINK("#Main!A1","View URL Details"))</f>
        <v>View URL Details</v>
      </c>
      <c r="Z8" s="9" t="str">
        <f>IFERROR(HYPERLINK("#Main!A"&amp;MATCH(H8,Main!A:A,0),"Open"),HYPERLINK("#Main!A1","Open"))</f>
        <v>Open</v>
      </c>
      <c r="AA8" s="9" t="str">
        <f>IFERROR(INDEX('Content Optimization Hub'!A:A,MATCH(H8,'Content Optimization Hub'!C:C,0)),"Not in Hub")</f>
        <v>Not in Hub</v>
      </c>
      <c r="AB8" s="9"/>
    </row>
    <row r="9" spans="1:28" x14ac:dyDescent="0.25">
      <c r="A9" s="11" t="s">
        <v>837</v>
      </c>
      <c r="B9" s="61" t="s">
        <v>67</v>
      </c>
      <c r="C9" s="53">
        <v>67</v>
      </c>
      <c r="D9" s="10">
        <v>0</v>
      </c>
      <c r="E9" s="55"/>
      <c r="F9" s="11" t="s">
        <v>7</v>
      </c>
      <c r="G9" s="11" t="s">
        <v>819</v>
      </c>
      <c r="H9" s="55"/>
      <c r="I9" s="11" t="s">
        <v>823</v>
      </c>
      <c r="J9" s="11" t="s">
        <v>824</v>
      </c>
      <c r="K9" s="52" t="s">
        <v>95</v>
      </c>
      <c r="L9" s="52" t="s">
        <v>95</v>
      </c>
      <c r="M9" s="11" t="s">
        <v>838</v>
      </c>
      <c r="N9" s="11">
        <v>4</v>
      </c>
      <c r="O9" s="62">
        <v>2</v>
      </c>
      <c r="P9" s="63" t="s">
        <v>839</v>
      </c>
      <c r="Q9" s="49" t="s">
        <v>137</v>
      </c>
      <c r="R9" s="11"/>
      <c r="S9" s="56"/>
      <c r="T9" s="11" t="s">
        <v>840</v>
      </c>
      <c r="U9" s="11" t="s">
        <v>94</v>
      </c>
      <c r="V9" s="11" t="str">
        <f t="shared" ref="V9:V16" si="0">HYPERLINK("#Main!A1","Open Main")</f>
        <v>Open Main</v>
      </c>
      <c r="W9" s="11"/>
      <c r="X9" s="11" t="s">
        <v>817</v>
      </c>
      <c r="Y9" t="str">
        <f>IFERROR(HYPERLINK("#Main!A"&amp;MATCH(H9,Main!A:A,0),"View URL Details"),HYPERLINK("#Main!A1","View URL Details"))</f>
        <v>View URL Details</v>
      </c>
      <c r="Z9" t="str">
        <f>IFERROR(HYPERLINK("#Main!A"&amp;MATCH(H9,Main!A:A,0),"Open"),HYPERLINK("#Main!A1","Open"))</f>
        <v>Open</v>
      </c>
      <c r="AA9" t="str">
        <f>IFERROR(INDEX('Content Optimization Hub'!A:A,MATCH(H9,'Content Optimization Hub'!C:C,0)),"Not in Hub")</f>
        <v>Not in Hub</v>
      </c>
    </row>
    <row r="10" spans="1:28" x14ac:dyDescent="0.25">
      <c r="A10" s="8" t="s">
        <v>841</v>
      </c>
      <c r="B10" s="61" t="s">
        <v>67</v>
      </c>
      <c r="C10" s="53">
        <v>67</v>
      </c>
      <c r="D10" s="36">
        <v>0</v>
      </c>
      <c r="E10" s="51"/>
      <c r="F10" s="8" t="s">
        <v>7</v>
      </c>
      <c r="G10" s="8" t="s">
        <v>819</v>
      </c>
      <c r="H10" s="51"/>
      <c r="I10" s="8" t="s">
        <v>823</v>
      </c>
      <c r="J10" s="8" t="s">
        <v>824</v>
      </c>
      <c r="K10" s="60" t="s">
        <v>98</v>
      </c>
      <c r="L10" s="60" t="s">
        <v>98</v>
      </c>
      <c r="M10" s="8" t="s">
        <v>838</v>
      </c>
      <c r="N10" s="8">
        <v>4</v>
      </c>
      <c r="O10" s="62">
        <v>2</v>
      </c>
      <c r="P10" s="63" t="s">
        <v>839</v>
      </c>
      <c r="Q10" s="49" t="s">
        <v>137</v>
      </c>
      <c r="R10" s="8"/>
      <c r="S10" s="54"/>
      <c r="T10" s="8" t="s">
        <v>840</v>
      </c>
      <c r="U10" s="8" t="s">
        <v>94</v>
      </c>
      <c r="V10" s="8" t="str">
        <f t="shared" si="0"/>
        <v>Open Main</v>
      </c>
      <c r="W10" s="8"/>
      <c r="X10" s="8" t="s">
        <v>817</v>
      </c>
      <c r="Y10" s="9" t="str">
        <f>IFERROR(HYPERLINK("#Main!A"&amp;MATCH(H10,Main!A:A,0),"View URL Details"),HYPERLINK("#Main!A1","View URL Details"))</f>
        <v>View URL Details</v>
      </c>
      <c r="Z10" s="9" t="str">
        <f>IFERROR(HYPERLINK("#Main!A"&amp;MATCH(H10,Main!A:A,0),"Open"),HYPERLINK("#Main!A1","Open"))</f>
        <v>Open</v>
      </c>
      <c r="AA10" s="9" t="str">
        <f>IFERROR(INDEX('Content Optimization Hub'!A:A,MATCH(H10,'Content Optimization Hub'!C:C,0)),"Not in Hub")</f>
        <v>Not in Hub</v>
      </c>
      <c r="AB10" s="9"/>
    </row>
    <row r="11" spans="1:28" x14ac:dyDescent="0.25">
      <c r="A11" s="11" t="s">
        <v>842</v>
      </c>
      <c r="B11" s="61" t="s">
        <v>67</v>
      </c>
      <c r="C11" s="53">
        <v>67</v>
      </c>
      <c r="D11" s="10">
        <v>0</v>
      </c>
      <c r="E11" s="55"/>
      <c r="F11" s="11" t="s">
        <v>9</v>
      </c>
      <c r="G11" s="11" t="s">
        <v>819</v>
      </c>
      <c r="H11" s="55"/>
      <c r="I11" s="11" t="s">
        <v>843</v>
      </c>
      <c r="J11" s="11" t="s">
        <v>844</v>
      </c>
      <c r="K11" s="52" t="s">
        <v>95</v>
      </c>
      <c r="L11" s="52" t="s">
        <v>95</v>
      </c>
      <c r="M11" s="11" t="s">
        <v>838</v>
      </c>
      <c r="N11" s="11">
        <v>4</v>
      </c>
      <c r="O11" s="62">
        <v>2</v>
      </c>
      <c r="P11" s="63" t="s">
        <v>839</v>
      </c>
      <c r="Q11" s="49" t="s">
        <v>137</v>
      </c>
      <c r="R11" s="11"/>
      <c r="S11" s="56"/>
      <c r="T11" s="11" t="s">
        <v>840</v>
      </c>
      <c r="U11" s="11" t="s">
        <v>94</v>
      </c>
      <c r="V11" s="11" t="str">
        <f t="shared" si="0"/>
        <v>Open Main</v>
      </c>
      <c r="W11" s="11"/>
      <c r="X11" s="11" t="s">
        <v>9</v>
      </c>
      <c r="Y11" t="str">
        <f>IFERROR(HYPERLINK("#Main!A"&amp;MATCH(H11,Main!A:A,0),"View URL Details"),HYPERLINK("#Main!A1","View URL Details"))</f>
        <v>View URL Details</v>
      </c>
      <c r="Z11" t="str">
        <f>IFERROR(HYPERLINK("#Main!A"&amp;MATCH(H11,Main!A:A,0),"Open"),HYPERLINK("#Main!A1","Open"))</f>
        <v>Open</v>
      </c>
      <c r="AA11" t="str">
        <f>IFERROR(INDEX('Content Optimization Hub'!A:A,MATCH(H11,'Content Optimization Hub'!C:C,0)),"Not in Hub")</f>
        <v>Not in Hub</v>
      </c>
    </row>
    <row r="12" spans="1:28" x14ac:dyDescent="0.25">
      <c r="A12" s="8" t="s">
        <v>845</v>
      </c>
      <c r="B12" s="61" t="s">
        <v>67</v>
      </c>
      <c r="C12" s="53">
        <v>67</v>
      </c>
      <c r="D12" s="36">
        <v>0</v>
      </c>
      <c r="E12" s="51"/>
      <c r="F12" s="8" t="s">
        <v>7</v>
      </c>
      <c r="G12" s="8" t="s">
        <v>811</v>
      </c>
      <c r="H12" s="51"/>
      <c r="I12" s="8" t="s">
        <v>823</v>
      </c>
      <c r="J12" s="8" t="s">
        <v>824</v>
      </c>
      <c r="K12" s="60" t="s">
        <v>98</v>
      </c>
      <c r="L12" s="60" t="s">
        <v>98</v>
      </c>
      <c r="M12" s="8" t="s">
        <v>838</v>
      </c>
      <c r="N12" s="8">
        <v>4</v>
      </c>
      <c r="O12" s="62">
        <v>2</v>
      </c>
      <c r="P12" s="63" t="s">
        <v>839</v>
      </c>
      <c r="Q12" s="49" t="s">
        <v>137</v>
      </c>
      <c r="R12" s="8"/>
      <c r="S12" s="54"/>
      <c r="T12" s="8" t="s">
        <v>840</v>
      </c>
      <c r="U12" s="8" t="s">
        <v>94</v>
      </c>
      <c r="V12" s="8" t="str">
        <f t="shared" si="0"/>
        <v>Open Main</v>
      </c>
      <c r="W12" s="8"/>
      <c r="X12" s="8" t="s">
        <v>817</v>
      </c>
      <c r="Y12" s="9" t="str">
        <f>IFERROR(HYPERLINK("#Main!A"&amp;MATCH(H12,Main!A:A,0),"View URL Details"),HYPERLINK("#Main!A1","View URL Details"))</f>
        <v>View URL Details</v>
      </c>
      <c r="Z12" s="9" t="str">
        <f>IFERROR(HYPERLINK("#Main!A"&amp;MATCH(H12,Main!A:A,0),"Open"),HYPERLINK("#Main!A1","Open"))</f>
        <v>Open</v>
      </c>
      <c r="AA12" s="9" t="str">
        <f>IFERROR(INDEX('Content Optimization Hub'!A:A,MATCH(H12,'Content Optimization Hub'!C:C,0)),"Not in Hub")</f>
        <v>Not in Hub</v>
      </c>
      <c r="AB12" s="9"/>
    </row>
    <row r="13" spans="1:28" x14ac:dyDescent="0.25">
      <c r="A13" s="11" t="s">
        <v>846</v>
      </c>
      <c r="B13" s="61" t="s">
        <v>67</v>
      </c>
      <c r="C13" s="53">
        <v>67</v>
      </c>
      <c r="D13" s="10">
        <v>0</v>
      </c>
      <c r="E13" s="55"/>
      <c r="F13" s="11" t="s">
        <v>7</v>
      </c>
      <c r="G13" s="11" t="s">
        <v>811</v>
      </c>
      <c r="H13" s="55"/>
      <c r="I13" s="11" t="s">
        <v>823</v>
      </c>
      <c r="J13" s="11" t="s">
        <v>824</v>
      </c>
      <c r="K13" s="60" t="s">
        <v>98</v>
      </c>
      <c r="L13" s="60" t="s">
        <v>98</v>
      </c>
      <c r="M13" s="11" t="s">
        <v>838</v>
      </c>
      <c r="N13" s="11">
        <v>4</v>
      </c>
      <c r="O13" s="62">
        <v>2</v>
      </c>
      <c r="P13" s="63" t="s">
        <v>839</v>
      </c>
      <c r="Q13" s="49" t="s">
        <v>137</v>
      </c>
      <c r="R13" s="11"/>
      <c r="S13" s="56"/>
      <c r="T13" s="11" t="s">
        <v>840</v>
      </c>
      <c r="U13" s="11" t="s">
        <v>94</v>
      </c>
      <c r="V13" s="11" t="str">
        <f t="shared" si="0"/>
        <v>Open Main</v>
      </c>
      <c r="W13" s="11"/>
      <c r="X13" s="11" t="s">
        <v>817</v>
      </c>
      <c r="Y13" t="str">
        <f>IFERROR(HYPERLINK("#Main!A"&amp;MATCH(H13,Main!A:A,0),"View URL Details"),HYPERLINK("#Main!A1","View URL Details"))</f>
        <v>View URL Details</v>
      </c>
      <c r="Z13" t="str">
        <f>IFERROR(HYPERLINK("#Main!A"&amp;MATCH(H13,Main!A:A,0),"Open"),HYPERLINK("#Main!A1","Open"))</f>
        <v>Open</v>
      </c>
      <c r="AA13" t="str">
        <f>IFERROR(INDEX('Content Optimization Hub'!A:A,MATCH(H13,'Content Optimization Hub'!C:C,0)),"Not in Hub")</f>
        <v>Not in Hub</v>
      </c>
    </row>
    <row r="14" spans="1:28" x14ac:dyDescent="0.25">
      <c r="A14" s="8" t="s">
        <v>847</v>
      </c>
      <c r="B14" s="61" t="s">
        <v>67</v>
      </c>
      <c r="C14" s="53">
        <v>67</v>
      </c>
      <c r="D14" s="36">
        <v>0</v>
      </c>
      <c r="E14" s="51"/>
      <c r="F14" s="8" t="s">
        <v>7</v>
      </c>
      <c r="G14" s="8" t="s">
        <v>811</v>
      </c>
      <c r="H14" s="51"/>
      <c r="I14" s="8" t="s">
        <v>848</v>
      </c>
      <c r="J14" s="8" t="s">
        <v>849</v>
      </c>
      <c r="K14" s="52" t="s">
        <v>95</v>
      </c>
      <c r="L14" s="52" t="s">
        <v>95</v>
      </c>
      <c r="M14" s="8" t="s">
        <v>838</v>
      </c>
      <c r="N14" s="8">
        <v>4</v>
      </c>
      <c r="O14" s="62">
        <v>2</v>
      </c>
      <c r="P14" s="63" t="s">
        <v>839</v>
      </c>
      <c r="Q14" s="49" t="s">
        <v>137</v>
      </c>
      <c r="R14" s="8"/>
      <c r="S14" s="54"/>
      <c r="T14" s="8" t="s">
        <v>840</v>
      </c>
      <c r="U14" s="8" t="s">
        <v>94</v>
      </c>
      <c r="V14" s="8" t="str">
        <f t="shared" si="0"/>
        <v>Open Main</v>
      </c>
      <c r="W14" s="8"/>
      <c r="X14" s="8" t="s">
        <v>817</v>
      </c>
      <c r="Y14" s="9" t="str">
        <f>IFERROR(HYPERLINK("#Main!A"&amp;MATCH(H14,Main!A:A,0),"View URL Details"),HYPERLINK("#Main!A1","View URL Details"))</f>
        <v>View URL Details</v>
      </c>
      <c r="Z14" s="9" t="str">
        <f>IFERROR(HYPERLINK("#Main!A"&amp;MATCH(H14,Main!A:A,0),"Open"),HYPERLINK("#Main!A1","Open"))</f>
        <v>Open</v>
      </c>
      <c r="AA14" s="9" t="str">
        <f>IFERROR(INDEX('Content Optimization Hub'!A:A,MATCH(H14,'Content Optimization Hub'!C:C,0)),"Not in Hub")</f>
        <v>Not in Hub</v>
      </c>
      <c r="AB14" s="9"/>
    </row>
    <row r="15" spans="1:28" x14ac:dyDescent="0.25">
      <c r="A15" s="11" t="s">
        <v>850</v>
      </c>
      <c r="B15" s="61" t="s">
        <v>67</v>
      </c>
      <c r="C15" s="53">
        <v>67</v>
      </c>
      <c r="D15" s="10">
        <v>0</v>
      </c>
      <c r="E15" s="55"/>
      <c r="F15" s="11" t="s">
        <v>12</v>
      </c>
      <c r="G15" s="11" t="s">
        <v>819</v>
      </c>
      <c r="H15" s="55"/>
      <c r="I15" s="11" t="s">
        <v>823</v>
      </c>
      <c r="J15" s="11" t="s">
        <v>824</v>
      </c>
      <c r="K15" s="52" t="s">
        <v>95</v>
      </c>
      <c r="L15" s="52" t="s">
        <v>95</v>
      </c>
      <c r="M15" s="11" t="s">
        <v>838</v>
      </c>
      <c r="N15" s="11">
        <v>4</v>
      </c>
      <c r="O15" s="62">
        <v>2</v>
      </c>
      <c r="P15" s="63" t="s">
        <v>839</v>
      </c>
      <c r="Q15" s="49" t="s">
        <v>137</v>
      </c>
      <c r="R15" s="11"/>
      <c r="S15" s="56"/>
      <c r="T15" s="11" t="s">
        <v>840</v>
      </c>
      <c r="U15" s="11" t="s">
        <v>94</v>
      </c>
      <c r="V15" s="11" t="str">
        <f t="shared" si="0"/>
        <v>Open Main</v>
      </c>
      <c r="W15" s="11"/>
      <c r="X15" s="11" t="s">
        <v>817</v>
      </c>
      <c r="Y15" t="str">
        <f>IFERROR(HYPERLINK("#Main!A"&amp;MATCH(H15,Main!A:A,0),"View URL Details"),HYPERLINK("#Main!A1","View URL Details"))</f>
        <v>View URL Details</v>
      </c>
      <c r="Z15" t="str">
        <f>IFERROR(HYPERLINK("#Main!A"&amp;MATCH(H15,Main!A:A,0),"Open"),HYPERLINK("#Main!A1","Open"))</f>
        <v>Open</v>
      </c>
      <c r="AA15" t="str">
        <f>IFERROR(INDEX('Content Optimization Hub'!A:A,MATCH(H15,'Content Optimization Hub'!C:C,0)),"Not in Hub")</f>
        <v>Not in Hub</v>
      </c>
    </row>
    <row r="16" spans="1:28" x14ac:dyDescent="0.25">
      <c r="A16" s="8" t="s">
        <v>851</v>
      </c>
      <c r="B16" s="61" t="s">
        <v>67</v>
      </c>
      <c r="C16" s="53">
        <v>67</v>
      </c>
      <c r="D16" s="36">
        <v>0</v>
      </c>
      <c r="E16" s="51"/>
      <c r="F16" s="8" t="s">
        <v>7</v>
      </c>
      <c r="G16" s="8" t="s">
        <v>811</v>
      </c>
      <c r="H16" s="51"/>
      <c r="I16" s="8" t="s">
        <v>823</v>
      </c>
      <c r="J16" s="8" t="s">
        <v>824</v>
      </c>
      <c r="K16" s="60" t="s">
        <v>98</v>
      </c>
      <c r="L16" s="60" t="s">
        <v>98</v>
      </c>
      <c r="M16" s="8" t="s">
        <v>838</v>
      </c>
      <c r="N16" s="8">
        <v>4</v>
      </c>
      <c r="O16" s="62">
        <v>2</v>
      </c>
      <c r="P16" s="63" t="s">
        <v>839</v>
      </c>
      <c r="Q16" s="49" t="s">
        <v>137</v>
      </c>
      <c r="R16" s="8"/>
      <c r="S16" s="54"/>
      <c r="T16" s="8" t="s">
        <v>840</v>
      </c>
      <c r="U16" s="8" t="s">
        <v>94</v>
      </c>
      <c r="V16" s="8" t="str">
        <f t="shared" si="0"/>
        <v>Open Main</v>
      </c>
      <c r="W16" s="8"/>
      <c r="X16" s="8" t="s">
        <v>817</v>
      </c>
      <c r="Y16" s="9" t="str">
        <f>IFERROR(HYPERLINK("#Main!A"&amp;MATCH(H16,Main!A:A,0),"View URL Details"),HYPERLINK("#Main!A1","View URL Details"))</f>
        <v>View URL Details</v>
      </c>
      <c r="Z16" s="9" t="str">
        <f>IFERROR(HYPERLINK("#Main!A"&amp;MATCH(H16,Main!A:A,0),"Open"),HYPERLINK("#Main!A1","Open"))</f>
        <v>Open</v>
      </c>
      <c r="AA16" s="9" t="str">
        <f>IFERROR(INDEX('Content Optimization Hub'!A:A,MATCH(H16,'Content Optimization Hub'!C:C,0)),"Not in Hub")</f>
        <v>Not in Hub</v>
      </c>
      <c r="AB16" s="9"/>
    </row>
    <row r="17" spans="1:28" ht="15.75" x14ac:dyDescent="0.25">
      <c r="A17" s="11" t="s">
        <v>852</v>
      </c>
      <c r="B17" s="61" t="s">
        <v>67</v>
      </c>
      <c r="C17" s="53">
        <v>67</v>
      </c>
      <c r="D17" s="10">
        <v>18</v>
      </c>
      <c r="E17" s="55" t="str">
        <f>HYPERLINK("#Technical!A1","SEE DETAILS IN Technical")</f>
        <v>SEE DETAILS IN Technical</v>
      </c>
      <c r="F17" s="11" t="s">
        <v>7</v>
      </c>
      <c r="G17" s="11" t="s">
        <v>819</v>
      </c>
      <c r="H17" s="58" t="s">
        <v>140</v>
      </c>
      <c r="I17" s="11" t="s">
        <v>823</v>
      </c>
      <c r="J17" s="11" t="s">
        <v>824</v>
      </c>
      <c r="K17" s="60" t="s">
        <v>98</v>
      </c>
      <c r="L17" s="60" t="s">
        <v>98</v>
      </c>
      <c r="M17" s="11" t="s">
        <v>838</v>
      </c>
      <c r="N17" s="11">
        <v>4</v>
      </c>
      <c r="O17" s="62">
        <v>2</v>
      </c>
      <c r="P17" s="63" t="s">
        <v>839</v>
      </c>
      <c r="Q17" s="49" t="s">
        <v>137</v>
      </c>
      <c r="R17" s="11"/>
      <c r="S17" s="56"/>
      <c r="T17" s="11" t="s">
        <v>840</v>
      </c>
      <c r="U17" s="11" t="s">
        <v>94</v>
      </c>
      <c r="V17" s="11" t="str">
        <f>IFERROR(HYPERLINK("#Main!A"&amp;MATCH("https://africanmarketingconfederation.org/",Main!A:A,0),"Jump to Main"),HYPERLINK("#Main!A1","Open Main"))</f>
        <v>Open Main</v>
      </c>
      <c r="W17" s="11"/>
      <c r="X17" s="11" t="s">
        <v>817</v>
      </c>
      <c r="Y17" t="str">
        <f>IFERROR(HYPERLINK("#Main!A"&amp;MATCH(H17,Main!A:A,0),"View URL Details"),HYPERLINK("#Main!A1","View URL Details"))</f>
        <v>View URL Details</v>
      </c>
      <c r="Z17" t="str">
        <f>IFERROR(HYPERLINK("#Main!A"&amp;MATCH(H17,Main!A:A,0),"Open"),HYPERLINK("#Main!A1","Open"))</f>
        <v>Open</v>
      </c>
      <c r="AA17" t="str">
        <f>IFERROR(INDEX('Content Optimization Hub'!A:A,MATCH(H17,'Content Optimization Hub'!C:C,0)),"Not in Hub")</f>
        <v>Not in Hub</v>
      </c>
    </row>
    <row r="18" spans="1:28" ht="120" customHeight="1" x14ac:dyDescent="0.25">
      <c r="A18" s="8" t="s">
        <v>853</v>
      </c>
      <c r="B18" s="61" t="s">
        <v>67</v>
      </c>
      <c r="C18" s="53">
        <v>67</v>
      </c>
      <c r="D18" s="36">
        <v>5</v>
      </c>
      <c r="E18" s="51" t="s">
        <v>854</v>
      </c>
      <c r="F18" s="8" t="s">
        <v>7</v>
      </c>
      <c r="G18" s="8" t="s">
        <v>811</v>
      </c>
      <c r="H18" s="59" t="s">
        <v>338</v>
      </c>
      <c r="I18" s="8" t="s">
        <v>855</v>
      </c>
      <c r="J18" s="8" t="s">
        <v>856</v>
      </c>
      <c r="K18" s="60" t="s">
        <v>98</v>
      </c>
      <c r="L18" s="60" t="s">
        <v>98</v>
      </c>
      <c r="M18" s="8" t="s">
        <v>838</v>
      </c>
      <c r="N18" s="8">
        <v>4</v>
      </c>
      <c r="O18" s="62">
        <v>2</v>
      </c>
      <c r="P18" s="63" t="s">
        <v>839</v>
      </c>
      <c r="Q18" s="49" t="s">
        <v>137</v>
      </c>
      <c r="R18" s="8"/>
      <c r="S18" s="54"/>
      <c r="T18" s="8" t="s">
        <v>840</v>
      </c>
      <c r="U18" s="8" t="s">
        <v>94</v>
      </c>
      <c r="V18" s="8" t="str">
        <f>IFERROR(HYPERLINK("#Main!A"&amp;MATCH("https://africanmarketingconfederation.org/amc-conference-sponsors/",Main!A:A,0),"Jump to Main"),HYPERLINK("#Main!A1","Open Main"))</f>
        <v>Open Main</v>
      </c>
      <c r="W18" s="8"/>
      <c r="X18" s="8" t="s">
        <v>817</v>
      </c>
      <c r="Y18" s="9" t="str">
        <f>IFERROR(HYPERLINK("#Main!A"&amp;MATCH(H18,Main!A:A,0),"View URL Details"),HYPERLINK("#Main!A1","View URL Details"))</f>
        <v>View URL Details</v>
      </c>
      <c r="Z18" s="9" t="str">
        <f>IFERROR(HYPERLINK("#Main!A"&amp;MATCH(H18,Main!A:A,0),"Open"),HYPERLINK("#Main!A1","Open"))</f>
        <v>Open</v>
      </c>
      <c r="AA18" s="9" t="str">
        <f>IFERROR(INDEX('Content Optimization Hub'!A:A,MATCH(H18,'Content Optimization Hub'!C:C,0)),"Not in Hub")</f>
        <v>Not in Hub</v>
      </c>
      <c r="AB18" s="9"/>
    </row>
    <row r="19" spans="1:28" ht="30" customHeight="1" x14ac:dyDescent="0.25">
      <c r="A19" s="11" t="s">
        <v>857</v>
      </c>
      <c r="B19" s="61" t="s">
        <v>67</v>
      </c>
      <c r="C19" s="53">
        <v>67</v>
      </c>
      <c r="D19" s="10">
        <v>32</v>
      </c>
      <c r="E19" s="55" t="str">
        <f>HYPERLINK("#Technical!A1","SEE DETAILS IN Technical")</f>
        <v>SEE DETAILS IN Technical</v>
      </c>
      <c r="F19" s="11" t="s">
        <v>7</v>
      </c>
      <c r="G19" s="11" t="s">
        <v>819</v>
      </c>
      <c r="H19" s="58" t="s">
        <v>674</v>
      </c>
      <c r="I19" s="11" t="s">
        <v>823</v>
      </c>
      <c r="J19" s="11" t="s">
        <v>824</v>
      </c>
      <c r="K19" s="60" t="s">
        <v>98</v>
      </c>
      <c r="L19" s="60" t="s">
        <v>98</v>
      </c>
      <c r="M19" s="11" t="s">
        <v>838</v>
      </c>
      <c r="N19" s="11">
        <v>4</v>
      </c>
      <c r="O19" s="62">
        <v>2</v>
      </c>
      <c r="P19" s="63" t="s">
        <v>839</v>
      </c>
      <c r="Q19" s="49" t="s">
        <v>137</v>
      </c>
      <c r="R19" s="11"/>
      <c r="S19" s="56"/>
      <c r="T19" s="11" t="s">
        <v>840</v>
      </c>
      <c r="U19" s="11" t="s">
        <v>94</v>
      </c>
      <c r="V19" s="11" t="str">
        <f>IFERROR(HYPERLINK("#Main!A"&amp;MATCH("https://africanmarketingconfederation.org/publication-download-list/",Main!A:A,0),"Jump to Main"),HYPERLINK("#Main!A1","Open Main"))</f>
        <v>Open Main</v>
      </c>
      <c r="W19" s="11"/>
      <c r="X19" s="11" t="s">
        <v>817</v>
      </c>
      <c r="Y19" t="str">
        <f>IFERROR(HYPERLINK("#Main!A"&amp;MATCH(H19,Main!A:A,0),"View URL Details"),HYPERLINK("#Main!A1","View URL Details"))</f>
        <v>View URL Details</v>
      </c>
      <c r="Z19" t="str">
        <f>IFERROR(HYPERLINK("#Main!A"&amp;MATCH(H19,Main!A:A,0),"Open"),HYPERLINK("#Main!A1","Open"))</f>
        <v>Open</v>
      </c>
      <c r="AA19" t="str">
        <f>IFERROR(INDEX('Content Optimization Hub'!A:A,MATCH(H19,'Content Optimization Hub'!C:C,0)),"Not in Hub")</f>
        <v>Not in Hub</v>
      </c>
    </row>
    <row r="20" spans="1:28" ht="30" customHeight="1" x14ac:dyDescent="0.25">
      <c r="A20" s="8" t="s">
        <v>858</v>
      </c>
      <c r="B20" s="61" t="s">
        <v>67</v>
      </c>
      <c r="C20" s="53">
        <v>67</v>
      </c>
      <c r="D20" s="36">
        <v>85</v>
      </c>
      <c r="E20" s="51" t="str">
        <f>HYPERLINK("#AEO!A1","SEE DETAILS IN AEO")</f>
        <v>SEE DETAILS IN AEO</v>
      </c>
      <c r="F20" s="8" t="s">
        <v>9</v>
      </c>
      <c r="G20" s="8" t="s">
        <v>819</v>
      </c>
      <c r="H20" s="59" t="s">
        <v>682</v>
      </c>
      <c r="I20" s="8" t="s">
        <v>859</v>
      </c>
      <c r="J20" s="8" t="s">
        <v>860</v>
      </c>
      <c r="K20" s="60" t="s">
        <v>98</v>
      </c>
      <c r="L20" s="60" t="s">
        <v>98</v>
      </c>
      <c r="M20" s="8" t="s">
        <v>838</v>
      </c>
      <c r="N20" s="8">
        <v>4</v>
      </c>
      <c r="O20" s="62">
        <v>2</v>
      </c>
      <c r="P20" s="63" t="s">
        <v>839</v>
      </c>
      <c r="Q20" s="49" t="s">
        <v>137</v>
      </c>
      <c r="R20" s="8"/>
      <c r="S20" s="54"/>
      <c r="T20" s="8" t="s">
        <v>840</v>
      </c>
      <c r="U20" s="8" t="s">
        <v>94</v>
      </c>
      <c r="V20" s="8" t="str">
        <f>IFERROR(HYPERLINK("#Main!A"&amp;MATCH("https://africanmarketingconfederation.org/publications-2/",Main!A:A,0),"Jump to Main"),HYPERLINK("#Main!A1","Open Main"))</f>
        <v>Open Main</v>
      </c>
      <c r="W20" s="8"/>
      <c r="X20" s="8" t="s">
        <v>9</v>
      </c>
      <c r="Y20" s="9" t="str">
        <f>IFERROR(HYPERLINK("#Main!A"&amp;MATCH(H20,Main!A:A,0),"View URL Details"),HYPERLINK("#Main!A1","View URL Details"))</f>
        <v>View URL Details</v>
      </c>
      <c r="Z20" s="9" t="str">
        <f>IFERROR(HYPERLINK("#Main!A"&amp;MATCH(H20,Main!A:A,0),"Open"),HYPERLINK("#Main!A1","Open"))</f>
        <v>Open</v>
      </c>
      <c r="AA20" s="9" t="str">
        <f>IFERROR(INDEX('Content Optimization Hub'!A:A,MATCH(H20,'Content Optimization Hub'!C:C,0)),"Not in Hub")</f>
        <v>Not in Hub</v>
      </c>
      <c r="AB20" s="9"/>
    </row>
    <row r="21" spans="1:28" x14ac:dyDescent="0.25">
      <c r="A21" s="6" t="s">
        <v>861</v>
      </c>
      <c r="B21" s="64" t="s">
        <v>68</v>
      </c>
      <c r="C21" s="65">
        <v>37</v>
      </c>
      <c r="D21" s="10">
        <v>0</v>
      </c>
      <c r="E21" s="55"/>
      <c r="F21" s="11" t="s">
        <v>7</v>
      </c>
      <c r="G21" s="11" t="s">
        <v>811</v>
      </c>
      <c r="H21" s="55"/>
      <c r="I21" s="11" t="s">
        <v>823</v>
      </c>
      <c r="J21" s="11" t="s">
        <v>824</v>
      </c>
      <c r="K21" s="52" t="s">
        <v>95</v>
      </c>
      <c r="L21" s="52" t="s">
        <v>95</v>
      </c>
      <c r="M21" s="11" t="s">
        <v>838</v>
      </c>
      <c r="N21" s="11">
        <v>4</v>
      </c>
      <c r="O21" s="62">
        <v>2</v>
      </c>
      <c r="P21" s="64" t="s">
        <v>862</v>
      </c>
      <c r="Q21" s="11" t="s">
        <v>863</v>
      </c>
      <c r="R21" s="11"/>
      <c r="S21" s="56"/>
      <c r="T21" s="11" t="s">
        <v>97</v>
      </c>
      <c r="U21" s="11" t="s">
        <v>864</v>
      </c>
      <c r="V21" s="11" t="str">
        <f>HYPERLINK("#Main!A1","Open Main")</f>
        <v>Open Main</v>
      </c>
      <c r="W21" s="11"/>
      <c r="X21" s="11" t="s">
        <v>817</v>
      </c>
      <c r="Y21" t="str">
        <f>IFERROR(HYPERLINK("#Main!A"&amp;MATCH(H21,Main!A:A,0),"View URL Details"),HYPERLINK("#Main!A1","View URL Details"))</f>
        <v>View URL Details</v>
      </c>
      <c r="Z21" t="str">
        <f>IFERROR(HYPERLINK("#Main!A"&amp;MATCH(H21,Main!A:A,0),"Open"),HYPERLINK("#Main!A1","Open"))</f>
        <v>Open</v>
      </c>
      <c r="AA21" t="str">
        <f>IFERROR(INDEX('Content Optimization Hub'!A:A,MATCH(H21,'Content Optimization Hub'!C:C,0)),"Not in Hub")</f>
        <v>Not in Hub</v>
      </c>
    </row>
    <row r="22" spans="1:28" x14ac:dyDescent="0.25">
      <c r="A22" s="6" t="s">
        <v>865</v>
      </c>
      <c r="B22" s="64" t="s">
        <v>68</v>
      </c>
      <c r="C22" s="65">
        <v>37</v>
      </c>
      <c r="D22" s="36">
        <v>0</v>
      </c>
      <c r="E22" s="51"/>
      <c r="F22" s="8" t="s">
        <v>11</v>
      </c>
      <c r="G22" s="8" t="s">
        <v>811</v>
      </c>
      <c r="H22" s="51"/>
      <c r="I22" s="8" t="s">
        <v>823</v>
      </c>
      <c r="J22" s="8" t="s">
        <v>824</v>
      </c>
      <c r="K22" s="60" t="s">
        <v>98</v>
      </c>
      <c r="L22" s="60" t="s">
        <v>98</v>
      </c>
      <c r="M22" s="8" t="s">
        <v>838</v>
      </c>
      <c r="N22" s="8">
        <v>4</v>
      </c>
      <c r="O22" s="62">
        <v>2</v>
      </c>
      <c r="P22" s="64" t="s">
        <v>862</v>
      </c>
      <c r="Q22" s="8" t="s">
        <v>863</v>
      </c>
      <c r="R22" s="8"/>
      <c r="S22" s="54"/>
      <c r="T22" s="8" t="s">
        <v>97</v>
      </c>
      <c r="U22" s="8" t="s">
        <v>864</v>
      </c>
      <c r="V22" s="8" t="str">
        <f>HYPERLINK("#Main!A1","Open Main")</f>
        <v>Open Main</v>
      </c>
      <c r="W22" s="8"/>
      <c r="X22" s="8" t="s">
        <v>817</v>
      </c>
      <c r="Y22" s="9" t="str">
        <f>IFERROR(HYPERLINK("#Main!A"&amp;MATCH(H22,Main!A:A,0),"View URL Details"),HYPERLINK("#Main!A1","View URL Details"))</f>
        <v>View URL Details</v>
      </c>
      <c r="Z22" s="9" t="str">
        <f>IFERROR(HYPERLINK("#Main!A"&amp;MATCH(H22,Main!A:A,0),"Open"),HYPERLINK("#Main!A1","Open"))</f>
        <v>Open</v>
      </c>
      <c r="AA22" s="9" t="str">
        <f>IFERROR(INDEX('Content Optimization Hub'!A:A,MATCH(H22,'Content Optimization Hub'!C:C,0)),"Not in Hub")</f>
        <v>Not in Hub</v>
      </c>
      <c r="AB22" s="9"/>
    </row>
    <row r="23" spans="1:28" x14ac:dyDescent="0.25">
      <c r="A23" s="6" t="s">
        <v>866</v>
      </c>
      <c r="B23" s="64" t="s">
        <v>68</v>
      </c>
      <c r="C23" s="65">
        <v>37</v>
      </c>
      <c r="D23" s="10">
        <v>0</v>
      </c>
      <c r="E23" s="55"/>
      <c r="F23" s="11" t="s">
        <v>7</v>
      </c>
      <c r="G23" s="11" t="s">
        <v>811</v>
      </c>
      <c r="H23" s="55"/>
      <c r="I23" s="11" t="s">
        <v>823</v>
      </c>
      <c r="J23" s="11" t="s">
        <v>824</v>
      </c>
      <c r="K23" s="60" t="s">
        <v>98</v>
      </c>
      <c r="L23" s="60" t="s">
        <v>98</v>
      </c>
      <c r="M23" s="11" t="s">
        <v>838</v>
      </c>
      <c r="N23" s="11">
        <v>4</v>
      </c>
      <c r="O23" s="62">
        <v>2</v>
      </c>
      <c r="P23" s="64" t="s">
        <v>862</v>
      </c>
      <c r="Q23" s="11" t="s">
        <v>863</v>
      </c>
      <c r="R23" s="11"/>
      <c r="S23" s="56"/>
      <c r="T23" s="11" t="s">
        <v>97</v>
      </c>
      <c r="U23" s="11" t="s">
        <v>864</v>
      </c>
      <c r="V23" s="11" t="str">
        <f>HYPERLINK("#Main!A1","Open Main")</f>
        <v>Open Main</v>
      </c>
      <c r="W23" s="11"/>
      <c r="X23" s="11" t="s">
        <v>817</v>
      </c>
      <c r="Y23" t="str">
        <f>IFERROR(HYPERLINK("#Main!A"&amp;MATCH(H23,Main!A:A,0),"View URL Details"),HYPERLINK("#Main!A1","View URL Details"))</f>
        <v>View URL Details</v>
      </c>
      <c r="Z23" t="str">
        <f>IFERROR(HYPERLINK("#Main!A"&amp;MATCH(H23,Main!A:A,0),"Open"),HYPERLINK("#Main!A1","Open"))</f>
        <v>Open</v>
      </c>
      <c r="AA23" t="str">
        <f>IFERROR(INDEX('Content Optimization Hub'!A:A,MATCH(H23,'Content Optimization Hub'!C:C,0)),"Not in Hub")</f>
        <v>Not in Hub</v>
      </c>
    </row>
    <row r="24" spans="1:28" x14ac:dyDescent="0.25">
      <c r="A24" s="6" t="s">
        <v>867</v>
      </c>
      <c r="B24" s="64" t="s">
        <v>68</v>
      </c>
      <c r="C24" s="65">
        <v>37</v>
      </c>
      <c r="D24" s="36">
        <v>0</v>
      </c>
      <c r="E24" s="51"/>
      <c r="F24" s="8" t="s">
        <v>7</v>
      </c>
      <c r="G24" s="8" t="s">
        <v>811</v>
      </c>
      <c r="H24" s="51"/>
      <c r="I24" s="8" t="s">
        <v>823</v>
      </c>
      <c r="J24" s="8" t="s">
        <v>824</v>
      </c>
      <c r="K24" s="60" t="s">
        <v>98</v>
      </c>
      <c r="L24" s="60" t="s">
        <v>98</v>
      </c>
      <c r="M24" s="8" t="s">
        <v>838</v>
      </c>
      <c r="N24" s="8">
        <v>4</v>
      </c>
      <c r="O24" s="62">
        <v>2</v>
      </c>
      <c r="P24" s="64" t="s">
        <v>862</v>
      </c>
      <c r="Q24" s="8" t="s">
        <v>863</v>
      </c>
      <c r="R24" s="8"/>
      <c r="S24" s="54"/>
      <c r="T24" s="8" t="s">
        <v>97</v>
      </c>
      <c r="U24" s="8" t="s">
        <v>864</v>
      </c>
      <c r="V24" s="8" t="str">
        <f>HYPERLINK("#Main!A1","Open Main")</f>
        <v>Open Main</v>
      </c>
      <c r="W24" s="8"/>
      <c r="X24" s="8" t="s">
        <v>817</v>
      </c>
      <c r="Y24" s="9" t="str">
        <f>IFERROR(HYPERLINK("#Main!A"&amp;MATCH(H24,Main!A:A,0),"View URL Details"),HYPERLINK("#Main!A1","View URL Details"))</f>
        <v>View URL Details</v>
      </c>
      <c r="Z24" s="9" t="str">
        <f>IFERROR(HYPERLINK("#Main!A"&amp;MATCH(H24,Main!A:A,0),"Open"),HYPERLINK("#Main!A1","Open"))</f>
        <v>Open</v>
      </c>
      <c r="AA24" s="9" t="str">
        <f>IFERROR(INDEX('Content Optimization Hub'!A:A,MATCH(H24,'Content Optimization Hub'!C:C,0)),"Not in Hub")</f>
        <v>Not in Hub</v>
      </c>
      <c r="AB24" s="9"/>
    </row>
    <row r="25" spans="1:28" x14ac:dyDescent="0.25">
      <c r="A25" s="6" t="s">
        <v>868</v>
      </c>
      <c r="B25" s="64" t="s">
        <v>68</v>
      </c>
      <c r="C25" s="65">
        <v>37</v>
      </c>
      <c r="D25" s="10">
        <v>0</v>
      </c>
      <c r="E25" s="55"/>
      <c r="F25" s="11" t="s">
        <v>7</v>
      </c>
      <c r="G25" s="11" t="s">
        <v>811</v>
      </c>
      <c r="H25" s="55"/>
      <c r="I25" s="11" t="s">
        <v>823</v>
      </c>
      <c r="J25" s="11" t="s">
        <v>824</v>
      </c>
      <c r="K25" s="60" t="s">
        <v>98</v>
      </c>
      <c r="L25" s="60" t="s">
        <v>98</v>
      </c>
      <c r="M25" s="11" t="s">
        <v>838</v>
      </c>
      <c r="N25" s="11">
        <v>4</v>
      </c>
      <c r="O25" s="62">
        <v>2</v>
      </c>
      <c r="P25" s="64" t="s">
        <v>862</v>
      </c>
      <c r="Q25" s="11" t="s">
        <v>863</v>
      </c>
      <c r="R25" s="11"/>
      <c r="S25" s="56"/>
      <c r="T25" s="11" t="s">
        <v>97</v>
      </c>
      <c r="U25" s="11" t="s">
        <v>864</v>
      </c>
      <c r="V25" s="11" t="str">
        <f>HYPERLINK("#Main!A1","Open Main")</f>
        <v>Open Main</v>
      </c>
      <c r="W25" s="11"/>
      <c r="X25" s="11" t="s">
        <v>817</v>
      </c>
      <c r="Y25" t="str">
        <f>IFERROR(HYPERLINK("#Main!A"&amp;MATCH(H25,Main!A:A,0),"View URL Details"),HYPERLINK("#Main!A1","View URL Details"))</f>
        <v>View URL Details</v>
      </c>
      <c r="Z25" t="str">
        <f>IFERROR(HYPERLINK("#Main!A"&amp;MATCH(H25,Main!A:A,0),"Open"),HYPERLINK("#Main!A1","Open"))</f>
        <v>Open</v>
      </c>
      <c r="AA25" t="str">
        <f>IFERROR(INDEX('Content Optimization Hub'!A:A,MATCH(H25,'Content Optimization Hub'!C:C,0)),"Not in Hub")</f>
        <v>Not in Hub</v>
      </c>
    </row>
    <row r="26" spans="1:28" ht="45" customHeight="1" x14ac:dyDescent="0.25">
      <c r="A26" s="6" t="s">
        <v>869</v>
      </c>
      <c r="B26" s="64" t="s">
        <v>68</v>
      </c>
      <c r="C26" s="65">
        <v>37</v>
      </c>
      <c r="D26" s="36">
        <v>2</v>
      </c>
      <c r="E26" s="51" t="s">
        <v>870</v>
      </c>
      <c r="F26" s="8" t="s">
        <v>7</v>
      </c>
      <c r="G26" s="8" t="s">
        <v>811</v>
      </c>
      <c r="H26" s="59" t="s">
        <v>322</v>
      </c>
      <c r="I26" s="8" t="s">
        <v>823</v>
      </c>
      <c r="J26" s="8" t="s">
        <v>824</v>
      </c>
      <c r="K26" s="60" t="s">
        <v>98</v>
      </c>
      <c r="L26" s="60" t="s">
        <v>98</v>
      </c>
      <c r="M26" s="8" t="s">
        <v>838</v>
      </c>
      <c r="N26" s="8">
        <v>4</v>
      </c>
      <c r="O26" s="62">
        <v>2</v>
      </c>
      <c r="P26" s="64" t="s">
        <v>862</v>
      </c>
      <c r="Q26" s="8" t="s">
        <v>863</v>
      </c>
      <c r="R26" s="8"/>
      <c r="S26" s="54"/>
      <c r="T26" s="8" t="s">
        <v>97</v>
      </c>
      <c r="U26" s="8" t="s">
        <v>864</v>
      </c>
      <c r="V26" s="8" t="str">
        <f>IFERROR(HYPERLINK("#Main!A"&amp;MATCH("https://africanmarketingconfederation.org/amc-conference-2026/",Main!A:A,0),"Jump to Main"),HYPERLINK("#Main!A1","Open Main"))</f>
        <v>Open Main</v>
      </c>
      <c r="W26" s="8"/>
      <c r="X26" s="8" t="s">
        <v>817</v>
      </c>
      <c r="Y26" s="9" t="str">
        <f>IFERROR(HYPERLINK("#Main!A"&amp;MATCH(H26,Main!A:A,0),"View URL Details"),HYPERLINK("#Main!A1","View URL Details"))</f>
        <v>View URL Details</v>
      </c>
      <c r="Z26" s="9" t="str">
        <f>IFERROR(HYPERLINK("#Main!A"&amp;MATCH(H26,Main!A:A,0),"Open"),HYPERLINK("#Main!A1","Open"))</f>
        <v>Open</v>
      </c>
      <c r="AA26" s="9" t="str">
        <f>IFERROR(INDEX('Content Optimization Hub'!A:A,MATCH(H26,'Content Optimization Hub'!C:C,0)),"Not in Hub")</f>
        <v>Not in Hub</v>
      </c>
      <c r="AB26" s="9"/>
    </row>
    <row r="27" spans="1:28" ht="60" customHeight="1" x14ac:dyDescent="0.25">
      <c r="A27" s="6" t="s">
        <v>871</v>
      </c>
      <c r="B27" s="64" t="s">
        <v>68</v>
      </c>
      <c r="C27" s="65">
        <v>37</v>
      </c>
      <c r="D27" s="10">
        <v>2</v>
      </c>
      <c r="E27" s="55" t="s">
        <v>831</v>
      </c>
      <c r="F27" s="11" t="s">
        <v>7</v>
      </c>
      <c r="G27" s="11" t="s">
        <v>811</v>
      </c>
      <c r="H27" s="58" t="s">
        <v>338</v>
      </c>
      <c r="I27" s="11" t="s">
        <v>823</v>
      </c>
      <c r="J27" s="11" t="s">
        <v>824</v>
      </c>
      <c r="K27" s="60" t="s">
        <v>98</v>
      </c>
      <c r="L27" s="60" t="s">
        <v>98</v>
      </c>
      <c r="M27" s="11" t="s">
        <v>838</v>
      </c>
      <c r="N27" s="11">
        <v>4</v>
      </c>
      <c r="O27" s="62">
        <v>2</v>
      </c>
      <c r="P27" s="64" t="s">
        <v>862</v>
      </c>
      <c r="Q27" s="11" t="s">
        <v>863</v>
      </c>
      <c r="R27" s="11"/>
      <c r="S27" s="56"/>
      <c r="T27" s="11" t="s">
        <v>97</v>
      </c>
      <c r="U27" s="11" t="s">
        <v>864</v>
      </c>
      <c r="V27" s="11" t="str">
        <f>IFERROR(HYPERLINK("#Main!A"&amp;MATCH("https://africanmarketingconfederation.org/amc-conference-sponsors/",Main!A:A,0),"Jump to Main"),HYPERLINK("#Main!A1","Open Main"))</f>
        <v>Open Main</v>
      </c>
      <c r="W27" s="11"/>
      <c r="X27" s="11" t="s">
        <v>817</v>
      </c>
      <c r="Y27" t="str">
        <f>IFERROR(HYPERLINK("#Main!A"&amp;MATCH(H27,Main!A:A,0),"View URL Details"),HYPERLINK("#Main!A1","View URL Details"))</f>
        <v>View URL Details</v>
      </c>
      <c r="Z27" t="str">
        <f>IFERROR(HYPERLINK("#Main!A"&amp;MATCH(H27,Main!A:A,0),"Open"),HYPERLINK("#Main!A1","Open"))</f>
        <v>Open</v>
      </c>
      <c r="AA27" t="str">
        <f>IFERROR(INDEX('Content Optimization Hub'!A:A,MATCH(H27,'Content Optimization Hub'!C:C,0)),"Not in Hub")</f>
        <v>Not in Hub</v>
      </c>
    </row>
    <row r="28" spans="1:28" ht="30" customHeight="1" x14ac:dyDescent="0.25">
      <c r="A28" s="6" t="s">
        <v>102</v>
      </c>
      <c r="B28" s="64" t="s">
        <v>68</v>
      </c>
      <c r="C28" s="65">
        <v>37</v>
      </c>
      <c r="D28" s="36">
        <v>85</v>
      </c>
      <c r="E28" s="51" t="str">
        <f>HYPERLINK("#Technical!A1","SEE DETAILS IN Technical")</f>
        <v>SEE DETAILS IN Technical</v>
      </c>
      <c r="F28" s="8" t="s">
        <v>7</v>
      </c>
      <c r="G28" s="8" t="s">
        <v>819</v>
      </c>
      <c r="H28" s="59" t="s">
        <v>682</v>
      </c>
      <c r="I28" s="8" t="s">
        <v>823</v>
      </c>
      <c r="J28" s="8" t="s">
        <v>824</v>
      </c>
      <c r="K28" s="57" t="s">
        <v>825</v>
      </c>
      <c r="L28" s="57" t="s">
        <v>825</v>
      </c>
      <c r="M28" s="8" t="s">
        <v>838</v>
      </c>
      <c r="N28" s="8">
        <v>4</v>
      </c>
      <c r="O28" s="62">
        <v>2</v>
      </c>
      <c r="P28" s="64" t="s">
        <v>862</v>
      </c>
      <c r="Q28" s="8" t="s">
        <v>863</v>
      </c>
      <c r="R28" s="8"/>
      <c r="S28" s="54"/>
      <c r="T28" s="8" t="s">
        <v>97</v>
      </c>
      <c r="U28" s="8" t="s">
        <v>864</v>
      </c>
      <c r="V28" s="8" t="str">
        <f>IFERROR(HYPERLINK("#Main!A"&amp;MATCH("https://africanmarketingconfederation.org/publications-2/",Main!A:A,0),"Jump to Main"),HYPERLINK("#Main!A1","Open Main"))</f>
        <v>Open Main</v>
      </c>
      <c r="W28" s="8"/>
      <c r="X28" s="8" t="s">
        <v>817</v>
      </c>
      <c r="Y28" s="9" t="str">
        <f>IFERROR(HYPERLINK("#Main!A"&amp;MATCH(H28,Main!A:A,0),"View URL Details"),HYPERLINK("#Main!A1","View URL Details"))</f>
        <v>View URL Details</v>
      </c>
      <c r="Z28" s="9" t="str">
        <f>IFERROR(HYPERLINK("#Main!A"&amp;MATCH(H28,Main!A:A,0),"Open"),HYPERLINK("#Main!A1","Open"))</f>
        <v>Open</v>
      </c>
      <c r="AA28" s="9" t="str">
        <f>IFERROR(INDEX('Content Optimization Hub'!A:A,MATCH(H28,'Content Optimization Hub'!C:C,0)),"Not in Hub")</f>
        <v>Not in Hub</v>
      </c>
      <c r="AB28" s="9"/>
    </row>
    <row r="29" spans="1:28" ht="30" customHeight="1" x14ac:dyDescent="0.25">
      <c r="A29" s="6" t="s">
        <v>872</v>
      </c>
      <c r="B29" s="64" t="s">
        <v>68</v>
      </c>
      <c r="C29" s="65">
        <v>37</v>
      </c>
      <c r="D29" s="10">
        <v>85</v>
      </c>
      <c r="E29" s="55" t="str">
        <f>HYPERLINK("#Technical!A1","SEE DETAILS IN Technical")</f>
        <v>SEE DETAILS IN Technical</v>
      </c>
      <c r="F29" s="11" t="s">
        <v>7</v>
      </c>
      <c r="G29" s="11" t="s">
        <v>819</v>
      </c>
      <c r="H29" s="58" t="s">
        <v>682</v>
      </c>
      <c r="I29" s="11" t="s">
        <v>823</v>
      </c>
      <c r="J29" s="11" t="s">
        <v>824</v>
      </c>
      <c r="K29" s="57" t="s">
        <v>825</v>
      </c>
      <c r="L29" s="57" t="s">
        <v>825</v>
      </c>
      <c r="M29" s="11" t="s">
        <v>838</v>
      </c>
      <c r="N29" s="11">
        <v>4</v>
      </c>
      <c r="O29" s="62">
        <v>2</v>
      </c>
      <c r="P29" s="64" t="s">
        <v>862</v>
      </c>
      <c r="Q29" s="11" t="s">
        <v>863</v>
      </c>
      <c r="R29" s="11"/>
      <c r="S29" s="56"/>
      <c r="T29" s="11" t="s">
        <v>97</v>
      </c>
      <c r="U29" s="11" t="s">
        <v>864</v>
      </c>
      <c r="V29" s="11" t="str">
        <f>IFERROR(HYPERLINK("#Main!A"&amp;MATCH("https://africanmarketingconfederation.org/publications-2/",Main!A:A,0),"Jump to Main"),HYPERLINK("#Main!A1","Open Main"))</f>
        <v>Open Main</v>
      </c>
      <c r="W29" s="11"/>
      <c r="X29" s="11" t="s">
        <v>817</v>
      </c>
      <c r="Y29" t="str">
        <f>IFERROR(HYPERLINK("#Main!A"&amp;MATCH(H29,Main!A:A,0),"View URL Details"),HYPERLINK("#Main!A1","View URL Details"))</f>
        <v>View URL Details</v>
      </c>
      <c r="Z29" t="str">
        <f>IFERROR(HYPERLINK("#Main!A"&amp;MATCH(H29,Main!A:A,0),"Open"),HYPERLINK("#Main!A1","Open"))</f>
        <v>Open</v>
      </c>
      <c r="AA29" t="str">
        <f>IFERROR(INDEX('Content Optimization Hub'!A:A,MATCH(H29,'Content Optimization Hub'!C:C,0)),"Not in Hub")</f>
        <v>Not in Hub</v>
      </c>
    </row>
    <row r="30" spans="1:28" ht="30" customHeight="1" x14ac:dyDescent="0.25">
      <c r="A30" s="6" t="s">
        <v>873</v>
      </c>
      <c r="B30" s="64" t="s">
        <v>68</v>
      </c>
      <c r="C30" s="65">
        <v>37</v>
      </c>
      <c r="D30" s="36">
        <v>85</v>
      </c>
      <c r="E30" s="51" t="str">
        <f>HYPERLINK("#Technical!A1","SEE DETAILS IN Technical")</f>
        <v>SEE DETAILS IN Technical</v>
      </c>
      <c r="F30" s="8" t="s">
        <v>7</v>
      </c>
      <c r="G30" s="8" t="s">
        <v>819</v>
      </c>
      <c r="H30" s="59" t="s">
        <v>682</v>
      </c>
      <c r="I30" s="8" t="s">
        <v>823</v>
      </c>
      <c r="J30" s="8" t="s">
        <v>824</v>
      </c>
      <c r="K30" s="57" t="s">
        <v>825</v>
      </c>
      <c r="L30" s="57" t="s">
        <v>825</v>
      </c>
      <c r="M30" s="8" t="s">
        <v>838</v>
      </c>
      <c r="N30" s="8">
        <v>4</v>
      </c>
      <c r="O30" s="62">
        <v>2</v>
      </c>
      <c r="P30" s="64" t="s">
        <v>862</v>
      </c>
      <c r="Q30" s="8" t="s">
        <v>863</v>
      </c>
      <c r="R30" s="8"/>
      <c r="S30" s="54"/>
      <c r="T30" s="8" t="s">
        <v>97</v>
      </c>
      <c r="U30" s="8" t="s">
        <v>864</v>
      </c>
      <c r="V30" s="8" t="str">
        <f>IFERROR(HYPERLINK("#Main!A"&amp;MATCH("https://africanmarketingconfederation.org/publications-2/",Main!A:A,0),"Jump to Main"),HYPERLINK("#Main!A1","Open Main"))</f>
        <v>Open Main</v>
      </c>
      <c r="W30" s="8"/>
      <c r="X30" s="8" t="s">
        <v>817</v>
      </c>
      <c r="Y30" s="9" t="str">
        <f>IFERROR(HYPERLINK("#Main!A"&amp;MATCH(H30,Main!A:A,0),"View URL Details"),HYPERLINK("#Main!A1","View URL Details"))</f>
        <v>View URL Details</v>
      </c>
      <c r="Z30" s="9" t="str">
        <f>IFERROR(HYPERLINK("#Main!A"&amp;MATCH(H30,Main!A:A,0),"Open"),HYPERLINK("#Main!A1","Open"))</f>
        <v>Open</v>
      </c>
      <c r="AA30" s="9" t="str">
        <f>IFERROR(INDEX('Content Optimization Hub'!A:A,MATCH(H30,'Content Optimization Hub'!C:C,0)),"Not in Hub")</f>
        <v>Not in Hub</v>
      </c>
      <c r="AB30" s="9"/>
    </row>
    <row r="31" spans="1:28" ht="30" customHeight="1" x14ac:dyDescent="0.25">
      <c r="A31" s="6" t="s">
        <v>874</v>
      </c>
      <c r="B31" s="64" t="s">
        <v>68</v>
      </c>
      <c r="C31" s="65">
        <v>37</v>
      </c>
      <c r="D31" s="10">
        <v>85</v>
      </c>
      <c r="E31" s="55" t="str">
        <f>HYPERLINK("#AEO!A1","SEE DETAILS IN AEO")</f>
        <v>SEE DETAILS IN AEO</v>
      </c>
      <c r="F31" s="11" t="s">
        <v>9</v>
      </c>
      <c r="G31" s="11" t="s">
        <v>819</v>
      </c>
      <c r="H31" s="58" t="s">
        <v>682</v>
      </c>
      <c r="I31" s="11" t="s">
        <v>875</v>
      </c>
      <c r="J31" s="11" t="s">
        <v>876</v>
      </c>
      <c r="K31" s="60" t="s">
        <v>98</v>
      </c>
      <c r="L31" s="60" t="s">
        <v>98</v>
      </c>
      <c r="M31" s="11" t="s">
        <v>838</v>
      </c>
      <c r="N31" s="11">
        <v>4</v>
      </c>
      <c r="O31" s="62">
        <v>2</v>
      </c>
      <c r="P31" s="64" t="s">
        <v>862</v>
      </c>
      <c r="Q31" s="11" t="s">
        <v>863</v>
      </c>
      <c r="R31" s="11"/>
      <c r="S31" s="56"/>
      <c r="T31" s="11" t="s">
        <v>97</v>
      </c>
      <c r="U31" s="11" t="s">
        <v>864</v>
      </c>
      <c r="V31" s="11" t="str">
        <f>IFERROR(HYPERLINK("#Main!A"&amp;MATCH("https://africanmarketingconfederation.org/publications-2/",Main!A:A,0),"Jump to Main"),HYPERLINK("#Main!A1","Open Main"))</f>
        <v>Open Main</v>
      </c>
      <c r="W31" s="11"/>
      <c r="X31" s="11" t="s">
        <v>9</v>
      </c>
      <c r="Y31" t="str">
        <f>IFERROR(HYPERLINK("#Main!A"&amp;MATCH(H31,Main!A:A,0),"View URL Details"),HYPERLINK("#Main!A1","View URL Details"))</f>
        <v>View URL Details</v>
      </c>
      <c r="Z31" t="str">
        <f>IFERROR(HYPERLINK("#Main!A"&amp;MATCH(H31,Main!A:A,0),"Open"),HYPERLINK("#Main!A1","Open"))</f>
        <v>Open</v>
      </c>
      <c r="AA31" t="str">
        <f>IFERROR(INDEX('Content Optimization Hub'!A:A,MATCH(H31,'Content Optimization Hub'!C:C,0)),"Not in Hub")</f>
        <v>Not in Hub</v>
      </c>
    </row>
    <row r="32" spans="1:28" ht="30" customHeight="1" x14ac:dyDescent="0.25">
      <c r="A32" s="6" t="s">
        <v>877</v>
      </c>
      <c r="B32" s="64" t="s">
        <v>68</v>
      </c>
      <c r="C32" s="65">
        <v>37</v>
      </c>
      <c r="D32" s="36">
        <v>85</v>
      </c>
      <c r="E32" s="51" t="str">
        <f>HYPERLINK("#AEO!A1","SEE DETAILS IN AEO")</f>
        <v>SEE DETAILS IN AEO</v>
      </c>
      <c r="F32" s="8" t="s">
        <v>9</v>
      </c>
      <c r="G32" s="8" t="s">
        <v>819</v>
      </c>
      <c r="H32" s="59" t="s">
        <v>682</v>
      </c>
      <c r="I32" s="8" t="s">
        <v>878</v>
      </c>
      <c r="J32" s="8" t="s">
        <v>879</v>
      </c>
      <c r="K32" s="60" t="s">
        <v>98</v>
      </c>
      <c r="L32" s="60" t="s">
        <v>98</v>
      </c>
      <c r="M32" s="8" t="s">
        <v>838</v>
      </c>
      <c r="N32" s="8">
        <v>4</v>
      </c>
      <c r="O32" s="62">
        <v>2</v>
      </c>
      <c r="P32" s="64" t="s">
        <v>862</v>
      </c>
      <c r="Q32" s="8" t="s">
        <v>863</v>
      </c>
      <c r="R32" s="8"/>
      <c r="S32" s="54"/>
      <c r="T32" s="8" t="s">
        <v>97</v>
      </c>
      <c r="U32" s="8" t="s">
        <v>864</v>
      </c>
      <c r="V32" s="8" t="str">
        <f>IFERROR(HYPERLINK("#Main!A"&amp;MATCH("https://africanmarketingconfederation.org/publications-2/",Main!A:A,0),"Jump to Main"),HYPERLINK("#Main!A1","Open Main"))</f>
        <v>Open Main</v>
      </c>
      <c r="W32" s="8"/>
      <c r="X32" s="8" t="s">
        <v>9</v>
      </c>
      <c r="Y32" s="9" t="str">
        <f>IFERROR(HYPERLINK("#Main!A"&amp;MATCH(H32,Main!A:A,0),"View URL Details"),HYPERLINK("#Main!A1","View URL Details"))</f>
        <v>View URL Details</v>
      </c>
      <c r="Z32" s="9" t="str">
        <f>IFERROR(HYPERLINK("#Main!A"&amp;MATCH(H32,Main!A:A,0),"Open"),HYPERLINK("#Main!A1","Open"))</f>
        <v>Open</v>
      </c>
      <c r="AA32" s="9" t="str">
        <f>IFERROR(INDEX('Content Optimization Hub'!A:A,MATCH(H32,'Content Optimization Hub'!C:C,0)),"Not in Hub")</f>
        <v>Not in Hub</v>
      </c>
      <c r="AB32" s="9"/>
    </row>
    <row r="33" spans="1:28" ht="30" customHeight="1" x14ac:dyDescent="0.25">
      <c r="A33" s="6" t="s">
        <v>880</v>
      </c>
      <c r="B33" s="64" t="s">
        <v>68</v>
      </c>
      <c r="C33" s="65">
        <v>37</v>
      </c>
      <c r="D33" s="10">
        <v>85</v>
      </c>
      <c r="E33" s="55" t="str">
        <f>HYPERLINK("#AEO!A1","SEE DETAILS IN AEO")</f>
        <v>SEE DETAILS IN AEO</v>
      </c>
      <c r="F33" s="11" t="s">
        <v>9</v>
      </c>
      <c r="G33" s="11" t="s">
        <v>819</v>
      </c>
      <c r="H33" s="58" t="s">
        <v>682</v>
      </c>
      <c r="I33" s="11" t="s">
        <v>881</v>
      </c>
      <c r="J33" s="11" t="s">
        <v>882</v>
      </c>
      <c r="K33" s="60" t="s">
        <v>98</v>
      </c>
      <c r="L33" s="60" t="s">
        <v>98</v>
      </c>
      <c r="M33" s="11" t="s">
        <v>838</v>
      </c>
      <c r="N33" s="11">
        <v>4</v>
      </c>
      <c r="O33" s="62">
        <v>2</v>
      </c>
      <c r="P33" s="64" t="s">
        <v>862</v>
      </c>
      <c r="Q33" s="11" t="s">
        <v>863</v>
      </c>
      <c r="R33" s="11"/>
      <c r="S33" s="56"/>
      <c r="T33" s="11" t="s">
        <v>97</v>
      </c>
      <c r="U33" s="11" t="s">
        <v>864</v>
      </c>
      <c r="V33" s="11" t="str">
        <f>IFERROR(HYPERLINK("#Main!A"&amp;MATCH("https://africanmarketingconfederation.org/publications-2/",Main!A:A,0),"Jump to Main"),HYPERLINK("#Main!A1","Open Main"))</f>
        <v>Open Main</v>
      </c>
      <c r="W33" s="11"/>
      <c r="X33" s="11" t="s">
        <v>9</v>
      </c>
      <c r="Y33" t="str">
        <f>IFERROR(HYPERLINK("#Main!A"&amp;MATCH(H33,Main!A:A,0),"View URL Details"),HYPERLINK("#Main!A1","View URL Details"))</f>
        <v>View URL Details</v>
      </c>
      <c r="Z33" t="str">
        <f>IFERROR(HYPERLINK("#Main!A"&amp;MATCH(H33,Main!A:A,0),"Open"),HYPERLINK("#Main!A1","Open"))</f>
        <v>Open</v>
      </c>
      <c r="AA33" t="str">
        <f>IFERROR(INDEX('Content Optimization Hub'!A:A,MATCH(H33,'Content Optimization Hub'!C:C,0)),"Not in Hub")</f>
        <v>Not in Hub</v>
      </c>
    </row>
    <row r="34" spans="1:28" ht="30" customHeight="1" x14ac:dyDescent="0.25">
      <c r="A34" s="6" t="s">
        <v>883</v>
      </c>
      <c r="B34" s="64" t="s">
        <v>68</v>
      </c>
      <c r="C34" s="65">
        <v>37</v>
      </c>
      <c r="D34" s="36">
        <v>85</v>
      </c>
      <c r="E34" s="51" t="str">
        <f>HYPERLINK("#Technical!A1","SEE DETAILS IN Technical")</f>
        <v>SEE DETAILS IN Technical</v>
      </c>
      <c r="F34" s="8" t="s">
        <v>7</v>
      </c>
      <c r="G34" s="8" t="s">
        <v>819</v>
      </c>
      <c r="H34" s="59" t="s">
        <v>682</v>
      </c>
      <c r="I34" s="8" t="s">
        <v>823</v>
      </c>
      <c r="J34" s="8" t="s">
        <v>824</v>
      </c>
      <c r="K34" s="60" t="s">
        <v>98</v>
      </c>
      <c r="L34" s="60" t="s">
        <v>98</v>
      </c>
      <c r="M34" s="8" t="s">
        <v>838</v>
      </c>
      <c r="N34" s="8">
        <v>4</v>
      </c>
      <c r="O34" s="62">
        <v>2</v>
      </c>
      <c r="P34" s="64" t="s">
        <v>862</v>
      </c>
      <c r="Q34" s="8" t="s">
        <v>863</v>
      </c>
      <c r="R34" s="8"/>
      <c r="S34" s="54"/>
      <c r="T34" s="8" t="s">
        <v>97</v>
      </c>
      <c r="U34" s="8" t="s">
        <v>864</v>
      </c>
      <c r="V34" s="8" t="str">
        <f>IFERROR(HYPERLINK("#Main!A"&amp;MATCH("https://africanmarketingconfederation.org/publications-2/",Main!A:A,0),"Jump to Main"),HYPERLINK("#Main!A1","Open Main"))</f>
        <v>Open Main</v>
      </c>
      <c r="W34" s="8"/>
      <c r="X34" s="8" t="s">
        <v>817</v>
      </c>
      <c r="Y34" s="9" t="str">
        <f>IFERROR(HYPERLINK("#Main!A"&amp;MATCH(H34,Main!A:A,0),"View URL Details"),HYPERLINK("#Main!A1","View URL Details"))</f>
        <v>View URL Details</v>
      </c>
      <c r="Z34" s="9" t="str">
        <f>IFERROR(HYPERLINK("#Main!A"&amp;MATCH(H34,Main!A:A,0),"Open"),HYPERLINK("#Main!A1","Open"))</f>
        <v>Open</v>
      </c>
      <c r="AA34" s="9" t="str">
        <f>IFERROR(INDEX('Content Optimization Hub'!A:A,MATCH(H34,'Content Optimization Hub'!C:C,0)),"Not in Hub")</f>
        <v>Not in Hub</v>
      </c>
      <c r="AB34" s="9"/>
    </row>
    <row r="35" spans="1:28" ht="30" customHeight="1" x14ac:dyDescent="0.25">
      <c r="A35" s="6" t="s">
        <v>884</v>
      </c>
      <c r="B35" s="64" t="s">
        <v>68</v>
      </c>
      <c r="C35" s="65">
        <v>37</v>
      </c>
      <c r="D35" s="10">
        <v>44</v>
      </c>
      <c r="E35" s="55" t="str">
        <f>HYPERLINK("#Technical!A1","SEE DETAILS IN Technical")</f>
        <v>SEE DETAILS IN Technical</v>
      </c>
      <c r="F35" s="11" t="s">
        <v>7</v>
      </c>
      <c r="G35" s="11" t="s">
        <v>819</v>
      </c>
      <c r="H35" s="58" t="s">
        <v>682</v>
      </c>
      <c r="I35" s="11" t="s">
        <v>885</v>
      </c>
      <c r="J35" s="11" t="s">
        <v>886</v>
      </c>
      <c r="K35" s="60" t="s">
        <v>98</v>
      </c>
      <c r="L35" s="60" t="s">
        <v>98</v>
      </c>
      <c r="M35" s="11" t="s">
        <v>838</v>
      </c>
      <c r="N35" s="11">
        <v>4</v>
      </c>
      <c r="O35" s="62">
        <v>2</v>
      </c>
      <c r="P35" s="64" t="s">
        <v>862</v>
      </c>
      <c r="Q35" s="11" t="s">
        <v>863</v>
      </c>
      <c r="R35" s="11"/>
      <c r="S35" s="56"/>
      <c r="T35" s="11" t="s">
        <v>97</v>
      </c>
      <c r="U35" s="11" t="s">
        <v>864</v>
      </c>
      <c r="V35" s="11" t="str">
        <f>IFERROR(HYPERLINK("#Main!A"&amp;MATCH("https://africanmarketingconfederation.org/publications-2/",Main!A:A,0),"Jump to Main"),HYPERLINK("#Main!A1","Open Main"))</f>
        <v>Open Main</v>
      </c>
      <c r="W35" s="11"/>
      <c r="X35" s="11" t="s">
        <v>817</v>
      </c>
      <c r="Y35" t="str">
        <f>IFERROR(HYPERLINK("#Main!A"&amp;MATCH(H35,Main!A:A,0),"View URL Details"),HYPERLINK("#Main!A1","View URL Details"))</f>
        <v>View URL Details</v>
      </c>
      <c r="Z35" t="str">
        <f>IFERROR(HYPERLINK("#Main!A"&amp;MATCH(H35,Main!A:A,0),"Open"),HYPERLINK("#Main!A1","Open"))</f>
        <v>Open</v>
      </c>
      <c r="AA35" t="str">
        <f>IFERROR(INDEX('Content Optimization Hub'!A:A,MATCH(H35,'Content Optimization Hub'!C:C,0)),"Not in Hub")</f>
        <v>Not in Hub</v>
      </c>
    </row>
  </sheetData>
  <autoFilter ref="A1:AB35" xr:uid="{00000000-0009-0000-0000-000003000000}"/>
  <conditionalFormatting sqref="C2:C35">
    <cfRule type="cellIs" dxfId="48" priority="1" operator="greaterThanOrEqual">
      <formula>85</formula>
    </cfRule>
    <cfRule type="cellIs" dxfId="47" priority="2" operator="between">
      <formula>65</formula>
      <formula>84</formula>
    </cfRule>
  </conditionalFormatting>
  <conditionalFormatting sqref="Q2:Q35">
    <cfRule type="expression" dxfId="46" priority="5" stopIfTrue="1">
      <formula>LOWER(Q2)="done"</formula>
    </cfRule>
    <cfRule type="expression" dxfId="45" priority="6" stopIfTrue="1">
      <formula>OR(LOWER(Q2)="to do",LOWER(Q2)="in progress",LOWER(Q2)="in review")</formula>
    </cfRule>
  </conditionalFormatting>
  <conditionalFormatting sqref="U2:U35">
    <cfRule type="expression" dxfId="44" priority="3" stopIfTrue="1">
      <formula>LOWER(U2)="yes"</formula>
    </cfRule>
    <cfRule type="expression" dxfId="43" priority="4" stopIfTrue="1">
      <formula>LOWER(U2)="no"</formula>
    </cfRule>
  </conditionalFormatting>
  <dataValidations count="32">
    <dataValidation type="list" allowBlank="1" sqref="Q2:Q35" xr:uid="{00000000-0002-0000-0300-000000000000}">
      <formula1>"To Do,In Progress,Fixed"</formula1>
    </dataValidation>
    <dataValidation type="list" allowBlank="1" sqref="L2:L35" xr:uid="{00000000-0002-0000-0300-000001000000}">
      <formula1>"Copy Writer,Dev,Server/Host"</formula1>
    </dataValidation>
    <dataValidation type="custom" allowBlank="1" showInputMessage="1" promptTitle="Issue Type" prompt="Issue Type. Review this metric to identify risk, then use linked tabs for details and remediation." sqref="A1" xr:uid="{00000000-0002-0000-0300-000002000000}">
      <formula1>TRUE</formula1>
    </dataValidation>
    <dataValidation type="custom" allowBlank="1" showInputMessage="1" promptTitle="Severity" prompt="Issue impact level. Fix: Resolve Critical first, then Warning, then improvement opportunities." sqref="B1" xr:uid="{00000000-0002-0000-0300-000003000000}">
      <formula1>TRUE</formula1>
    </dataValidation>
    <dataValidation type="custom" allowBlank="1" showInputMessage="1" promptTitle="Priority Score" prompt="Execution priority score combining impact and effort. Fix: Start from highest scores." sqref="C1" xr:uid="{00000000-0002-0000-0300-000004000000}">
      <formula1>TRUE</formula1>
    </dataValidation>
    <dataValidation type="custom" allowBlank="1" showInputMessage="1" promptTitle="Affected Count" prompt="How many URLs are impacted by this issue. Larger counts usually indicate template-level or systemic problems." sqref="D1" xr:uid="{00000000-0002-0000-0300-000005000000}">
      <formula1>TRUE</formula1>
    </dataValidation>
    <dataValidation type="custom" allowBlank="1" showInputMessage="1" promptTitle="Affected URLs" prompt="Affected URLs. Use this URL to inspect the page directly or jump to related tabs." sqref="E1" xr:uid="{00000000-0002-0000-0300-000006000000}">
      <formula1>TRUE</formula1>
    </dataValidation>
    <dataValidation type="custom" allowBlank="1" showInputMessage="1" promptTitle="Detail Reference Tab" prompt="Summary grouping/navigation field. Use with hyperlinks to jump into detailed tabs." sqref="F1" xr:uid="{00000000-0002-0000-0300-000007000000}">
      <formula1>TRUE</formula1>
    </dataValidation>
    <dataValidation type="custom" allowBlank="1" showInputMessage="1" promptTitle="Resolution Type" prompt="Resolution Type. Review this metric to identify risk, then use linked tabs for details and remediation." sqref="G1" xr:uid="{00000000-0002-0000-0300-000008000000}">
      <formula1>TRUE</formula1>
    </dataValidation>
    <dataValidation type="custom" allowBlank="1" showInputMessage="1" promptTitle="URL" prompt="URL. Use this URL to inspect the page directly or jump to related tabs." sqref="H1" xr:uid="{00000000-0002-0000-0300-000009000000}">
      <formula1>TRUE</formula1>
    </dataValidation>
    <dataValidation type="custom" allowBlank="1" showInputMessage="1" promptTitle="Recommended Fix" prompt="Recommended Fix. Review this metric to identify risk, then use linked tabs for details and remediation." sqref="I1" xr:uid="{00000000-0002-0000-0300-00000A000000}">
      <formula1>TRUE</formula1>
    </dataValidation>
    <dataValidation type="custom" allowBlank="1" showInputMessage="1" promptTitle="Likely Root Cause" prompt="Likely Root Cause. Review this metric to identify risk, then use linked tabs for details and remediation." sqref="J1" xr:uid="{00000000-0002-0000-0300-00000B000000}">
      <formula1>TRUE</formula1>
    </dataValidation>
    <dataValidation type="custom" allowBlank="1" showInputMessage="1" promptTitle="Owner" prompt="Workflow management field for planning and tracking remediation progress." sqref="K1" xr:uid="{00000000-0002-0000-0300-00000C000000}">
      <formula1>TRUE</formula1>
    </dataValidation>
    <dataValidation type="custom" allowBlank="1" showInputMessage="1" promptTitle="Agency Owner" prompt="Workflow management field for planning and tracking remediation progress." sqref="L1" xr:uid="{00000000-0002-0000-0300-00000D000000}">
      <formula1>TRUE</formula1>
    </dataValidation>
    <dataValidation type="custom" allowBlank="1" showInputMessage="1" promptTitle="Effort" prompt="Effort. Review this metric to identify risk, then use linked tabs for details and remediation." sqref="M1" xr:uid="{00000000-0002-0000-0300-00000E000000}">
      <formula1>TRUE</formula1>
    </dataValidation>
    <dataValidation type="custom" allowBlank="1" showInputMessage="1" promptTitle="Est. Hours" prompt="Est. Hours. Review this metric to identify risk, then use linked tabs for details and remediation." sqref="N1" xr:uid="{00000000-0002-0000-0300-00000F000000}">
      <formula1>TRUE</formula1>
    </dataValidation>
    <dataValidation type="custom" allowBlank="1" showInputMessage="1" promptTitle="Est. Sprint Points" prompt="Workflow management field for planning and tracking remediation progress." sqref="O1" xr:uid="{00000000-0002-0000-0300-000010000000}">
      <formula1>TRUE</formula1>
    </dataValidation>
    <dataValidation type="custom" allowBlank="1" showInputMessage="1" promptTitle="Aging/Priority" prompt="Aging/Priority. Review this metric to identify risk, then use linked tabs for details and remediation." sqref="P1" xr:uid="{00000000-0002-0000-0300-000011000000}">
      <formula1>TRUE</formula1>
    </dataValidation>
    <dataValidation type="custom" allowBlank="1" showInputMessage="1" promptTitle="Status" prompt="Workflow management field for planning and tracking remediation progress." sqref="Q1" xr:uid="{00000000-0002-0000-0300-000012000000}">
      <formula1>TRUE</formula1>
    </dataValidation>
    <dataValidation type="custom" allowBlank="1" showInputMessage="1" promptTitle="Verified By" prompt="Verified By. Review this metric to identify risk, then use linked tabs for details and remediation." sqref="R1" xr:uid="{00000000-0002-0000-0300-000013000000}">
      <formula1>TRUE</formula1>
    </dataValidation>
    <dataValidation type="custom" allowBlank="1" showInputMessage="1" promptTitle="Date Resolved" prompt="Date Resolved. Review this metric to identify risk, then use linked tabs for details and remediation." sqref="S1" xr:uid="{00000000-0002-0000-0300-000014000000}">
      <formula1>TRUE</formula1>
    </dataValidation>
    <dataValidation type="custom" allowBlank="1" showInputMessage="1" promptTitle="Revenue Risk" prompt="Revenue Risk. Review this metric to identify risk, then use linked tabs for details and remediation." sqref="T1" xr:uid="{00000000-0002-0000-0300-000015000000}">
      <formula1>TRUE</formula1>
    </dataValidation>
    <dataValidation type="custom" allowBlank="1" showInputMessage="1" promptTitle="Action Needed" prompt="Action Needed. Review this metric to identify risk, then use linked tabs for details and remediation." sqref="U1" xr:uid="{00000000-0002-0000-0300-000016000000}">
      <formula1>TRUE</formula1>
    </dataValidation>
    <dataValidation type="custom" allowBlank="1" showInputMessage="1" promptTitle="Jump to Details" prompt="Jump to Details. Review this metric to identify risk, then use linked tabs for details and remediation." sqref="V1" xr:uid="{00000000-0002-0000-0300-000017000000}">
      <formula1>TRUE</formula1>
    </dataValidation>
    <dataValidation type="custom" allowBlank="1" showInputMessage="1" promptTitle="Sprint" prompt="Workflow management field for planning and tracking remediation progress." sqref="W1" xr:uid="{00000000-0002-0000-0300-000018000000}">
      <formula1>TRUE</formula1>
    </dataValidation>
    <dataValidation type="custom" allowBlank="1" showInputMessage="1" promptTitle="Category" prompt="Category. Review this metric to identify risk, then use linked tabs for details and remediation." sqref="X1" xr:uid="{00000000-0002-0000-0300-000019000000}">
      <formula1>TRUE</formula1>
    </dataValidation>
    <dataValidation type="custom" allowBlank="1" showInputMessage="1" promptTitle="View Details" prompt="Navigation helper. Click to jump directly to the related record in another tab." sqref="Y1" xr:uid="{00000000-0002-0000-0300-00001A000000}">
      <formula1>TRUE</formula1>
    </dataValidation>
    <dataValidation type="custom" allowBlank="1" showInputMessage="1" promptTitle="Open in Main" prompt="Navigation helper. Click to jump directly to the related record in another tab." sqref="Z1" xr:uid="{00000000-0002-0000-0300-00001B000000}">
      <formula1>TRUE</formula1>
    </dataValidation>
    <dataValidation type="custom" allowBlank="1" showInputMessage="1" promptTitle="Hub Status (Content Hub)" prompt="Hub Status (Content Hub). Review this metric to identify risk, then use linked tabs for details and remediation." sqref="AA1" xr:uid="{00000000-0002-0000-0300-00001C000000}">
      <formula1>TRUE</formula1>
    </dataValidation>
    <dataValidation type="custom" allowBlank="1" showInputMessage="1" promptTitle="BACK TO DASHBOARD" prompt="BACK TO DASHBOARD. Review this metric to identify risk, then use linked tabs for details and remediation." sqref="AB1" xr:uid="{00000000-0002-0000-0300-00001D000000}">
      <formula1>TRUE</formula1>
    </dataValidation>
    <dataValidation type="custom" allowBlank="1" showInputMessage="1" promptTitle="Priority Score" prompt="Issue priority score for execution order. Fix: Start with the highest values to reduce risk fastest." sqref="C1" xr:uid="{00000000-0002-0000-0300-00001E000000}">
      <formula1>TRUE</formula1>
    </dataValidation>
    <dataValidation type="custom" allowBlank="1" showInputMessage="1" promptTitle="Severity" prompt="Impact level of the issue. Fix: Resolve Critical first, then Warning, then Observation opportunities." sqref="B1" xr:uid="{00000000-0002-0000-0300-00001F000000}">
      <formula1>TRUE</formula1>
    </dataValidation>
  </dataValidations>
  <hyperlinks>
    <hyperlink ref="AB1" location="Dashboard!A1" display="BACK TO DASHBOARD" xr:uid="{00000000-0004-0000-0300-000000000000}"/>
    <hyperlink ref="H7" r:id="rId1" xr:uid="{00000000-0004-0000-0300-000001000000}"/>
    <hyperlink ref="H8" r:id="rId2" xr:uid="{00000000-0004-0000-0300-000002000000}"/>
    <hyperlink ref="H17" r:id="rId3" xr:uid="{00000000-0004-0000-0300-000003000000}"/>
    <hyperlink ref="H18" r:id="rId4" xr:uid="{00000000-0004-0000-0300-000004000000}"/>
    <hyperlink ref="H19" r:id="rId5" xr:uid="{00000000-0004-0000-0300-000005000000}"/>
    <hyperlink ref="H20" r:id="rId6" xr:uid="{00000000-0004-0000-0300-000006000000}"/>
    <hyperlink ref="H26" r:id="rId7" xr:uid="{00000000-0004-0000-0300-000007000000}"/>
    <hyperlink ref="H27" r:id="rId8" xr:uid="{00000000-0004-0000-0300-000008000000}"/>
    <hyperlink ref="H28" r:id="rId9" xr:uid="{00000000-0004-0000-0300-000009000000}"/>
    <hyperlink ref="H29" r:id="rId10" xr:uid="{00000000-0004-0000-0300-00000A000000}"/>
    <hyperlink ref="H30" r:id="rId11" xr:uid="{00000000-0004-0000-0300-00000B000000}"/>
    <hyperlink ref="H31" r:id="rId12" xr:uid="{00000000-0004-0000-0300-00000C000000}"/>
    <hyperlink ref="H32" r:id="rId13" xr:uid="{00000000-0004-0000-0300-00000D000000}"/>
    <hyperlink ref="H33" r:id="rId14" xr:uid="{00000000-0004-0000-0300-00000E000000}"/>
    <hyperlink ref="H34" r:id="rId15" xr:uid="{00000000-0004-0000-0300-00000F000000}"/>
    <hyperlink ref="H35" r:id="rId16" xr:uid="{00000000-0004-0000-0300-00001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86"/>
  <sheetViews>
    <sheetView workbookViewId="0">
      <pane ySplit="1" topLeftCell="A2" activePane="bottomLeft" state="frozen"/>
      <selection pane="bottomLeft"/>
    </sheetView>
  </sheetViews>
  <sheetFormatPr defaultRowHeight="15" x14ac:dyDescent="0.25"/>
  <cols>
    <col min="1" max="1" width="13" customWidth="1"/>
    <col min="2" max="2" width="36" customWidth="1"/>
    <col min="3" max="3" width="13" customWidth="1"/>
    <col min="4" max="4" width="14" customWidth="1"/>
    <col min="5" max="5" width="15" customWidth="1"/>
    <col min="6" max="7" width="60" customWidth="1"/>
    <col min="8" max="8" width="19" customWidth="1"/>
    <col min="9" max="9" width="18" customWidth="1"/>
    <col min="10" max="10" width="16" customWidth="1"/>
    <col min="11" max="11" width="14" customWidth="1"/>
    <col min="12" max="12" width="18" customWidth="1"/>
    <col min="13" max="13" width="10" customWidth="1"/>
    <col min="14" max="14" width="19" hidden="1" customWidth="1"/>
    <col min="15" max="15" width="12" customWidth="1"/>
    <col min="16" max="16" width="11" customWidth="1"/>
    <col min="17" max="17" width="12" customWidth="1"/>
    <col min="18" max="18" width="11" customWidth="1"/>
    <col min="19" max="19" width="12" customWidth="1"/>
    <col min="20" max="20" width="11" customWidth="1"/>
    <col min="21" max="21" width="12" customWidth="1"/>
    <col min="22" max="22" width="11" customWidth="1"/>
    <col min="23" max="23" width="12" customWidth="1"/>
    <col min="24" max="24" width="11" customWidth="1"/>
    <col min="25" max="25" width="12" customWidth="1"/>
    <col min="26" max="26" width="11" customWidth="1"/>
    <col min="27" max="27" width="13" customWidth="1"/>
    <col min="28" max="28" width="14" customWidth="1"/>
    <col min="29" max="29" width="9" customWidth="1"/>
    <col min="30" max="30" width="14" customWidth="1"/>
    <col min="31" max="31" width="26" customWidth="1"/>
  </cols>
  <sheetData>
    <row r="1" spans="1:33" ht="45" x14ac:dyDescent="0.25">
      <c r="A1" s="5" t="s">
        <v>887</v>
      </c>
      <c r="B1" s="5" t="s">
        <v>118</v>
      </c>
      <c r="C1" s="5" t="s">
        <v>888</v>
      </c>
      <c r="D1" s="5" t="s">
        <v>12</v>
      </c>
      <c r="E1" s="5" t="s">
        <v>889</v>
      </c>
      <c r="F1" s="5" t="s">
        <v>890</v>
      </c>
      <c r="G1" s="5" t="s">
        <v>891</v>
      </c>
      <c r="H1" s="5" t="s">
        <v>892</v>
      </c>
      <c r="I1" s="5" t="s">
        <v>893</v>
      </c>
      <c r="J1" s="5" t="s">
        <v>894</v>
      </c>
      <c r="K1" s="5" t="s">
        <v>895</v>
      </c>
      <c r="L1" s="5" t="s">
        <v>896</v>
      </c>
      <c r="M1" s="5" t="s">
        <v>897</v>
      </c>
      <c r="N1" s="5" t="s">
        <v>898</v>
      </c>
      <c r="O1" s="5" t="s">
        <v>899</v>
      </c>
      <c r="P1" s="5" t="s">
        <v>900</v>
      </c>
      <c r="Q1" s="5" t="s">
        <v>901</v>
      </c>
      <c r="R1" s="5" t="s">
        <v>902</v>
      </c>
      <c r="S1" s="5" t="s">
        <v>903</v>
      </c>
      <c r="T1" s="5" t="s">
        <v>904</v>
      </c>
      <c r="U1" s="5" t="s">
        <v>905</v>
      </c>
      <c r="V1" s="5" t="s">
        <v>906</v>
      </c>
      <c r="W1" s="5" t="s">
        <v>907</v>
      </c>
      <c r="X1" s="5" t="s">
        <v>908</v>
      </c>
      <c r="Y1" s="5" t="s">
        <v>909</v>
      </c>
      <c r="Z1" s="5" t="s">
        <v>910</v>
      </c>
      <c r="AA1" s="5" t="s">
        <v>911</v>
      </c>
      <c r="AB1" s="5" t="s">
        <v>912</v>
      </c>
      <c r="AC1" s="5" t="s">
        <v>913</v>
      </c>
      <c r="AD1" s="5" t="s">
        <v>914</v>
      </c>
      <c r="AE1" s="5" t="s">
        <v>915</v>
      </c>
      <c r="AF1" s="5" t="s">
        <v>916</v>
      </c>
      <c r="AG1" s="39" t="s">
        <v>136</v>
      </c>
    </row>
    <row r="2" spans="1:33" ht="30" customHeight="1" x14ac:dyDescent="0.25">
      <c r="A2" s="8" t="s">
        <v>917</v>
      </c>
      <c r="B2" s="59" t="s">
        <v>338</v>
      </c>
      <c r="C2" s="49">
        <v>404</v>
      </c>
      <c r="D2" s="8" t="s">
        <v>918</v>
      </c>
      <c r="E2" s="8">
        <v>4.0039999999999996</v>
      </c>
      <c r="F2" s="8"/>
      <c r="G2" s="8"/>
      <c r="H2" s="8">
        <v>0</v>
      </c>
      <c r="I2" s="66">
        <v>6</v>
      </c>
      <c r="J2" s="49" t="s">
        <v>66</v>
      </c>
      <c r="K2" s="8">
        <v>0</v>
      </c>
      <c r="L2" s="8">
        <v>0</v>
      </c>
      <c r="M2" s="8"/>
      <c r="N2" s="8" t="b">
        <v>0</v>
      </c>
      <c r="O2" s="8"/>
      <c r="P2" s="8">
        <v>0</v>
      </c>
      <c r="Q2" s="8"/>
      <c r="R2" s="8">
        <v>0</v>
      </c>
      <c r="S2" s="8"/>
      <c r="T2" s="8">
        <v>0</v>
      </c>
      <c r="U2" s="8"/>
      <c r="V2" s="8">
        <v>0</v>
      </c>
      <c r="W2" s="8"/>
      <c r="X2" s="8">
        <v>0</v>
      </c>
      <c r="Y2" s="8"/>
      <c r="Z2" s="8">
        <v>0</v>
      </c>
      <c r="AA2" s="8"/>
      <c r="AB2" s="8"/>
      <c r="AC2" s="8"/>
      <c r="AD2" s="8" t="s">
        <v>919</v>
      </c>
      <c r="AE2" s="8">
        <v>0</v>
      </c>
      <c r="AF2" s="9" t="str">
        <f>IFERROR(HYPERLINK("#Technical!A"&amp;MATCH(B2,Technical!A:A,0),"Open Technical"),HYPERLINK("#Technical!A1","Open Technical"))</f>
        <v>Open Technical</v>
      </c>
      <c r="AG2" s="9"/>
    </row>
    <row r="3" spans="1:33" ht="30" customHeight="1" x14ac:dyDescent="0.25">
      <c r="A3" s="11" t="s">
        <v>917</v>
      </c>
      <c r="B3" s="58" t="s">
        <v>433</v>
      </c>
      <c r="C3" s="49">
        <v>404</v>
      </c>
      <c r="D3" s="11" t="s">
        <v>918</v>
      </c>
      <c r="E3" s="11">
        <v>3.907</v>
      </c>
      <c r="F3" s="11"/>
      <c r="G3" s="11"/>
      <c r="H3" s="11">
        <v>0</v>
      </c>
      <c r="I3" s="66">
        <v>6</v>
      </c>
      <c r="J3" s="49" t="s">
        <v>66</v>
      </c>
      <c r="K3" s="11">
        <v>0</v>
      </c>
      <c r="L3" s="11">
        <v>0</v>
      </c>
      <c r="M3" s="11"/>
      <c r="N3" s="11" t="b">
        <v>0</v>
      </c>
      <c r="O3" s="11"/>
      <c r="P3" s="11">
        <v>0</v>
      </c>
      <c r="Q3" s="11"/>
      <c r="R3" s="11">
        <v>0</v>
      </c>
      <c r="S3" s="11"/>
      <c r="T3" s="11">
        <v>0</v>
      </c>
      <c r="U3" s="11"/>
      <c r="V3" s="11">
        <v>0</v>
      </c>
      <c r="W3" s="11"/>
      <c r="X3" s="11">
        <v>0</v>
      </c>
      <c r="Y3" s="11"/>
      <c r="Z3" s="11">
        <v>0</v>
      </c>
      <c r="AA3" s="11"/>
      <c r="AB3" s="11"/>
      <c r="AC3" s="11"/>
      <c r="AD3" s="11" t="s">
        <v>919</v>
      </c>
      <c r="AE3" s="11">
        <v>0</v>
      </c>
      <c r="AF3" t="str">
        <f>IFERROR(HYPERLINK("#Technical!A"&amp;MATCH(B3,Technical!A:A,0),"Open Technical"),HYPERLINK("#Technical!A1","Open Technical"))</f>
        <v>Open Technical</v>
      </c>
    </row>
    <row r="4" spans="1:33" ht="31.5" x14ac:dyDescent="0.25">
      <c r="A4" s="8" t="s">
        <v>920</v>
      </c>
      <c r="B4" s="59" t="s">
        <v>140</v>
      </c>
      <c r="C4" s="6">
        <v>200</v>
      </c>
      <c r="D4" s="8" t="s">
        <v>918</v>
      </c>
      <c r="E4" s="8">
        <v>2.6949999999999998</v>
      </c>
      <c r="F4" s="8" t="s">
        <v>144</v>
      </c>
      <c r="G4" s="8" t="s">
        <v>145</v>
      </c>
      <c r="H4" s="8">
        <v>35</v>
      </c>
      <c r="I4" s="66">
        <v>56</v>
      </c>
      <c r="J4" s="61" t="s">
        <v>67</v>
      </c>
      <c r="K4" s="8">
        <v>66</v>
      </c>
      <c r="L4" s="8">
        <v>152</v>
      </c>
      <c r="M4" s="8"/>
      <c r="N4" s="8" t="b">
        <v>0</v>
      </c>
      <c r="O4" s="8"/>
      <c r="P4" s="8">
        <v>0</v>
      </c>
      <c r="Q4" s="8"/>
      <c r="R4" s="8">
        <v>0</v>
      </c>
      <c r="S4" s="8"/>
      <c r="T4" s="8">
        <v>0</v>
      </c>
      <c r="U4" s="8"/>
      <c r="V4" s="8">
        <v>0</v>
      </c>
      <c r="W4" s="8"/>
      <c r="X4" s="8">
        <v>0</v>
      </c>
      <c r="Y4" s="8"/>
      <c r="Z4" s="8">
        <v>0</v>
      </c>
      <c r="AA4" s="8"/>
      <c r="AB4" s="8"/>
      <c r="AC4" s="8"/>
      <c r="AD4" s="8" t="s">
        <v>919</v>
      </c>
      <c r="AE4" s="8">
        <v>100</v>
      </c>
      <c r="AF4" s="9" t="str">
        <f>IFERROR(HYPERLINK("#Technical!A"&amp;MATCH(B4,Technical!A:A,0),"Open Technical"),HYPERLINK("#Technical!A1","Open Technical"))</f>
        <v>Open Technical</v>
      </c>
      <c r="AG4" s="9"/>
    </row>
    <row r="5" spans="1:33" ht="30" customHeight="1" x14ac:dyDescent="0.25">
      <c r="A5" s="11" t="s">
        <v>920</v>
      </c>
      <c r="B5" s="58" t="s">
        <v>148</v>
      </c>
      <c r="C5" s="6">
        <v>200</v>
      </c>
      <c r="D5" s="11" t="s">
        <v>918</v>
      </c>
      <c r="E5" s="11">
        <v>5.1999999999999998E-2</v>
      </c>
      <c r="F5" s="11" t="s">
        <v>152</v>
      </c>
      <c r="G5" s="11" t="s">
        <v>153</v>
      </c>
      <c r="H5" s="11">
        <v>219</v>
      </c>
      <c r="I5" s="66">
        <v>66</v>
      </c>
      <c r="J5" s="61" t="s">
        <v>67</v>
      </c>
      <c r="K5" s="11">
        <v>107</v>
      </c>
      <c r="L5" s="11">
        <v>405</v>
      </c>
      <c r="M5" s="11"/>
      <c r="N5" s="11" t="b">
        <v>0</v>
      </c>
      <c r="O5" s="11"/>
      <c r="P5" s="11">
        <v>0</v>
      </c>
      <c r="Q5" s="11"/>
      <c r="R5" s="11">
        <v>0</v>
      </c>
      <c r="S5" s="11"/>
      <c r="T5" s="11">
        <v>0</v>
      </c>
      <c r="U5" s="11"/>
      <c r="V5" s="11">
        <v>0</v>
      </c>
      <c r="W5" s="11"/>
      <c r="X5" s="11">
        <v>0</v>
      </c>
      <c r="Y5" s="11"/>
      <c r="Z5" s="11">
        <v>0</v>
      </c>
      <c r="AA5" s="11"/>
      <c r="AB5" s="11"/>
      <c r="AC5" s="11"/>
      <c r="AD5" s="11" t="s">
        <v>919</v>
      </c>
      <c r="AE5" s="11">
        <v>70</v>
      </c>
      <c r="AF5" t="str">
        <f>IFERROR(HYPERLINK("#Technical!A"&amp;MATCH(B5,Technical!A:A,0),"Open Technical"),HYPERLINK("#Technical!A1","Open Technical"))</f>
        <v>Open Technical</v>
      </c>
    </row>
    <row r="6" spans="1:33" ht="30" customHeight="1" x14ac:dyDescent="0.25">
      <c r="A6" s="8" t="s">
        <v>920</v>
      </c>
      <c r="B6" s="59" t="s">
        <v>156</v>
      </c>
      <c r="C6" s="6">
        <v>200</v>
      </c>
      <c r="D6" s="8" t="s">
        <v>918</v>
      </c>
      <c r="E6" s="8">
        <v>0.121</v>
      </c>
      <c r="F6" s="8" t="s">
        <v>160</v>
      </c>
      <c r="G6" s="8" t="s">
        <v>161</v>
      </c>
      <c r="H6" s="8">
        <v>339</v>
      </c>
      <c r="I6" s="66">
        <v>59</v>
      </c>
      <c r="J6" s="61" t="s">
        <v>67</v>
      </c>
      <c r="K6" s="8">
        <v>81</v>
      </c>
      <c r="L6" s="8">
        <v>423</v>
      </c>
      <c r="M6" s="8"/>
      <c r="N6" s="8" t="b">
        <v>0</v>
      </c>
      <c r="O6" s="8"/>
      <c r="P6" s="8">
        <v>0</v>
      </c>
      <c r="Q6" s="8"/>
      <c r="R6" s="8">
        <v>0</v>
      </c>
      <c r="S6" s="8"/>
      <c r="T6" s="8">
        <v>0</v>
      </c>
      <c r="U6" s="8"/>
      <c r="V6" s="8">
        <v>0</v>
      </c>
      <c r="W6" s="8"/>
      <c r="X6" s="8">
        <v>0</v>
      </c>
      <c r="Y6" s="8"/>
      <c r="Z6" s="8">
        <v>0</v>
      </c>
      <c r="AA6" s="8"/>
      <c r="AB6" s="8"/>
      <c r="AC6" s="8"/>
      <c r="AD6" s="8" t="s">
        <v>919</v>
      </c>
      <c r="AE6" s="8">
        <v>60</v>
      </c>
      <c r="AF6" s="9" t="str">
        <f>IFERROR(HYPERLINK("#Technical!A"&amp;MATCH(B6,Technical!A:A,0),"Open Technical"),HYPERLINK("#Technical!A1","Open Technical"))</f>
        <v>Open Technical</v>
      </c>
      <c r="AG6" s="9"/>
    </row>
    <row r="7" spans="1:33" ht="30" customHeight="1" x14ac:dyDescent="0.25">
      <c r="A7" s="11" t="s">
        <v>920</v>
      </c>
      <c r="B7" s="58" t="s">
        <v>164</v>
      </c>
      <c r="C7" s="6">
        <v>200</v>
      </c>
      <c r="D7" s="11" t="s">
        <v>918</v>
      </c>
      <c r="E7" s="11">
        <v>5.0999999999999997E-2</v>
      </c>
      <c r="F7" s="11" t="s">
        <v>168</v>
      </c>
      <c r="G7" s="11" t="s">
        <v>169</v>
      </c>
      <c r="H7" s="11">
        <v>1637</v>
      </c>
      <c r="I7" s="66">
        <v>59</v>
      </c>
      <c r="J7" s="61" t="s">
        <v>67</v>
      </c>
      <c r="K7" s="11">
        <v>49</v>
      </c>
      <c r="L7" s="11">
        <v>406</v>
      </c>
      <c r="M7" s="11"/>
      <c r="N7" s="11" t="b">
        <v>0</v>
      </c>
      <c r="O7" s="11"/>
      <c r="P7" s="11">
        <v>0</v>
      </c>
      <c r="Q7" s="11"/>
      <c r="R7" s="11">
        <v>0</v>
      </c>
      <c r="S7" s="11"/>
      <c r="T7" s="11">
        <v>0</v>
      </c>
      <c r="U7" s="11"/>
      <c r="V7" s="11">
        <v>0</v>
      </c>
      <c r="W7" s="11"/>
      <c r="X7" s="11">
        <v>0</v>
      </c>
      <c r="Y7" s="11"/>
      <c r="Z7" s="11">
        <v>0</v>
      </c>
      <c r="AA7" s="11"/>
      <c r="AB7" s="11"/>
      <c r="AC7" s="11"/>
      <c r="AD7" s="11" t="s">
        <v>919</v>
      </c>
      <c r="AE7" s="11">
        <v>100</v>
      </c>
      <c r="AF7" t="str">
        <f>IFERROR(HYPERLINK("#Technical!A"&amp;MATCH(B7,Technical!A:A,0),"Open Technical"),HYPERLINK("#Technical!A1","Open Technical"))</f>
        <v>Open Technical</v>
      </c>
    </row>
    <row r="8" spans="1:33" ht="30" customHeight="1" x14ac:dyDescent="0.25">
      <c r="A8" s="8" t="s">
        <v>920</v>
      </c>
      <c r="B8" s="59" t="s">
        <v>172</v>
      </c>
      <c r="C8" s="6">
        <v>200</v>
      </c>
      <c r="D8" s="8" t="s">
        <v>918</v>
      </c>
      <c r="E8" s="8">
        <v>3.5000000000000003E-2</v>
      </c>
      <c r="F8" s="8" t="s">
        <v>176</v>
      </c>
      <c r="G8" s="8" t="s">
        <v>177</v>
      </c>
      <c r="H8" s="8">
        <v>100</v>
      </c>
      <c r="I8" s="66">
        <v>56</v>
      </c>
      <c r="J8" s="61" t="s">
        <v>67</v>
      </c>
      <c r="K8" s="8">
        <v>66</v>
      </c>
      <c r="L8" s="8">
        <v>335</v>
      </c>
      <c r="M8" s="8"/>
      <c r="N8" s="8" t="b">
        <v>0</v>
      </c>
      <c r="O8" s="8"/>
      <c r="P8" s="8">
        <v>0</v>
      </c>
      <c r="Q8" s="8"/>
      <c r="R8" s="8">
        <v>0</v>
      </c>
      <c r="S8" s="8"/>
      <c r="T8" s="8">
        <v>0</v>
      </c>
      <c r="U8" s="8"/>
      <c r="V8" s="8">
        <v>0</v>
      </c>
      <c r="W8" s="8"/>
      <c r="X8" s="8">
        <v>0</v>
      </c>
      <c r="Y8" s="8"/>
      <c r="Z8" s="8">
        <v>0</v>
      </c>
      <c r="AA8" s="8"/>
      <c r="AB8" s="8"/>
      <c r="AC8" s="8"/>
      <c r="AD8" s="8" t="s">
        <v>919</v>
      </c>
      <c r="AE8" s="8">
        <v>30</v>
      </c>
      <c r="AF8" s="9" t="str">
        <f>IFERROR(HYPERLINK("#Technical!A"&amp;MATCH(B8,Technical!A:A,0),"Open Technical"),HYPERLINK("#Technical!A1","Open Technical"))</f>
        <v>Open Technical</v>
      </c>
      <c r="AG8" s="9"/>
    </row>
    <row r="9" spans="1:33" ht="30" customHeight="1" x14ac:dyDescent="0.25">
      <c r="A9" s="11" t="s">
        <v>920</v>
      </c>
      <c r="B9" s="58" t="s">
        <v>180</v>
      </c>
      <c r="C9" s="6">
        <v>200</v>
      </c>
      <c r="D9" s="11" t="s">
        <v>918</v>
      </c>
      <c r="E9" s="11">
        <v>0.04</v>
      </c>
      <c r="F9" s="11" t="s">
        <v>184</v>
      </c>
      <c r="G9" s="11" t="s">
        <v>185</v>
      </c>
      <c r="H9" s="11">
        <v>347</v>
      </c>
      <c r="I9" s="66">
        <v>59</v>
      </c>
      <c r="J9" s="61" t="s">
        <v>67</v>
      </c>
      <c r="K9" s="11">
        <v>65</v>
      </c>
      <c r="L9" s="11">
        <v>337</v>
      </c>
      <c r="M9" s="11"/>
      <c r="N9" s="11" t="b">
        <v>0</v>
      </c>
      <c r="O9" s="11"/>
      <c r="P9" s="11">
        <v>0</v>
      </c>
      <c r="Q9" s="11"/>
      <c r="R9" s="11">
        <v>0</v>
      </c>
      <c r="S9" s="11"/>
      <c r="T9" s="11">
        <v>0</v>
      </c>
      <c r="U9" s="11"/>
      <c r="V9" s="11">
        <v>0</v>
      </c>
      <c r="W9" s="11"/>
      <c r="X9" s="11">
        <v>0</v>
      </c>
      <c r="Y9" s="11"/>
      <c r="Z9" s="11">
        <v>0</v>
      </c>
      <c r="AA9" s="11"/>
      <c r="AB9" s="11"/>
      <c r="AC9" s="11"/>
      <c r="AD9" s="11" t="s">
        <v>919</v>
      </c>
      <c r="AE9" s="11">
        <v>100</v>
      </c>
      <c r="AF9" t="str">
        <f>IFERROR(HYPERLINK("#Technical!A"&amp;MATCH(B9,Technical!A:A,0),"Open Technical"),HYPERLINK("#Technical!A1","Open Technical"))</f>
        <v>Open Technical</v>
      </c>
    </row>
    <row r="10" spans="1:33" ht="30" customHeight="1" x14ac:dyDescent="0.25">
      <c r="A10" s="8" t="s">
        <v>920</v>
      </c>
      <c r="B10" s="59" t="s">
        <v>188</v>
      </c>
      <c r="C10" s="6">
        <v>200</v>
      </c>
      <c r="D10" s="8" t="s">
        <v>918</v>
      </c>
      <c r="E10" s="8">
        <v>0.04</v>
      </c>
      <c r="F10" s="8" t="s">
        <v>192</v>
      </c>
      <c r="G10" s="8" t="s">
        <v>193</v>
      </c>
      <c r="H10" s="8">
        <v>32</v>
      </c>
      <c r="I10" s="66">
        <v>56</v>
      </c>
      <c r="J10" s="61" t="s">
        <v>67</v>
      </c>
      <c r="K10" s="8">
        <v>53</v>
      </c>
      <c r="L10" s="8">
        <v>387</v>
      </c>
      <c r="M10" s="8"/>
      <c r="N10" s="8" t="b">
        <v>0</v>
      </c>
      <c r="O10" s="8"/>
      <c r="P10" s="8">
        <v>0</v>
      </c>
      <c r="Q10" s="8"/>
      <c r="R10" s="8">
        <v>0</v>
      </c>
      <c r="S10" s="8"/>
      <c r="T10" s="8">
        <v>0</v>
      </c>
      <c r="U10" s="8"/>
      <c r="V10" s="8">
        <v>0</v>
      </c>
      <c r="W10" s="8"/>
      <c r="X10" s="8">
        <v>0</v>
      </c>
      <c r="Y10" s="8"/>
      <c r="Z10" s="8">
        <v>0</v>
      </c>
      <c r="AA10" s="8"/>
      <c r="AB10" s="8"/>
      <c r="AC10" s="8"/>
      <c r="AD10" s="8" t="s">
        <v>919</v>
      </c>
      <c r="AE10" s="8">
        <v>100</v>
      </c>
      <c r="AF10" s="9" t="str">
        <f>IFERROR(HYPERLINK("#Technical!A"&amp;MATCH(B10,Technical!A:A,0),"Open Technical"),HYPERLINK("#Technical!A1","Open Technical"))</f>
        <v>Open Technical</v>
      </c>
      <c r="AG10" s="9"/>
    </row>
    <row r="11" spans="1:33" ht="30" customHeight="1" x14ac:dyDescent="0.25">
      <c r="A11" s="11" t="s">
        <v>920</v>
      </c>
      <c r="B11" s="58" t="s">
        <v>196</v>
      </c>
      <c r="C11" s="6">
        <v>200</v>
      </c>
      <c r="D11" s="11" t="s">
        <v>918</v>
      </c>
      <c r="E11" s="11">
        <v>5.2999999999999999E-2</v>
      </c>
      <c r="F11" s="11" t="s">
        <v>200</v>
      </c>
      <c r="G11" s="11" t="s">
        <v>201</v>
      </c>
      <c r="H11" s="11">
        <v>399</v>
      </c>
      <c r="I11" s="66">
        <v>69</v>
      </c>
      <c r="J11" s="61" t="s">
        <v>67</v>
      </c>
      <c r="K11" s="11">
        <v>53</v>
      </c>
      <c r="L11" s="11">
        <v>398</v>
      </c>
      <c r="M11" s="11"/>
      <c r="N11" s="11" t="b">
        <v>0</v>
      </c>
      <c r="O11" s="11"/>
      <c r="P11" s="11">
        <v>0</v>
      </c>
      <c r="Q11" s="11"/>
      <c r="R11" s="11">
        <v>0</v>
      </c>
      <c r="S11" s="11"/>
      <c r="T11" s="11">
        <v>0</v>
      </c>
      <c r="U11" s="11"/>
      <c r="V11" s="11">
        <v>0</v>
      </c>
      <c r="W11" s="11"/>
      <c r="X11" s="11">
        <v>0</v>
      </c>
      <c r="Y11" s="11"/>
      <c r="Z11" s="11">
        <v>0</v>
      </c>
      <c r="AA11" s="11"/>
      <c r="AB11" s="11"/>
      <c r="AC11" s="11"/>
      <c r="AD11" s="11" t="s">
        <v>919</v>
      </c>
      <c r="AE11" s="11">
        <v>80</v>
      </c>
      <c r="AF11" t="str">
        <f>IFERROR(HYPERLINK("#Technical!A"&amp;MATCH(B11,Technical!A:A,0),"Open Technical"),HYPERLINK("#Technical!A1","Open Technical"))</f>
        <v>Open Technical</v>
      </c>
    </row>
    <row r="12" spans="1:33" ht="30" customHeight="1" x14ac:dyDescent="0.25">
      <c r="A12" s="8" t="s">
        <v>920</v>
      </c>
      <c r="B12" s="59" t="s">
        <v>99</v>
      </c>
      <c r="C12" s="6">
        <v>200</v>
      </c>
      <c r="D12" s="8" t="s">
        <v>918</v>
      </c>
      <c r="E12" s="8">
        <v>3.7999999999999999E-2</v>
      </c>
      <c r="F12" s="8" t="s">
        <v>207</v>
      </c>
      <c r="G12" s="8"/>
      <c r="H12" s="8">
        <v>15</v>
      </c>
      <c r="I12" s="66">
        <v>46</v>
      </c>
      <c r="J12" s="61" t="s">
        <v>67</v>
      </c>
      <c r="K12" s="8">
        <v>55</v>
      </c>
      <c r="L12" s="8">
        <v>0</v>
      </c>
      <c r="M12" s="8"/>
      <c r="N12" s="8" t="b">
        <v>0</v>
      </c>
      <c r="O12" s="8"/>
      <c r="P12" s="8">
        <v>0</v>
      </c>
      <c r="Q12" s="8"/>
      <c r="R12" s="8">
        <v>0</v>
      </c>
      <c r="S12" s="8"/>
      <c r="T12" s="8">
        <v>0</v>
      </c>
      <c r="U12" s="8"/>
      <c r="V12" s="8">
        <v>0</v>
      </c>
      <c r="W12" s="8"/>
      <c r="X12" s="8">
        <v>0</v>
      </c>
      <c r="Y12" s="8"/>
      <c r="Z12" s="8">
        <v>0</v>
      </c>
      <c r="AA12" s="8"/>
      <c r="AB12" s="8"/>
      <c r="AC12" s="8"/>
      <c r="AD12" s="8" t="s">
        <v>919</v>
      </c>
      <c r="AE12" s="8">
        <v>30</v>
      </c>
      <c r="AF12" s="9" t="str">
        <f>IFERROR(HYPERLINK("#Technical!A"&amp;MATCH(B12,Technical!A:A,0),"Open Technical"),HYPERLINK("#Technical!A1","Open Technical"))</f>
        <v>Open Technical</v>
      </c>
      <c r="AG12" s="9"/>
    </row>
    <row r="13" spans="1:33" ht="30" customHeight="1" x14ac:dyDescent="0.25">
      <c r="A13" s="11" t="s">
        <v>920</v>
      </c>
      <c r="B13" s="58" t="s">
        <v>210</v>
      </c>
      <c r="C13" s="6">
        <v>200</v>
      </c>
      <c r="D13" s="11" t="s">
        <v>918</v>
      </c>
      <c r="E13" s="11">
        <v>5.1999999999999998E-2</v>
      </c>
      <c r="F13" s="11" t="s">
        <v>214</v>
      </c>
      <c r="G13" s="11" t="s">
        <v>215</v>
      </c>
      <c r="H13" s="11">
        <v>310</v>
      </c>
      <c r="I13" s="66">
        <v>69</v>
      </c>
      <c r="J13" s="61" t="s">
        <v>67</v>
      </c>
      <c r="K13" s="11">
        <v>44</v>
      </c>
      <c r="L13" s="11">
        <v>432</v>
      </c>
      <c r="M13" s="11"/>
      <c r="N13" s="11" t="b">
        <v>0</v>
      </c>
      <c r="O13" s="11"/>
      <c r="P13" s="11">
        <v>0</v>
      </c>
      <c r="Q13" s="11"/>
      <c r="R13" s="11">
        <v>0</v>
      </c>
      <c r="S13" s="11"/>
      <c r="T13" s="11">
        <v>0</v>
      </c>
      <c r="U13" s="11"/>
      <c r="V13" s="11">
        <v>0</v>
      </c>
      <c r="W13" s="11"/>
      <c r="X13" s="11">
        <v>0</v>
      </c>
      <c r="Y13" s="11"/>
      <c r="Z13" s="11">
        <v>0</v>
      </c>
      <c r="AA13" s="11"/>
      <c r="AB13" s="11"/>
      <c r="AC13" s="11"/>
      <c r="AD13" s="11" t="s">
        <v>919</v>
      </c>
      <c r="AE13" s="11">
        <v>40</v>
      </c>
      <c r="AF13" t="str">
        <f>IFERROR(HYPERLINK("#Technical!A"&amp;MATCH(B13,Technical!A:A,0),"Open Technical"),HYPERLINK("#Technical!A1","Open Technical"))</f>
        <v>Open Technical</v>
      </c>
    </row>
    <row r="14" spans="1:33" ht="30" customHeight="1" x14ac:dyDescent="0.25">
      <c r="A14" s="8" t="s">
        <v>920</v>
      </c>
      <c r="B14" s="59" t="s">
        <v>218</v>
      </c>
      <c r="C14" s="6">
        <v>200</v>
      </c>
      <c r="D14" s="8" t="s">
        <v>918</v>
      </c>
      <c r="E14" s="8">
        <v>5.2999999999999999E-2</v>
      </c>
      <c r="F14" s="8" t="s">
        <v>222</v>
      </c>
      <c r="G14" s="8" t="s">
        <v>223</v>
      </c>
      <c r="H14" s="8">
        <v>81</v>
      </c>
      <c r="I14" s="66">
        <v>56</v>
      </c>
      <c r="J14" s="61" t="s">
        <v>67</v>
      </c>
      <c r="K14" s="8">
        <v>54</v>
      </c>
      <c r="L14" s="8">
        <v>379</v>
      </c>
      <c r="M14" s="8"/>
      <c r="N14" s="8" t="b">
        <v>0</v>
      </c>
      <c r="O14" s="8"/>
      <c r="P14" s="8">
        <v>0</v>
      </c>
      <c r="Q14" s="8"/>
      <c r="R14" s="8">
        <v>0</v>
      </c>
      <c r="S14" s="8"/>
      <c r="T14" s="8">
        <v>0</v>
      </c>
      <c r="U14" s="8"/>
      <c r="V14" s="8">
        <v>0</v>
      </c>
      <c r="W14" s="8"/>
      <c r="X14" s="8">
        <v>0</v>
      </c>
      <c r="Y14" s="8"/>
      <c r="Z14" s="8">
        <v>0</v>
      </c>
      <c r="AA14" s="8"/>
      <c r="AB14" s="8"/>
      <c r="AC14" s="8"/>
      <c r="AD14" s="8" t="s">
        <v>919</v>
      </c>
      <c r="AE14" s="8">
        <v>30</v>
      </c>
      <c r="AF14" s="9" t="str">
        <f>IFERROR(HYPERLINK("#Technical!A"&amp;MATCH(B14,Technical!A:A,0),"Open Technical"),HYPERLINK("#Technical!A1","Open Technical"))</f>
        <v>Open Technical</v>
      </c>
      <c r="AG14" s="9"/>
    </row>
    <row r="15" spans="1:33" ht="30" customHeight="1" x14ac:dyDescent="0.25">
      <c r="A15" s="11" t="s">
        <v>920</v>
      </c>
      <c r="B15" s="58" t="s">
        <v>226</v>
      </c>
      <c r="C15" s="6">
        <v>200</v>
      </c>
      <c r="D15" s="11" t="s">
        <v>918</v>
      </c>
      <c r="E15" s="11">
        <v>5.7000000000000002E-2</v>
      </c>
      <c r="F15" s="11" t="s">
        <v>230</v>
      </c>
      <c r="G15" s="11" t="s">
        <v>231</v>
      </c>
      <c r="H15" s="11">
        <v>179</v>
      </c>
      <c r="I15" s="66">
        <v>66</v>
      </c>
      <c r="J15" s="61" t="s">
        <v>67</v>
      </c>
      <c r="K15" s="11">
        <v>42</v>
      </c>
      <c r="L15" s="11">
        <v>316</v>
      </c>
      <c r="M15" s="11"/>
      <c r="N15" s="11" t="b">
        <v>0</v>
      </c>
      <c r="O15" s="11"/>
      <c r="P15" s="11">
        <v>0</v>
      </c>
      <c r="Q15" s="11"/>
      <c r="R15" s="11">
        <v>0</v>
      </c>
      <c r="S15" s="11"/>
      <c r="T15" s="11">
        <v>0</v>
      </c>
      <c r="U15" s="11"/>
      <c r="V15" s="11">
        <v>0</v>
      </c>
      <c r="W15" s="11"/>
      <c r="X15" s="11">
        <v>0</v>
      </c>
      <c r="Y15" s="11"/>
      <c r="Z15" s="11">
        <v>0</v>
      </c>
      <c r="AA15" s="11"/>
      <c r="AB15" s="11"/>
      <c r="AC15" s="11"/>
      <c r="AD15" s="11" t="s">
        <v>919</v>
      </c>
      <c r="AE15" s="11">
        <v>30</v>
      </c>
      <c r="AF15" t="str">
        <f>IFERROR(HYPERLINK("#Technical!A"&amp;MATCH(B15,Technical!A:A,0),"Open Technical"),HYPERLINK("#Technical!A1","Open Technical"))</f>
        <v>Open Technical</v>
      </c>
    </row>
    <row r="16" spans="1:33" ht="30" customHeight="1" x14ac:dyDescent="0.25">
      <c r="A16" s="8" t="s">
        <v>920</v>
      </c>
      <c r="B16" s="59" t="s">
        <v>234</v>
      </c>
      <c r="C16" s="6">
        <v>200</v>
      </c>
      <c r="D16" s="8" t="s">
        <v>918</v>
      </c>
      <c r="E16" s="8">
        <v>4.8000000000000001E-2</v>
      </c>
      <c r="F16" s="8" t="s">
        <v>238</v>
      </c>
      <c r="G16" s="8" t="s">
        <v>239</v>
      </c>
      <c r="H16" s="8">
        <v>95</v>
      </c>
      <c r="I16" s="66">
        <v>66</v>
      </c>
      <c r="J16" s="61" t="s">
        <v>67</v>
      </c>
      <c r="K16" s="8">
        <v>53</v>
      </c>
      <c r="L16" s="8">
        <v>340</v>
      </c>
      <c r="M16" s="8"/>
      <c r="N16" s="8" t="b">
        <v>0</v>
      </c>
      <c r="O16" s="8"/>
      <c r="P16" s="8">
        <v>0</v>
      </c>
      <c r="Q16" s="8"/>
      <c r="R16" s="8">
        <v>0</v>
      </c>
      <c r="S16" s="8"/>
      <c r="T16" s="8">
        <v>0</v>
      </c>
      <c r="U16" s="8"/>
      <c r="V16" s="8">
        <v>0</v>
      </c>
      <c r="W16" s="8"/>
      <c r="X16" s="8">
        <v>0</v>
      </c>
      <c r="Y16" s="8"/>
      <c r="Z16" s="8">
        <v>0</v>
      </c>
      <c r="AA16" s="8"/>
      <c r="AB16" s="8"/>
      <c r="AC16" s="8"/>
      <c r="AD16" s="8" t="s">
        <v>919</v>
      </c>
      <c r="AE16" s="8">
        <v>30</v>
      </c>
      <c r="AF16" s="9" t="str">
        <f>IFERROR(HYPERLINK("#Technical!A"&amp;MATCH(B16,Technical!A:A,0),"Open Technical"),HYPERLINK("#Technical!A1","Open Technical"))</f>
        <v>Open Technical</v>
      </c>
      <c r="AG16" s="9"/>
    </row>
    <row r="17" spans="1:33" ht="30" customHeight="1" x14ac:dyDescent="0.25">
      <c r="A17" s="11" t="s">
        <v>920</v>
      </c>
      <c r="B17" s="58" t="s">
        <v>242</v>
      </c>
      <c r="C17" s="6">
        <v>200</v>
      </c>
      <c r="D17" s="11" t="s">
        <v>918</v>
      </c>
      <c r="E17" s="11">
        <v>5.6000000000000001E-2</v>
      </c>
      <c r="F17" s="11" t="s">
        <v>246</v>
      </c>
      <c r="G17" s="11" t="s">
        <v>247</v>
      </c>
      <c r="H17" s="11">
        <v>30</v>
      </c>
      <c r="I17" s="66">
        <v>66</v>
      </c>
      <c r="J17" s="61" t="s">
        <v>67</v>
      </c>
      <c r="K17" s="11">
        <v>41</v>
      </c>
      <c r="L17" s="11">
        <v>88</v>
      </c>
      <c r="M17" s="11"/>
      <c r="N17" s="11" t="b">
        <v>0</v>
      </c>
      <c r="O17" s="11"/>
      <c r="P17" s="11">
        <v>0</v>
      </c>
      <c r="Q17" s="11"/>
      <c r="R17" s="11">
        <v>0</v>
      </c>
      <c r="S17" s="11"/>
      <c r="T17" s="11">
        <v>0</v>
      </c>
      <c r="U17" s="11"/>
      <c r="V17" s="11">
        <v>0</v>
      </c>
      <c r="W17" s="11"/>
      <c r="X17" s="11">
        <v>0</v>
      </c>
      <c r="Y17" s="11"/>
      <c r="Z17" s="11">
        <v>0</v>
      </c>
      <c r="AA17" s="11"/>
      <c r="AB17" s="11"/>
      <c r="AC17" s="11"/>
      <c r="AD17" s="11" t="s">
        <v>919</v>
      </c>
      <c r="AE17" s="11">
        <v>30</v>
      </c>
      <c r="AF17" t="str">
        <f>IFERROR(HYPERLINK("#Technical!A"&amp;MATCH(B17,Technical!A:A,0),"Open Technical"),HYPERLINK("#Technical!A1","Open Technical"))</f>
        <v>Open Technical</v>
      </c>
    </row>
    <row r="18" spans="1:33" ht="30" customHeight="1" x14ac:dyDescent="0.25">
      <c r="A18" s="8" t="s">
        <v>920</v>
      </c>
      <c r="B18" s="59" t="s">
        <v>250</v>
      </c>
      <c r="C18" s="6">
        <v>200</v>
      </c>
      <c r="D18" s="8" t="s">
        <v>918</v>
      </c>
      <c r="E18" s="8">
        <v>5.6000000000000001E-2</v>
      </c>
      <c r="F18" s="8" t="s">
        <v>254</v>
      </c>
      <c r="G18" s="8" t="s">
        <v>255</v>
      </c>
      <c r="H18" s="8">
        <v>20</v>
      </c>
      <c r="I18" s="66">
        <v>66</v>
      </c>
      <c r="J18" s="61" t="s">
        <v>67</v>
      </c>
      <c r="K18" s="8">
        <v>42</v>
      </c>
      <c r="L18" s="8">
        <v>37</v>
      </c>
      <c r="M18" s="8"/>
      <c r="N18" s="8" t="b">
        <v>0</v>
      </c>
      <c r="O18" s="8"/>
      <c r="P18" s="8">
        <v>0</v>
      </c>
      <c r="Q18" s="8"/>
      <c r="R18" s="8">
        <v>0</v>
      </c>
      <c r="S18" s="8"/>
      <c r="T18" s="8">
        <v>0</v>
      </c>
      <c r="U18" s="8"/>
      <c r="V18" s="8">
        <v>0</v>
      </c>
      <c r="W18" s="8"/>
      <c r="X18" s="8">
        <v>0</v>
      </c>
      <c r="Y18" s="8"/>
      <c r="Z18" s="8">
        <v>0</v>
      </c>
      <c r="AA18" s="8"/>
      <c r="AB18" s="8"/>
      <c r="AC18" s="8"/>
      <c r="AD18" s="8" t="s">
        <v>919</v>
      </c>
      <c r="AE18" s="8">
        <v>30</v>
      </c>
      <c r="AF18" s="9" t="str">
        <f>IFERROR(HYPERLINK("#Technical!A"&amp;MATCH(B18,Technical!A:A,0),"Open Technical"),HYPERLINK("#Technical!A1","Open Technical"))</f>
        <v>Open Technical</v>
      </c>
      <c r="AG18" s="9"/>
    </row>
    <row r="19" spans="1:33" ht="30" customHeight="1" x14ac:dyDescent="0.25">
      <c r="A19" s="11" t="s">
        <v>920</v>
      </c>
      <c r="B19" s="58" t="s">
        <v>258</v>
      </c>
      <c r="C19" s="6">
        <v>200</v>
      </c>
      <c r="D19" s="11" t="s">
        <v>918</v>
      </c>
      <c r="E19" s="11">
        <v>5.2999999999999999E-2</v>
      </c>
      <c r="F19" s="11" t="s">
        <v>262</v>
      </c>
      <c r="G19" s="11" t="s">
        <v>263</v>
      </c>
      <c r="H19" s="11">
        <v>678</v>
      </c>
      <c r="I19" s="66">
        <v>69</v>
      </c>
      <c r="J19" s="61" t="s">
        <v>67</v>
      </c>
      <c r="K19" s="11">
        <v>43</v>
      </c>
      <c r="L19" s="11">
        <v>362</v>
      </c>
      <c r="M19" s="11"/>
      <c r="N19" s="11" t="b">
        <v>0</v>
      </c>
      <c r="O19" s="11"/>
      <c r="P19" s="11">
        <v>0</v>
      </c>
      <c r="Q19" s="11"/>
      <c r="R19" s="11">
        <v>0</v>
      </c>
      <c r="S19" s="11"/>
      <c r="T19" s="11">
        <v>0</v>
      </c>
      <c r="U19" s="11"/>
      <c r="V19" s="11">
        <v>0</v>
      </c>
      <c r="W19" s="11"/>
      <c r="X19" s="11">
        <v>0</v>
      </c>
      <c r="Y19" s="11"/>
      <c r="Z19" s="11">
        <v>0</v>
      </c>
      <c r="AA19" s="11"/>
      <c r="AB19" s="11"/>
      <c r="AC19" s="11"/>
      <c r="AD19" s="11" t="s">
        <v>919</v>
      </c>
      <c r="AE19" s="11">
        <v>90</v>
      </c>
      <c r="AF19" t="str">
        <f>IFERROR(HYPERLINK("#Technical!A"&amp;MATCH(B19,Technical!A:A,0),"Open Technical"),HYPERLINK("#Technical!A1","Open Technical"))</f>
        <v>Open Technical</v>
      </c>
    </row>
    <row r="20" spans="1:33" ht="30" customHeight="1" x14ac:dyDescent="0.25">
      <c r="A20" s="8" t="s">
        <v>920</v>
      </c>
      <c r="B20" s="59" t="s">
        <v>266</v>
      </c>
      <c r="C20" s="6">
        <v>200</v>
      </c>
      <c r="D20" s="8" t="s">
        <v>918</v>
      </c>
      <c r="E20" s="8">
        <v>3.5000000000000003E-2</v>
      </c>
      <c r="F20" s="8" t="s">
        <v>270</v>
      </c>
      <c r="G20" s="8" t="s">
        <v>271</v>
      </c>
      <c r="H20" s="8">
        <v>2642</v>
      </c>
      <c r="I20" s="66">
        <v>69</v>
      </c>
      <c r="J20" s="61" t="s">
        <v>67</v>
      </c>
      <c r="K20" s="8">
        <v>42</v>
      </c>
      <c r="L20" s="8">
        <v>354</v>
      </c>
      <c r="M20" s="8"/>
      <c r="N20" s="8" t="b">
        <v>0</v>
      </c>
      <c r="O20" s="8"/>
      <c r="P20" s="8">
        <v>0</v>
      </c>
      <c r="Q20" s="8"/>
      <c r="R20" s="8">
        <v>0</v>
      </c>
      <c r="S20" s="8"/>
      <c r="T20" s="8">
        <v>0</v>
      </c>
      <c r="U20" s="8"/>
      <c r="V20" s="8">
        <v>0</v>
      </c>
      <c r="W20" s="8"/>
      <c r="X20" s="8">
        <v>0</v>
      </c>
      <c r="Y20" s="8"/>
      <c r="Z20" s="8">
        <v>0</v>
      </c>
      <c r="AA20" s="8"/>
      <c r="AB20" s="8"/>
      <c r="AC20" s="8"/>
      <c r="AD20" s="8" t="s">
        <v>919</v>
      </c>
      <c r="AE20" s="8">
        <v>100</v>
      </c>
      <c r="AF20" s="9" t="str">
        <f>IFERROR(HYPERLINK("#Technical!A"&amp;MATCH(B20,Technical!A:A,0),"Open Technical"),HYPERLINK("#Technical!A1","Open Technical"))</f>
        <v>Open Technical</v>
      </c>
      <c r="AG20" s="9"/>
    </row>
    <row r="21" spans="1:33" ht="30" customHeight="1" x14ac:dyDescent="0.25">
      <c r="A21" s="11" t="s">
        <v>920</v>
      </c>
      <c r="B21" s="58" t="s">
        <v>274</v>
      </c>
      <c r="C21" s="6">
        <v>200</v>
      </c>
      <c r="D21" s="11" t="s">
        <v>918</v>
      </c>
      <c r="E21" s="11">
        <v>3.9E-2</v>
      </c>
      <c r="F21" s="11" t="s">
        <v>278</v>
      </c>
      <c r="G21" s="11" t="s">
        <v>279</v>
      </c>
      <c r="H21" s="11">
        <v>1418</v>
      </c>
      <c r="I21" s="66">
        <v>59</v>
      </c>
      <c r="J21" s="61" t="s">
        <v>67</v>
      </c>
      <c r="K21" s="11">
        <v>59</v>
      </c>
      <c r="L21" s="11">
        <v>377</v>
      </c>
      <c r="M21" s="11"/>
      <c r="N21" s="11" t="b">
        <v>0</v>
      </c>
      <c r="O21" s="11"/>
      <c r="P21" s="11">
        <v>0</v>
      </c>
      <c r="Q21" s="11"/>
      <c r="R21" s="11">
        <v>0</v>
      </c>
      <c r="S21" s="11"/>
      <c r="T21" s="11">
        <v>0</v>
      </c>
      <c r="U21" s="11"/>
      <c r="V21" s="11">
        <v>0</v>
      </c>
      <c r="W21" s="11"/>
      <c r="X21" s="11">
        <v>0</v>
      </c>
      <c r="Y21" s="11"/>
      <c r="Z21" s="11">
        <v>0</v>
      </c>
      <c r="AA21" s="11"/>
      <c r="AB21" s="11"/>
      <c r="AC21" s="11"/>
      <c r="AD21" s="11" t="s">
        <v>919</v>
      </c>
      <c r="AE21" s="11">
        <v>100</v>
      </c>
      <c r="AF21" t="str">
        <f>IFERROR(HYPERLINK("#Technical!A"&amp;MATCH(B21,Technical!A:A,0),"Open Technical"),HYPERLINK("#Technical!A1","Open Technical"))</f>
        <v>Open Technical</v>
      </c>
    </row>
    <row r="22" spans="1:33" ht="30" customHeight="1" x14ac:dyDescent="0.25">
      <c r="A22" s="8" t="s">
        <v>920</v>
      </c>
      <c r="B22" s="59" t="s">
        <v>282</v>
      </c>
      <c r="C22" s="6">
        <v>200</v>
      </c>
      <c r="D22" s="8" t="s">
        <v>918</v>
      </c>
      <c r="E22" s="8">
        <v>4.8000000000000001E-2</v>
      </c>
      <c r="F22" s="8" t="s">
        <v>286</v>
      </c>
      <c r="G22" s="8" t="s">
        <v>287</v>
      </c>
      <c r="H22" s="8">
        <v>110</v>
      </c>
      <c r="I22" s="66">
        <v>66</v>
      </c>
      <c r="J22" s="61" t="s">
        <v>67</v>
      </c>
      <c r="K22" s="8">
        <v>51</v>
      </c>
      <c r="L22" s="8">
        <v>339</v>
      </c>
      <c r="M22" s="8"/>
      <c r="N22" s="8" t="b">
        <v>0</v>
      </c>
      <c r="O22" s="8"/>
      <c r="P22" s="8">
        <v>0</v>
      </c>
      <c r="Q22" s="8"/>
      <c r="R22" s="8">
        <v>0</v>
      </c>
      <c r="S22" s="8"/>
      <c r="T22" s="8">
        <v>0</v>
      </c>
      <c r="U22" s="8"/>
      <c r="V22" s="8">
        <v>0</v>
      </c>
      <c r="W22" s="8"/>
      <c r="X22" s="8">
        <v>0</v>
      </c>
      <c r="Y22" s="8"/>
      <c r="Z22" s="8">
        <v>0</v>
      </c>
      <c r="AA22" s="8"/>
      <c r="AB22" s="8"/>
      <c r="AC22" s="8"/>
      <c r="AD22" s="8" t="s">
        <v>919</v>
      </c>
      <c r="AE22" s="8">
        <v>40</v>
      </c>
      <c r="AF22" s="9" t="str">
        <f>IFERROR(HYPERLINK("#Technical!A"&amp;MATCH(B22,Technical!A:A,0),"Open Technical"),HYPERLINK("#Technical!A1","Open Technical"))</f>
        <v>Open Technical</v>
      </c>
      <c r="AG22" s="9"/>
    </row>
    <row r="23" spans="1:33" ht="30" customHeight="1" x14ac:dyDescent="0.25">
      <c r="A23" s="11" t="s">
        <v>920</v>
      </c>
      <c r="B23" s="58" t="s">
        <v>290</v>
      </c>
      <c r="C23" s="6">
        <v>200</v>
      </c>
      <c r="D23" s="11" t="s">
        <v>918</v>
      </c>
      <c r="E23" s="11">
        <v>0.23499999999999999</v>
      </c>
      <c r="F23" s="11" t="s">
        <v>294</v>
      </c>
      <c r="G23" s="11" t="s">
        <v>295</v>
      </c>
      <c r="H23" s="11">
        <v>1853</v>
      </c>
      <c r="I23" s="66">
        <v>56</v>
      </c>
      <c r="J23" s="61" t="s">
        <v>67</v>
      </c>
      <c r="K23" s="11">
        <v>64</v>
      </c>
      <c r="L23" s="11">
        <v>437</v>
      </c>
      <c r="M23" s="11"/>
      <c r="N23" s="11" t="b">
        <v>0</v>
      </c>
      <c r="O23" s="11"/>
      <c r="P23" s="11">
        <v>0</v>
      </c>
      <c r="Q23" s="11"/>
      <c r="R23" s="11">
        <v>0</v>
      </c>
      <c r="S23" s="11"/>
      <c r="T23" s="11">
        <v>0</v>
      </c>
      <c r="U23" s="11"/>
      <c r="V23" s="11">
        <v>0</v>
      </c>
      <c r="W23" s="11"/>
      <c r="X23" s="11">
        <v>0</v>
      </c>
      <c r="Y23" s="11"/>
      <c r="Z23" s="11">
        <v>0</v>
      </c>
      <c r="AA23" s="11"/>
      <c r="AB23" s="11"/>
      <c r="AC23" s="11"/>
      <c r="AD23" s="11" t="s">
        <v>919</v>
      </c>
      <c r="AE23" s="11">
        <v>90</v>
      </c>
      <c r="AF23" t="str">
        <f>IFERROR(HYPERLINK("#Technical!A"&amp;MATCH(B23,Technical!A:A,0),"Open Technical"),HYPERLINK("#Technical!A1","Open Technical"))</f>
        <v>Open Technical</v>
      </c>
    </row>
    <row r="24" spans="1:33" ht="30" customHeight="1" x14ac:dyDescent="0.25">
      <c r="A24" s="8" t="s">
        <v>920</v>
      </c>
      <c r="B24" s="59" t="s">
        <v>298</v>
      </c>
      <c r="C24" s="6">
        <v>200</v>
      </c>
      <c r="D24" s="8" t="s">
        <v>918</v>
      </c>
      <c r="E24" s="8">
        <v>0.04</v>
      </c>
      <c r="F24" s="8" t="s">
        <v>302</v>
      </c>
      <c r="G24" s="8" t="s">
        <v>303</v>
      </c>
      <c r="H24" s="8">
        <v>1161</v>
      </c>
      <c r="I24" s="66">
        <v>59</v>
      </c>
      <c r="J24" s="61" t="s">
        <v>67</v>
      </c>
      <c r="K24" s="8">
        <v>19</v>
      </c>
      <c r="L24" s="8">
        <v>146</v>
      </c>
      <c r="M24" s="8"/>
      <c r="N24" s="8" t="b">
        <v>0</v>
      </c>
      <c r="O24" s="8"/>
      <c r="P24" s="8">
        <v>0</v>
      </c>
      <c r="Q24" s="8"/>
      <c r="R24" s="8">
        <v>0</v>
      </c>
      <c r="S24" s="8"/>
      <c r="T24" s="8">
        <v>0</v>
      </c>
      <c r="U24" s="8"/>
      <c r="V24" s="8">
        <v>0</v>
      </c>
      <c r="W24" s="8"/>
      <c r="X24" s="8">
        <v>0</v>
      </c>
      <c r="Y24" s="8"/>
      <c r="Z24" s="8">
        <v>0</v>
      </c>
      <c r="AA24" s="8"/>
      <c r="AB24" s="8"/>
      <c r="AC24" s="8"/>
      <c r="AD24" s="8" t="s">
        <v>919</v>
      </c>
      <c r="AE24" s="8">
        <v>100</v>
      </c>
      <c r="AF24" s="9" t="str">
        <f>IFERROR(HYPERLINK("#Technical!A"&amp;MATCH(B24,Technical!A:A,0),"Open Technical"),HYPERLINK("#Technical!A1","Open Technical"))</f>
        <v>Open Technical</v>
      </c>
      <c r="AG24" s="9"/>
    </row>
    <row r="25" spans="1:33" ht="30" customHeight="1" x14ac:dyDescent="0.25">
      <c r="A25" s="11" t="s">
        <v>920</v>
      </c>
      <c r="B25" s="58" t="s">
        <v>306</v>
      </c>
      <c r="C25" s="6">
        <v>200</v>
      </c>
      <c r="D25" s="11" t="s">
        <v>918</v>
      </c>
      <c r="E25" s="11">
        <v>6.4000000000000001E-2</v>
      </c>
      <c r="F25" s="11" t="s">
        <v>310</v>
      </c>
      <c r="G25" s="11" t="s">
        <v>311</v>
      </c>
      <c r="H25" s="11">
        <v>178</v>
      </c>
      <c r="I25" s="66">
        <v>56</v>
      </c>
      <c r="J25" s="61" t="s">
        <v>67</v>
      </c>
      <c r="K25" s="11">
        <v>82</v>
      </c>
      <c r="L25" s="11">
        <v>353</v>
      </c>
      <c r="M25" s="11"/>
      <c r="N25" s="11" t="b">
        <v>0</v>
      </c>
      <c r="O25" s="11"/>
      <c r="P25" s="11">
        <v>0</v>
      </c>
      <c r="Q25" s="11"/>
      <c r="R25" s="11">
        <v>0</v>
      </c>
      <c r="S25" s="11"/>
      <c r="T25" s="11">
        <v>0</v>
      </c>
      <c r="U25" s="11"/>
      <c r="V25" s="11">
        <v>0</v>
      </c>
      <c r="W25" s="11"/>
      <c r="X25" s="11">
        <v>0</v>
      </c>
      <c r="Y25" s="11"/>
      <c r="Z25" s="11">
        <v>0</v>
      </c>
      <c r="AA25" s="11"/>
      <c r="AB25" s="11"/>
      <c r="AC25" s="11"/>
      <c r="AD25" s="11" t="s">
        <v>919</v>
      </c>
      <c r="AE25" s="11">
        <v>30</v>
      </c>
      <c r="AF25" t="str">
        <f>IFERROR(HYPERLINK("#Technical!A"&amp;MATCH(B25,Technical!A:A,0),"Open Technical"),HYPERLINK("#Technical!A1","Open Technical"))</f>
        <v>Open Technical</v>
      </c>
    </row>
    <row r="26" spans="1:33" ht="30" customHeight="1" x14ac:dyDescent="0.25">
      <c r="A26" s="8" t="s">
        <v>920</v>
      </c>
      <c r="B26" s="59" t="s">
        <v>314</v>
      </c>
      <c r="C26" s="6">
        <v>200</v>
      </c>
      <c r="D26" s="8" t="s">
        <v>918</v>
      </c>
      <c r="E26" s="8">
        <v>0.63</v>
      </c>
      <c r="F26" s="8" t="s">
        <v>318</v>
      </c>
      <c r="G26" s="8" t="s">
        <v>319</v>
      </c>
      <c r="H26" s="8">
        <v>161</v>
      </c>
      <c r="I26" s="66">
        <v>56</v>
      </c>
      <c r="J26" s="61" t="s">
        <v>67</v>
      </c>
      <c r="K26" s="8">
        <v>70</v>
      </c>
      <c r="L26" s="8">
        <v>411</v>
      </c>
      <c r="M26" s="8"/>
      <c r="N26" s="8" t="b">
        <v>0</v>
      </c>
      <c r="O26" s="8"/>
      <c r="P26" s="8">
        <v>0</v>
      </c>
      <c r="Q26" s="8"/>
      <c r="R26" s="8">
        <v>0</v>
      </c>
      <c r="S26" s="8"/>
      <c r="T26" s="8">
        <v>0</v>
      </c>
      <c r="U26" s="8"/>
      <c r="V26" s="8">
        <v>0</v>
      </c>
      <c r="W26" s="8"/>
      <c r="X26" s="8">
        <v>0</v>
      </c>
      <c r="Y26" s="8"/>
      <c r="Z26" s="8">
        <v>0</v>
      </c>
      <c r="AA26" s="8"/>
      <c r="AB26" s="8"/>
      <c r="AC26" s="8"/>
      <c r="AD26" s="8" t="s">
        <v>919</v>
      </c>
      <c r="AE26" s="8">
        <v>40</v>
      </c>
      <c r="AF26" s="9" t="str">
        <f>IFERROR(HYPERLINK("#Technical!A"&amp;MATCH(B26,Technical!A:A,0),"Open Technical"),HYPERLINK("#Technical!A1","Open Technical"))</f>
        <v>Open Technical</v>
      </c>
      <c r="AG26" s="9"/>
    </row>
    <row r="27" spans="1:33" ht="30" customHeight="1" x14ac:dyDescent="0.25">
      <c r="A27" s="11" t="s">
        <v>920</v>
      </c>
      <c r="B27" s="58" t="s">
        <v>322</v>
      </c>
      <c r="C27" s="6">
        <v>200</v>
      </c>
      <c r="D27" s="11" t="s">
        <v>918</v>
      </c>
      <c r="E27" s="11">
        <v>6.6000000000000003E-2</v>
      </c>
      <c r="F27" s="11" t="s">
        <v>326</v>
      </c>
      <c r="G27" s="11" t="s">
        <v>327</v>
      </c>
      <c r="H27" s="11">
        <v>1125</v>
      </c>
      <c r="I27" s="66">
        <v>66</v>
      </c>
      <c r="J27" s="61" t="s">
        <v>67</v>
      </c>
      <c r="K27" s="11">
        <v>53</v>
      </c>
      <c r="L27" s="11">
        <v>357</v>
      </c>
      <c r="M27" s="11"/>
      <c r="N27" s="11" t="b">
        <v>0</v>
      </c>
      <c r="O27" s="11"/>
      <c r="P27" s="11">
        <v>0</v>
      </c>
      <c r="Q27" s="11"/>
      <c r="R27" s="11">
        <v>0</v>
      </c>
      <c r="S27" s="11"/>
      <c r="T27" s="11">
        <v>0</v>
      </c>
      <c r="U27" s="11"/>
      <c r="V27" s="11">
        <v>0</v>
      </c>
      <c r="W27" s="11"/>
      <c r="X27" s="11">
        <v>0</v>
      </c>
      <c r="Y27" s="11"/>
      <c r="Z27" s="11">
        <v>0</v>
      </c>
      <c r="AA27" s="11"/>
      <c r="AB27" s="11"/>
      <c r="AC27" s="11"/>
      <c r="AD27" s="11" t="s">
        <v>919</v>
      </c>
      <c r="AE27" s="11">
        <v>100</v>
      </c>
      <c r="AF27" t="str">
        <f>IFERROR(HYPERLINK("#Technical!A"&amp;MATCH(B27,Technical!A:A,0),"Open Technical"),HYPERLINK("#Technical!A1","Open Technical"))</f>
        <v>Open Technical</v>
      </c>
    </row>
    <row r="28" spans="1:33" ht="30" customHeight="1" x14ac:dyDescent="0.25">
      <c r="A28" s="8" t="s">
        <v>920</v>
      </c>
      <c r="B28" s="59" t="s">
        <v>330</v>
      </c>
      <c r="C28" s="6">
        <v>200</v>
      </c>
      <c r="D28" s="8" t="s">
        <v>918</v>
      </c>
      <c r="E28" s="8">
        <v>4.1000000000000002E-2</v>
      </c>
      <c r="F28" s="8" t="s">
        <v>334</v>
      </c>
      <c r="G28" s="8" t="s">
        <v>335</v>
      </c>
      <c r="H28" s="8">
        <v>2092</v>
      </c>
      <c r="I28" s="66">
        <v>59</v>
      </c>
      <c r="J28" s="61" t="s">
        <v>67</v>
      </c>
      <c r="K28" s="8">
        <v>51</v>
      </c>
      <c r="L28" s="8">
        <v>347</v>
      </c>
      <c r="M28" s="8"/>
      <c r="N28" s="8" t="b">
        <v>0</v>
      </c>
      <c r="O28" s="8"/>
      <c r="P28" s="8">
        <v>0</v>
      </c>
      <c r="Q28" s="8"/>
      <c r="R28" s="8">
        <v>0</v>
      </c>
      <c r="S28" s="8"/>
      <c r="T28" s="8">
        <v>0</v>
      </c>
      <c r="U28" s="8"/>
      <c r="V28" s="8">
        <v>0</v>
      </c>
      <c r="W28" s="8"/>
      <c r="X28" s="8">
        <v>0</v>
      </c>
      <c r="Y28" s="8"/>
      <c r="Z28" s="8">
        <v>0</v>
      </c>
      <c r="AA28" s="8"/>
      <c r="AB28" s="8"/>
      <c r="AC28" s="8"/>
      <c r="AD28" s="8" t="s">
        <v>919</v>
      </c>
      <c r="AE28" s="8">
        <v>30</v>
      </c>
      <c r="AF28" s="9" t="str">
        <f>IFERROR(HYPERLINK("#Technical!A"&amp;MATCH(B28,Technical!A:A,0),"Open Technical"),HYPERLINK("#Technical!A1","Open Technical"))</f>
        <v>Open Technical</v>
      </c>
      <c r="AG28" s="9"/>
    </row>
    <row r="29" spans="1:33" ht="30" customHeight="1" x14ac:dyDescent="0.25">
      <c r="A29" s="11" t="s">
        <v>920</v>
      </c>
      <c r="B29" s="58" t="s">
        <v>342</v>
      </c>
      <c r="C29" s="6">
        <v>200</v>
      </c>
      <c r="D29" s="11" t="s">
        <v>918</v>
      </c>
      <c r="E29" s="11">
        <v>5.8999999999999997E-2</v>
      </c>
      <c r="F29" s="11" t="s">
        <v>346</v>
      </c>
      <c r="G29" s="11" t="s">
        <v>347</v>
      </c>
      <c r="H29" s="11">
        <v>318</v>
      </c>
      <c r="I29" s="66">
        <v>69</v>
      </c>
      <c r="J29" s="61" t="s">
        <v>67</v>
      </c>
      <c r="K29" s="11">
        <v>60</v>
      </c>
      <c r="L29" s="11">
        <v>379</v>
      </c>
      <c r="M29" s="11"/>
      <c r="N29" s="11" t="b">
        <v>0</v>
      </c>
      <c r="O29" s="11"/>
      <c r="P29" s="11">
        <v>0</v>
      </c>
      <c r="Q29" s="11"/>
      <c r="R29" s="11">
        <v>0</v>
      </c>
      <c r="S29" s="11"/>
      <c r="T29" s="11">
        <v>0</v>
      </c>
      <c r="U29" s="11"/>
      <c r="V29" s="11">
        <v>0</v>
      </c>
      <c r="W29" s="11"/>
      <c r="X29" s="11">
        <v>0</v>
      </c>
      <c r="Y29" s="11"/>
      <c r="Z29" s="11">
        <v>0</v>
      </c>
      <c r="AA29" s="11"/>
      <c r="AB29" s="11"/>
      <c r="AC29" s="11"/>
      <c r="AD29" s="11" t="s">
        <v>919</v>
      </c>
      <c r="AE29" s="11">
        <v>60</v>
      </c>
      <c r="AF29" t="str">
        <f>IFERROR(HYPERLINK("#Technical!A"&amp;MATCH(B29,Technical!A:A,0),"Open Technical"),HYPERLINK("#Technical!A1","Open Technical"))</f>
        <v>Open Technical</v>
      </c>
    </row>
    <row r="30" spans="1:33" ht="30" customHeight="1" x14ac:dyDescent="0.25">
      <c r="A30" s="8" t="s">
        <v>920</v>
      </c>
      <c r="B30" s="59" t="s">
        <v>350</v>
      </c>
      <c r="C30" s="6">
        <v>200</v>
      </c>
      <c r="D30" s="8" t="s">
        <v>918</v>
      </c>
      <c r="E30" s="8">
        <v>4.8000000000000001E-2</v>
      </c>
      <c r="F30" s="8" t="s">
        <v>354</v>
      </c>
      <c r="G30" s="8" t="s">
        <v>355</v>
      </c>
      <c r="H30" s="8">
        <v>1365</v>
      </c>
      <c r="I30" s="66">
        <v>69</v>
      </c>
      <c r="J30" s="61" t="s">
        <v>67</v>
      </c>
      <c r="K30" s="8">
        <v>51</v>
      </c>
      <c r="L30" s="8">
        <v>380</v>
      </c>
      <c r="M30" s="8"/>
      <c r="N30" s="8" t="b">
        <v>0</v>
      </c>
      <c r="O30" s="8"/>
      <c r="P30" s="8">
        <v>0</v>
      </c>
      <c r="Q30" s="8"/>
      <c r="R30" s="8">
        <v>0</v>
      </c>
      <c r="S30" s="8"/>
      <c r="T30" s="8">
        <v>0</v>
      </c>
      <c r="U30" s="8"/>
      <c r="V30" s="8">
        <v>0</v>
      </c>
      <c r="W30" s="8"/>
      <c r="X30" s="8">
        <v>0</v>
      </c>
      <c r="Y30" s="8"/>
      <c r="Z30" s="8">
        <v>0</v>
      </c>
      <c r="AA30" s="8"/>
      <c r="AB30" s="8"/>
      <c r="AC30" s="8"/>
      <c r="AD30" s="8" t="s">
        <v>919</v>
      </c>
      <c r="AE30" s="8">
        <v>100</v>
      </c>
      <c r="AF30" s="9" t="str">
        <f>IFERROR(HYPERLINK("#Technical!A"&amp;MATCH(B30,Technical!A:A,0),"Open Technical"),HYPERLINK("#Technical!A1","Open Technical"))</f>
        <v>Open Technical</v>
      </c>
      <c r="AG30" s="9"/>
    </row>
    <row r="31" spans="1:33" ht="30" customHeight="1" x14ac:dyDescent="0.25">
      <c r="A31" s="11" t="s">
        <v>920</v>
      </c>
      <c r="B31" s="58" t="s">
        <v>358</v>
      </c>
      <c r="C31" s="6">
        <v>200</v>
      </c>
      <c r="D31" s="11" t="s">
        <v>918</v>
      </c>
      <c r="E31" s="11">
        <v>4.3999999999999997E-2</v>
      </c>
      <c r="F31" s="11" t="s">
        <v>362</v>
      </c>
      <c r="G31" s="11" t="s">
        <v>363</v>
      </c>
      <c r="H31" s="11">
        <v>36</v>
      </c>
      <c r="I31" s="66">
        <v>56</v>
      </c>
      <c r="J31" s="61" t="s">
        <v>67</v>
      </c>
      <c r="K31" s="11">
        <v>52</v>
      </c>
      <c r="L31" s="11">
        <v>274</v>
      </c>
      <c r="M31" s="11"/>
      <c r="N31" s="11" t="b">
        <v>0</v>
      </c>
      <c r="O31" s="11"/>
      <c r="P31" s="11">
        <v>0</v>
      </c>
      <c r="Q31" s="11"/>
      <c r="R31" s="11">
        <v>0</v>
      </c>
      <c r="S31" s="11"/>
      <c r="T31" s="11">
        <v>0</v>
      </c>
      <c r="U31" s="11"/>
      <c r="V31" s="11">
        <v>0</v>
      </c>
      <c r="W31" s="11"/>
      <c r="X31" s="11">
        <v>0</v>
      </c>
      <c r="Y31" s="11"/>
      <c r="Z31" s="11">
        <v>0</v>
      </c>
      <c r="AA31" s="11"/>
      <c r="AB31" s="11"/>
      <c r="AC31" s="11"/>
      <c r="AD31" s="11" t="s">
        <v>919</v>
      </c>
      <c r="AE31" s="11">
        <v>40</v>
      </c>
      <c r="AF31" t="str">
        <f>IFERROR(HYPERLINK("#Technical!A"&amp;MATCH(B31,Technical!A:A,0),"Open Technical"),HYPERLINK("#Technical!A1","Open Technical"))</f>
        <v>Open Technical</v>
      </c>
    </row>
    <row r="32" spans="1:33" ht="30" customHeight="1" x14ac:dyDescent="0.25">
      <c r="A32" s="8" t="s">
        <v>920</v>
      </c>
      <c r="B32" s="59" t="s">
        <v>366</v>
      </c>
      <c r="C32" s="6">
        <v>200</v>
      </c>
      <c r="D32" s="8" t="s">
        <v>918</v>
      </c>
      <c r="E32" s="8">
        <v>4.2999999999999997E-2</v>
      </c>
      <c r="F32" s="8" t="s">
        <v>370</v>
      </c>
      <c r="G32" s="8" t="s">
        <v>371</v>
      </c>
      <c r="H32" s="8">
        <v>174</v>
      </c>
      <c r="I32" s="66">
        <v>56</v>
      </c>
      <c r="J32" s="61" t="s">
        <v>67</v>
      </c>
      <c r="K32" s="8">
        <v>72</v>
      </c>
      <c r="L32" s="8">
        <v>347</v>
      </c>
      <c r="M32" s="8"/>
      <c r="N32" s="8" t="b">
        <v>0</v>
      </c>
      <c r="O32" s="8"/>
      <c r="P32" s="8">
        <v>0</v>
      </c>
      <c r="Q32" s="8"/>
      <c r="R32" s="8">
        <v>0</v>
      </c>
      <c r="S32" s="8"/>
      <c r="T32" s="8">
        <v>0</v>
      </c>
      <c r="U32" s="8"/>
      <c r="V32" s="8">
        <v>0</v>
      </c>
      <c r="W32" s="8"/>
      <c r="X32" s="8">
        <v>0</v>
      </c>
      <c r="Y32" s="8"/>
      <c r="Z32" s="8">
        <v>0</v>
      </c>
      <c r="AA32" s="8"/>
      <c r="AB32" s="8"/>
      <c r="AC32" s="8"/>
      <c r="AD32" s="8" t="s">
        <v>919</v>
      </c>
      <c r="AE32" s="8">
        <v>40</v>
      </c>
      <c r="AF32" s="9" t="str">
        <f>IFERROR(HYPERLINK("#Technical!A"&amp;MATCH(B32,Technical!A:A,0),"Open Technical"),HYPERLINK("#Technical!A1","Open Technical"))</f>
        <v>Open Technical</v>
      </c>
      <c r="AG32" s="9"/>
    </row>
    <row r="33" spans="1:33" ht="30" customHeight="1" x14ac:dyDescent="0.25">
      <c r="A33" s="11" t="s">
        <v>920</v>
      </c>
      <c r="B33" s="58" t="s">
        <v>374</v>
      </c>
      <c r="C33" s="6">
        <v>200</v>
      </c>
      <c r="D33" s="11" t="s">
        <v>918</v>
      </c>
      <c r="E33" s="11">
        <v>1.5569999999999999</v>
      </c>
      <c r="F33" s="11" t="s">
        <v>354</v>
      </c>
      <c r="G33" s="11" t="s">
        <v>355</v>
      </c>
      <c r="H33" s="11">
        <v>1365</v>
      </c>
      <c r="I33" s="66">
        <v>69</v>
      </c>
      <c r="J33" s="61" t="s">
        <v>67</v>
      </c>
      <c r="K33" s="11">
        <v>51</v>
      </c>
      <c r="L33" s="11">
        <v>380</v>
      </c>
      <c r="M33" s="11"/>
      <c r="N33" s="11" t="b">
        <v>0</v>
      </c>
      <c r="O33" s="11"/>
      <c r="P33" s="11">
        <v>0</v>
      </c>
      <c r="Q33" s="11"/>
      <c r="R33" s="11">
        <v>0</v>
      </c>
      <c r="S33" s="11"/>
      <c r="T33" s="11">
        <v>0</v>
      </c>
      <c r="U33" s="11"/>
      <c r="V33" s="11">
        <v>0</v>
      </c>
      <c r="W33" s="11"/>
      <c r="X33" s="11">
        <v>0</v>
      </c>
      <c r="Y33" s="11"/>
      <c r="Z33" s="11">
        <v>0</v>
      </c>
      <c r="AA33" s="11"/>
      <c r="AB33" s="11"/>
      <c r="AC33" s="11"/>
      <c r="AD33" s="11" t="s">
        <v>919</v>
      </c>
      <c r="AE33" s="11">
        <v>100</v>
      </c>
      <c r="AF33" t="str">
        <f>IFERROR(HYPERLINK("#Technical!A"&amp;MATCH(B33,Technical!A:A,0),"Open Technical"),HYPERLINK("#Technical!A1","Open Technical"))</f>
        <v>Open Technical</v>
      </c>
    </row>
    <row r="34" spans="1:33" ht="45" customHeight="1" x14ac:dyDescent="0.25">
      <c r="A34" s="8" t="s">
        <v>920</v>
      </c>
      <c r="B34" s="59" t="s">
        <v>377</v>
      </c>
      <c r="C34" s="6">
        <v>200</v>
      </c>
      <c r="D34" s="8" t="s">
        <v>918</v>
      </c>
      <c r="E34" s="8">
        <v>1.29</v>
      </c>
      <c r="F34" s="8" t="s">
        <v>381</v>
      </c>
      <c r="G34" s="8" t="s">
        <v>382</v>
      </c>
      <c r="H34" s="8">
        <v>51</v>
      </c>
      <c r="I34" s="66">
        <v>66</v>
      </c>
      <c r="J34" s="61" t="s">
        <v>67</v>
      </c>
      <c r="K34" s="8">
        <v>68</v>
      </c>
      <c r="L34" s="8">
        <v>346</v>
      </c>
      <c r="M34" s="8"/>
      <c r="N34" s="8" t="b">
        <v>0</v>
      </c>
      <c r="O34" s="8"/>
      <c r="P34" s="8">
        <v>0</v>
      </c>
      <c r="Q34" s="8"/>
      <c r="R34" s="8">
        <v>0</v>
      </c>
      <c r="S34" s="8"/>
      <c r="T34" s="8">
        <v>0</v>
      </c>
      <c r="U34" s="8"/>
      <c r="V34" s="8">
        <v>0</v>
      </c>
      <c r="W34" s="8"/>
      <c r="X34" s="8">
        <v>0</v>
      </c>
      <c r="Y34" s="8"/>
      <c r="Z34" s="8">
        <v>0</v>
      </c>
      <c r="AA34" s="8"/>
      <c r="AB34" s="8"/>
      <c r="AC34" s="8"/>
      <c r="AD34" s="8" t="s">
        <v>919</v>
      </c>
      <c r="AE34" s="8">
        <v>40</v>
      </c>
      <c r="AF34" s="9" t="str">
        <f>IFERROR(HYPERLINK("#Technical!A"&amp;MATCH(B34,Technical!A:A,0),"Open Technical"),HYPERLINK("#Technical!A1","Open Technical"))</f>
        <v>Open Technical</v>
      </c>
      <c r="AG34" s="9"/>
    </row>
    <row r="35" spans="1:33" ht="30" customHeight="1" x14ac:dyDescent="0.25">
      <c r="A35" s="11" t="s">
        <v>920</v>
      </c>
      <c r="B35" s="58" t="s">
        <v>385</v>
      </c>
      <c r="C35" s="6">
        <v>200</v>
      </c>
      <c r="D35" s="11" t="s">
        <v>918</v>
      </c>
      <c r="E35" s="11">
        <v>0.104</v>
      </c>
      <c r="F35" s="11" t="s">
        <v>389</v>
      </c>
      <c r="G35" s="11" t="s">
        <v>390</v>
      </c>
      <c r="H35" s="11">
        <v>549</v>
      </c>
      <c r="I35" s="66">
        <v>69</v>
      </c>
      <c r="J35" s="61" t="s">
        <v>67</v>
      </c>
      <c r="K35" s="11">
        <v>55</v>
      </c>
      <c r="L35" s="11">
        <v>702</v>
      </c>
      <c r="M35" s="11"/>
      <c r="N35" s="11" t="b">
        <v>0</v>
      </c>
      <c r="O35" s="11"/>
      <c r="P35" s="11">
        <v>0</v>
      </c>
      <c r="Q35" s="11"/>
      <c r="R35" s="11">
        <v>0</v>
      </c>
      <c r="S35" s="11"/>
      <c r="T35" s="11">
        <v>0</v>
      </c>
      <c r="U35" s="11"/>
      <c r="V35" s="11">
        <v>0</v>
      </c>
      <c r="W35" s="11"/>
      <c r="X35" s="11">
        <v>0</v>
      </c>
      <c r="Y35" s="11"/>
      <c r="Z35" s="11">
        <v>0</v>
      </c>
      <c r="AA35" s="11"/>
      <c r="AB35" s="11"/>
      <c r="AC35" s="11"/>
      <c r="AD35" s="11" t="s">
        <v>919</v>
      </c>
      <c r="AE35" s="11">
        <v>100</v>
      </c>
      <c r="AF35" t="str">
        <f>IFERROR(HYPERLINK("#Technical!A"&amp;MATCH(B35,Technical!A:A,0),"Open Technical"),HYPERLINK("#Technical!A1","Open Technical"))</f>
        <v>Open Technical</v>
      </c>
    </row>
    <row r="36" spans="1:33" ht="30" customHeight="1" x14ac:dyDescent="0.25">
      <c r="A36" s="8" t="s">
        <v>920</v>
      </c>
      <c r="B36" s="59" t="s">
        <v>393</v>
      </c>
      <c r="C36" s="6">
        <v>200</v>
      </c>
      <c r="D36" s="8" t="s">
        <v>918</v>
      </c>
      <c r="E36" s="8">
        <v>4.8000000000000001E-2</v>
      </c>
      <c r="F36" s="8" t="s">
        <v>397</v>
      </c>
      <c r="G36" s="8" t="s">
        <v>398</v>
      </c>
      <c r="H36" s="8">
        <v>598</v>
      </c>
      <c r="I36" s="66">
        <v>69</v>
      </c>
      <c r="J36" s="61" t="s">
        <v>67</v>
      </c>
      <c r="K36" s="8">
        <v>54</v>
      </c>
      <c r="L36" s="8">
        <v>576</v>
      </c>
      <c r="M36" s="8"/>
      <c r="N36" s="8" t="b">
        <v>0</v>
      </c>
      <c r="O36" s="8"/>
      <c r="P36" s="8">
        <v>0</v>
      </c>
      <c r="Q36" s="8"/>
      <c r="R36" s="8">
        <v>0</v>
      </c>
      <c r="S36" s="8"/>
      <c r="T36" s="8">
        <v>0</v>
      </c>
      <c r="U36" s="8"/>
      <c r="V36" s="8">
        <v>0</v>
      </c>
      <c r="W36" s="8"/>
      <c r="X36" s="8">
        <v>0</v>
      </c>
      <c r="Y36" s="8"/>
      <c r="Z36" s="8">
        <v>0</v>
      </c>
      <c r="AA36" s="8"/>
      <c r="AB36" s="8"/>
      <c r="AC36" s="8"/>
      <c r="AD36" s="8" t="s">
        <v>919</v>
      </c>
      <c r="AE36" s="8">
        <v>100</v>
      </c>
      <c r="AF36" s="9" t="str">
        <f>IFERROR(HYPERLINK("#Technical!A"&amp;MATCH(B36,Technical!A:A,0),"Open Technical"),HYPERLINK("#Technical!A1","Open Technical"))</f>
        <v>Open Technical</v>
      </c>
      <c r="AG36" s="9"/>
    </row>
    <row r="37" spans="1:33" ht="30" customHeight="1" x14ac:dyDescent="0.25">
      <c r="A37" s="11" t="s">
        <v>920</v>
      </c>
      <c r="B37" s="58" t="s">
        <v>401</v>
      </c>
      <c r="C37" s="6">
        <v>200</v>
      </c>
      <c r="D37" s="11" t="s">
        <v>918</v>
      </c>
      <c r="E37" s="11">
        <v>8.5999999999999993E-2</v>
      </c>
      <c r="F37" s="11" t="s">
        <v>405</v>
      </c>
      <c r="G37" s="11" t="s">
        <v>406</v>
      </c>
      <c r="H37" s="11">
        <v>45</v>
      </c>
      <c r="I37" s="66">
        <v>56</v>
      </c>
      <c r="J37" s="61" t="s">
        <v>67</v>
      </c>
      <c r="K37" s="11">
        <v>26</v>
      </c>
      <c r="L37" s="11">
        <v>151</v>
      </c>
      <c r="M37" s="11"/>
      <c r="N37" s="11" t="b">
        <v>0</v>
      </c>
      <c r="O37" s="11"/>
      <c r="P37" s="11">
        <v>0</v>
      </c>
      <c r="Q37" s="11"/>
      <c r="R37" s="11">
        <v>0</v>
      </c>
      <c r="S37" s="11"/>
      <c r="T37" s="11">
        <v>0</v>
      </c>
      <c r="U37" s="11"/>
      <c r="V37" s="11">
        <v>0</v>
      </c>
      <c r="W37" s="11"/>
      <c r="X37" s="11">
        <v>0</v>
      </c>
      <c r="Y37" s="11"/>
      <c r="Z37" s="11">
        <v>0</v>
      </c>
      <c r="AA37" s="11"/>
      <c r="AB37" s="11"/>
      <c r="AC37" s="11"/>
      <c r="AD37" s="11" t="s">
        <v>919</v>
      </c>
      <c r="AE37" s="11">
        <v>40</v>
      </c>
      <c r="AF37" t="str">
        <f>IFERROR(HYPERLINK("#Technical!A"&amp;MATCH(B37,Technical!A:A,0),"Open Technical"),HYPERLINK("#Technical!A1","Open Technical"))</f>
        <v>Open Technical</v>
      </c>
    </row>
    <row r="38" spans="1:33" ht="45" customHeight="1" x14ac:dyDescent="0.25">
      <c r="A38" s="8" t="s">
        <v>920</v>
      </c>
      <c r="B38" s="59" t="s">
        <v>409</v>
      </c>
      <c r="C38" s="6">
        <v>200</v>
      </c>
      <c r="D38" s="8" t="s">
        <v>918</v>
      </c>
      <c r="E38" s="8">
        <v>3.3000000000000002E-2</v>
      </c>
      <c r="F38" s="8" t="s">
        <v>413</v>
      </c>
      <c r="G38" s="8" t="s">
        <v>414</v>
      </c>
      <c r="H38" s="8">
        <v>31</v>
      </c>
      <c r="I38" s="66">
        <v>56</v>
      </c>
      <c r="J38" s="61" t="s">
        <v>67</v>
      </c>
      <c r="K38" s="8">
        <v>65</v>
      </c>
      <c r="L38" s="8">
        <v>278</v>
      </c>
      <c r="M38" s="8"/>
      <c r="N38" s="8" t="b">
        <v>0</v>
      </c>
      <c r="O38" s="8"/>
      <c r="P38" s="8">
        <v>0</v>
      </c>
      <c r="Q38" s="8"/>
      <c r="R38" s="8">
        <v>0</v>
      </c>
      <c r="S38" s="8"/>
      <c r="T38" s="8">
        <v>0</v>
      </c>
      <c r="U38" s="8"/>
      <c r="V38" s="8">
        <v>0</v>
      </c>
      <c r="W38" s="8"/>
      <c r="X38" s="8">
        <v>0</v>
      </c>
      <c r="Y38" s="8"/>
      <c r="Z38" s="8">
        <v>0</v>
      </c>
      <c r="AA38" s="8"/>
      <c r="AB38" s="8"/>
      <c r="AC38" s="8"/>
      <c r="AD38" s="8" t="s">
        <v>919</v>
      </c>
      <c r="AE38" s="8">
        <v>40</v>
      </c>
      <c r="AF38" s="9" t="str">
        <f>IFERROR(HYPERLINK("#Technical!A"&amp;MATCH(B38,Technical!A:A,0),"Open Technical"),HYPERLINK("#Technical!A1","Open Technical"))</f>
        <v>Open Technical</v>
      </c>
      <c r="AG38" s="9"/>
    </row>
    <row r="39" spans="1:33" ht="30" customHeight="1" x14ac:dyDescent="0.25">
      <c r="A39" s="11" t="s">
        <v>920</v>
      </c>
      <c r="B39" s="58" t="s">
        <v>417</v>
      </c>
      <c r="C39" s="6">
        <v>200</v>
      </c>
      <c r="D39" s="11" t="s">
        <v>918</v>
      </c>
      <c r="E39" s="11">
        <v>4.5999999999999999E-2</v>
      </c>
      <c r="F39" s="11" t="s">
        <v>421</v>
      </c>
      <c r="G39" s="11" t="s">
        <v>422</v>
      </c>
      <c r="H39" s="11">
        <v>1207</v>
      </c>
      <c r="I39" s="66">
        <v>69</v>
      </c>
      <c r="J39" s="61" t="s">
        <v>67</v>
      </c>
      <c r="K39" s="11">
        <v>45</v>
      </c>
      <c r="L39" s="11">
        <v>372</v>
      </c>
      <c r="M39" s="11"/>
      <c r="N39" s="11" t="b">
        <v>0</v>
      </c>
      <c r="O39" s="11"/>
      <c r="P39" s="11">
        <v>0</v>
      </c>
      <c r="Q39" s="11"/>
      <c r="R39" s="11">
        <v>0</v>
      </c>
      <c r="S39" s="11"/>
      <c r="T39" s="11">
        <v>0</v>
      </c>
      <c r="U39" s="11"/>
      <c r="V39" s="11">
        <v>0</v>
      </c>
      <c r="W39" s="11"/>
      <c r="X39" s="11">
        <v>0</v>
      </c>
      <c r="Y39" s="11"/>
      <c r="Z39" s="11">
        <v>0</v>
      </c>
      <c r="AA39" s="11"/>
      <c r="AB39" s="11"/>
      <c r="AC39" s="11"/>
      <c r="AD39" s="11" t="s">
        <v>919</v>
      </c>
      <c r="AE39" s="11">
        <v>40</v>
      </c>
      <c r="AF39" t="str">
        <f>IFERROR(HYPERLINK("#Technical!A"&amp;MATCH(B39,Technical!A:A,0),"Open Technical"),HYPERLINK("#Technical!A1","Open Technical"))</f>
        <v>Open Technical</v>
      </c>
    </row>
    <row r="40" spans="1:33" ht="30" customHeight="1" x14ac:dyDescent="0.25">
      <c r="A40" s="8" t="s">
        <v>920</v>
      </c>
      <c r="B40" s="59" t="s">
        <v>425</v>
      </c>
      <c r="C40" s="6">
        <v>200</v>
      </c>
      <c r="D40" s="8" t="s">
        <v>918</v>
      </c>
      <c r="E40" s="8">
        <v>3.5999999999999997E-2</v>
      </c>
      <c r="F40" s="8" t="s">
        <v>429</v>
      </c>
      <c r="G40" s="8" t="s">
        <v>430</v>
      </c>
      <c r="H40" s="8">
        <v>1300</v>
      </c>
      <c r="I40" s="66">
        <v>69</v>
      </c>
      <c r="J40" s="61" t="s">
        <v>67</v>
      </c>
      <c r="K40" s="8">
        <v>48</v>
      </c>
      <c r="L40" s="8">
        <v>384</v>
      </c>
      <c r="M40" s="8"/>
      <c r="N40" s="8" t="b">
        <v>0</v>
      </c>
      <c r="O40" s="8"/>
      <c r="P40" s="8">
        <v>0</v>
      </c>
      <c r="Q40" s="8"/>
      <c r="R40" s="8">
        <v>0</v>
      </c>
      <c r="S40" s="8"/>
      <c r="T40" s="8">
        <v>0</v>
      </c>
      <c r="U40" s="8"/>
      <c r="V40" s="8">
        <v>0</v>
      </c>
      <c r="W40" s="8"/>
      <c r="X40" s="8">
        <v>0</v>
      </c>
      <c r="Y40" s="8"/>
      <c r="Z40" s="8">
        <v>0</v>
      </c>
      <c r="AA40" s="8"/>
      <c r="AB40" s="8"/>
      <c r="AC40" s="8"/>
      <c r="AD40" s="8" t="s">
        <v>919</v>
      </c>
      <c r="AE40" s="8">
        <v>100</v>
      </c>
      <c r="AF40" s="9" t="str">
        <f>IFERROR(HYPERLINK("#Technical!A"&amp;MATCH(B40,Technical!A:A,0),"Open Technical"),HYPERLINK("#Technical!A1","Open Technical"))</f>
        <v>Open Technical</v>
      </c>
      <c r="AG40" s="9"/>
    </row>
    <row r="41" spans="1:33" ht="30" customHeight="1" x14ac:dyDescent="0.25">
      <c r="A41" s="11" t="s">
        <v>920</v>
      </c>
      <c r="B41" s="58" t="s">
        <v>436</v>
      </c>
      <c r="C41" s="6">
        <v>200</v>
      </c>
      <c r="D41" s="11" t="s">
        <v>918</v>
      </c>
      <c r="E41" s="11">
        <v>0.04</v>
      </c>
      <c r="F41" s="11" t="s">
        <v>440</v>
      </c>
      <c r="G41" s="11" t="s">
        <v>441</v>
      </c>
      <c r="H41" s="11">
        <v>31</v>
      </c>
      <c r="I41" s="66">
        <v>56</v>
      </c>
      <c r="J41" s="61" t="s">
        <v>67</v>
      </c>
      <c r="K41" s="11">
        <v>58</v>
      </c>
      <c r="L41" s="11">
        <v>225</v>
      </c>
      <c r="M41" s="11"/>
      <c r="N41" s="11" t="b">
        <v>0</v>
      </c>
      <c r="O41" s="11"/>
      <c r="P41" s="11">
        <v>0</v>
      </c>
      <c r="Q41" s="11"/>
      <c r="R41" s="11">
        <v>0</v>
      </c>
      <c r="S41" s="11"/>
      <c r="T41" s="11">
        <v>0</v>
      </c>
      <c r="U41" s="11"/>
      <c r="V41" s="11">
        <v>0</v>
      </c>
      <c r="W41" s="11"/>
      <c r="X41" s="11">
        <v>0</v>
      </c>
      <c r="Y41" s="11"/>
      <c r="Z41" s="11">
        <v>0</v>
      </c>
      <c r="AA41" s="11"/>
      <c r="AB41" s="11"/>
      <c r="AC41" s="11"/>
      <c r="AD41" s="11" t="s">
        <v>919</v>
      </c>
      <c r="AE41" s="11">
        <v>40</v>
      </c>
      <c r="AF41" t="str">
        <f>IFERROR(HYPERLINK("#Technical!A"&amp;MATCH(B41,Technical!A:A,0),"Open Technical"),HYPERLINK("#Technical!A1","Open Technical"))</f>
        <v>Open Technical</v>
      </c>
    </row>
    <row r="42" spans="1:33" ht="30" customHeight="1" x14ac:dyDescent="0.25">
      <c r="A42" s="8" t="s">
        <v>920</v>
      </c>
      <c r="B42" s="59" t="s">
        <v>444</v>
      </c>
      <c r="C42" s="6">
        <v>200</v>
      </c>
      <c r="D42" s="8" t="s">
        <v>918</v>
      </c>
      <c r="E42" s="8">
        <v>4.5999999999999999E-2</v>
      </c>
      <c r="F42" s="8" t="s">
        <v>447</v>
      </c>
      <c r="G42" s="8"/>
      <c r="H42" s="8">
        <v>15</v>
      </c>
      <c r="I42" s="66">
        <v>46</v>
      </c>
      <c r="J42" s="61" t="s">
        <v>67</v>
      </c>
      <c r="K42" s="8">
        <v>60</v>
      </c>
      <c r="L42" s="8">
        <v>0</v>
      </c>
      <c r="M42" s="8"/>
      <c r="N42" s="8" t="b">
        <v>0</v>
      </c>
      <c r="O42" s="8"/>
      <c r="P42" s="8">
        <v>0</v>
      </c>
      <c r="Q42" s="8"/>
      <c r="R42" s="8">
        <v>0</v>
      </c>
      <c r="S42" s="8"/>
      <c r="T42" s="8">
        <v>0</v>
      </c>
      <c r="U42" s="8"/>
      <c r="V42" s="8">
        <v>0</v>
      </c>
      <c r="W42" s="8"/>
      <c r="X42" s="8">
        <v>0</v>
      </c>
      <c r="Y42" s="8"/>
      <c r="Z42" s="8">
        <v>0</v>
      </c>
      <c r="AA42" s="8"/>
      <c r="AB42" s="8"/>
      <c r="AC42" s="8"/>
      <c r="AD42" s="8" t="s">
        <v>919</v>
      </c>
      <c r="AE42" s="8">
        <v>30</v>
      </c>
      <c r="AF42" s="9" t="str">
        <f>IFERROR(HYPERLINK("#Technical!A"&amp;MATCH(B42,Technical!A:A,0),"Open Technical"),HYPERLINK("#Technical!A1","Open Technical"))</f>
        <v>Open Technical</v>
      </c>
      <c r="AG42" s="9"/>
    </row>
    <row r="43" spans="1:33" ht="30" customHeight="1" x14ac:dyDescent="0.25">
      <c r="A43" s="11" t="s">
        <v>920</v>
      </c>
      <c r="B43" s="58" t="s">
        <v>449</v>
      </c>
      <c r="C43" s="6">
        <v>200</v>
      </c>
      <c r="D43" s="11" t="s">
        <v>918</v>
      </c>
      <c r="E43" s="11">
        <v>3.1E-2</v>
      </c>
      <c r="F43" s="11" t="s">
        <v>453</v>
      </c>
      <c r="G43" s="11" t="s">
        <v>454</v>
      </c>
      <c r="H43" s="11">
        <v>32</v>
      </c>
      <c r="I43" s="66">
        <v>56</v>
      </c>
      <c r="J43" s="61" t="s">
        <v>67</v>
      </c>
      <c r="K43" s="11">
        <v>61</v>
      </c>
      <c r="L43" s="11">
        <v>117</v>
      </c>
      <c r="M43" s="11"/>
      <c r="N43" s="11" t="b">
        <v>0</v>
      </c>
      <c r="O43" s="11"/>
      <c r="P43" s="11">
        <v>0</v>
      </c>
      <c r="Q43" s="11"/>
      <c r="R43" s="11">
        <v>0</v>
      </c>
      <c r="S43" s="11"/>
      <c r="T43" s="11">
        <v>0</v>
      </c>
      <c r="U43" s="11"/>
      <c r="V43" s="11">
        <v>0</v>
      </c>
      <c r="W43" s="11"/>
      <c r="X43" s="11">
        <v>0</v>
      </c>
      <c r="Y43" s="11"/>
      <c r="Z43" s="11">
        <v>0</v>
      </c>
      <c r="AA43" s="11"/>
      <c r="AB43" s="11"/>
      <c r="AC43" s="11"/>
      <c r="AD43" s="11" t="s">
        <v>919</v>
      </c>
      <c r="AE43" s="11">
        <v>30</v>
      </c>
      <c r="AF43" t="str">
        <f>IFERROR(HYPERLINK("#Technical!A"&amp;MATCH(B43,Technical!A:A,0),"Open Technical"),HYPERLINK("#Technical!A1","Open Technical"))</f>
        <v>Open Technical</v>
      </c>
    </row>
    <row r="44" spans="1:33" ht="30" customHeight="1" x14ac:dyDescent="0.25">
      <c r="A44" s="8" t="s">
        <v>920</v>
      </c>
      <c r="B44" s="59" t="s">
        <v>457</v>
      </c>
      <c r="C44" s="6">
        <v>200</v>
      </c>
      <c r="D44" s="8" t="s">
        <v>918</v>
      </c>
      <c r="E44" s="8">
        <v>3.5000000000000003E-2</v>
      </c>
      <c r="F44" s="8" t="s">
        <v>461</v>
      </c>
      <c r="G44" s="8" t="s">
        <v>462</v>
      </c>
      <c r="H44" s="8">
        <v>214</v>
      </c>
      <c r="I44" s="66">
        <v>56</v>
      </c>
      <c r="J44" s="61" t="s">
        <v>67</v>
      </c>
      <c r="K44" s="8">
        <v>49</v>
      </c>
      <c r="L44" s="8">
        <v>357</v>
      </c>
      <c r="M44" s="8"/>
      <c r="N44" s="8" t="b">
        <v>0</v>
      </c>
      <c r="O44" s="8"/>
      <c r="P44" s="8">
        <v>0</v>
      </c>
      <c r="Q44" s="8"/>
      <c r="R44" s="8">
        <v>0</v>
      </c>
      <c r="S44" s="8"/>
      <c r="T44" s="8">
        <v>0</v>
      </c>
      <c r="U44" s="8"/>
      <c r="V44" s="8">
        <v>0</v>
      </c>
      <c r="W44" s="8"/>
      <c r="X44" s="8">
        <v>0</v>
      </c>
      <c r="Y44" s="8"/>
      <c r="Z44" s="8">
        <v>0</v>
      </c>
      <c r="AA44" s="8"/>
      <c r="AB44" s="8"/>
      <c r="AC44" s="8"/>
      <c r="AD44" s="8" t="s">
        <v>919</v>
      </c>
      <c r="AE44" s="8">
        <v>30</v>
      </c>
      <c r="AF44" s="9" t="str">
        <f>IFERROR(HYPERLINK("#Technical!A"&amp;MATCH(B44,Technical!A:A,0),"Open Technical"),HYPERLINK("#Technical!A1","Open Technical"))</f>
        <v>Open Technical</v>
      </c>
      <c r="AG44" s="9"/>
    </row>
    <row r="45" spans="1:33" ht="30" customHeight="1" x14ac:dyDescent="0.25">
      <c r="A45" s="11" t="s">
        <v>920</v>
      </c>
      <c r="B45" s="58" t="s">
        <v>465</v>
      </c>
      <c r="C45" s="6">
        <v>200</v>
      </c>
      <c r="D45" s="11" t="s">
        <v>918</v>
      </c>
      <c r="E45" s="11">
        <v>3.6999999999999998E-2</v>
      </c>
      <c r="F45" s="11" t="s">
        <v>469</v>
      </c>
      <c r="G45" s="11" t="s">
        <v>470</v>
      </c>
      <c r="H45" s="11">
        <v>452</v>
      </c>
      <c r="I45" s="66">
        <v>59</v>
      </c>
      <c r="J45" s="61" t="s">
        <v>67</v>
      </c>
      <c r="K45" s="11">
        <v>58</v>
      </c>
      <c r="L45" s="11">
        <v>356</v>
      </c>
      <c r="M45" s="11"/>
      <c r="N45" s="11" t="b">
        <v>0</v>
      </c>
      <c r="O45" s="11"/>
      <c r="P45" s="11">
        <v>0</v>
      </c>
      <c r="Q45" s="11"/>
      <c r="R45" s="11">
        <v>0</v>
      </c>
      <c r="S45" s="11"/>
      <c r="T45" s="11">
        <v>0</v>
      </c>
      <c r="U45" s="11"/>
      <c r="V45" s="11">
        <v>0</v>
      </c>
      <c r="W45" s="11"/>
      <c r="X45" s="11">
        <v>0</v>
      </c>
      <c r="Y45" s="11"/>
      <c r="Z45" s="11">
        <v>0</v>
      </c>
      <c r="AA45" s="11"/>
      <c r="AB45" s="11"/>
      <c r="AC45" s="11"/>
      <c r="AD45" s="11" t="s">
        <v>919</v>
      </c>
      <c r="AE45" s="11">
        <v>70</v>
      </c>
      <c r="AF45" t="str">
        <f>IFERROR(HYPERLINK("#Technical!A"&amp;MATCH(B45,Technical!A:A,0),"Open Technical"),HYPERLINK("#Technical!A1","Open Technical"))</f>
        <v>Open Technical</v>
      </c>
    </row>
    <row r="46" spans="1:33" ht="30" customHeight="1" x14ac:dyDescent="0.25">
      <c r="A46" s="8" t="s">
        <v>920</v>
      </c>
      <c r="B46" s="59" t="s">
        <v>473</v>
      </c>
      <c r="C46" s="6">
        <v>200</v>
      </c>
      <c r="D46" s="8" t="s">
        <v>918</v>
      </c>
      <c r="E46" s="8">
        <v>4.4999999999999998E-2</v>
      </c>
      <c r="F46" s="8" t="s">
        <v>477</v>
      </c>
      <c r="G46" s="8" t="s">
        <v>478</v>
      </c>
      <c r="H46" s="8">
        <v>573</v>
      </c>
      <c r="I46" s="66">
        <v>69</v>
      </c>
      <c r="J46" s="61" t="s">
        <v>67</v>
      </c>
      <c r="K46" s="8">
        <v>59</v>
      </c>
      <c r="L46" s="8">
        <v>1077</v>
      </c>
      <c r="M46" s="8"/>
      <c r="N46" s="8" t="b">
        <v>0</v>
      </c>
      <c r="O46" s="8"/>
      <c r="P46" s="8">
        <v>0</v>
      </c>
      <c r="Q46" s="8"/>
      <c r="R46" s="8">
        <v>0</v>
      </c>
      <c r="S46" s="8"/>
      <c r="T46" s="8">
        <v>0</v>
      </c>
      <c r="U46" s="8"/>
      <c r="V46" s="8">
        <v>0</v>
      </c>
      <c r="W46" s="8"/>
      <c r="X46" s="8">
        <v>0</v>
      </c>
      <c r="Y46" s="8"/>
      <c r="Z46" s="8">
        <v>0</v>
      </c>
      <c r="AA46" s="8"/>
      <c r="AB46" s="8"/>
      <c r="AC46" s="8"/>
      <c r="AD46" s="8" t="s">
        <v>919</v>
      </c>
      <c r="AE46" s="8">
        <v>100</v>
      </c>
      <c r="AF46" s="9" t="str">
        <f>IFERROR(HYPERLINK("#Technical!A"&amp;MATCH(B46,Technical!A:A,0),"Open Technical"),HYPERLINK("#Technical!A1","Open Technical"))</f>
        <v>Open Technical</v>
      </c>
      <c r="AG46" s="9"/>
    </row>
    <row r="47" spans="1:33" ht="30" customHeight="1" x14ac:dyDescent="0.25">
      <c r="A47" s="11" t="s">
        <v>920</v>
      </c>
      <c r="B47" s="58" t="s">
        <v>481</v>
      </c>
      <c r="C47" s="6">
        <v>200</v>
      </c>
      <c r="D47" s="11" t="s">
        <v>918</v>
      </c>
      <c r="E47" s="11">
        <v>4.7E-2</v>
      </c>
      <c r="F47" s="11" t="s">
        <v>485</v>
      </c>
      <c r="G47" s="11" t="s">
        <v>486</v>
      </c>
      <c r="H47" s="11">
        <v>1132</v>
      </c>
      <c r="I47" s="66">
        <v>69</v>
      </c>
      <c r="J47" s="61" t="s">
        <v>67</v>
      </c>
      <c r="K47" s="11">
        <v>47</v>
      </c>
      <c r="L47" s="11">
        <v>161</v>
      </c>
      <c r="M47" s="11"/>
      <c r="N47" s="11" t="b">
        <v>0</v>
      </c>
      <c r="O47" s="11"/>
      <c r="P47" s="11">
        <v>0</v>
      </c>
      <c r="Q47" s="11"/>
      <c r="R47" s="11">
        <v>0</v>
      </c>
      <c r="S47" s="11"/>
      <c r="T47" s="11">
        <v>0</v>
      </c>
      <c r="U47" s="11"/>
      <c r="V47" s="11">
        <v>0</v>
      </c>
      <c r="W47" s="11"/>
      <c r="X47" s="11">
        <v>0</v>
      </c>
      <c r="Y47" s="11"/>
      <c r="Z47" s="11">
        <v>0</v>
      </c>
      <c r="AA47" s="11"/>
      <c r="AB47" s="11"/>
      <c r="AC47" s="11"/>
      <c r="AD47" s="11" t="s">
        <v>919</v>
      </c>
      <c r="AE47" s="11">
        <v>100</v>
      </c>
      <c r="AF47" t="str">
        <f>IFERROR(HYPERLINK("#Technical!A"&amp;MATCH(B47,Technical!A:A,0),"Open Technical"),HYPERLINK("#Technical!A1","Open Technical"))</f>
        <v>Open Technical</v>
      </c>
    </row>
    <row r="48" spans="1:33" ht="30" customHeight="1" x14ac:dyDescent="0.25">
      <c r="A48" s="8" t="s">
        <v>920</v>
      </c>
      <c r="B48" s="59" t="s">
        <v>489</v>
      </c>
      <c r="C48" s="6">
        <v>200</v>
      </c>
      <c r="D48" s="8" t="s">
        <v>918</v>
      </c>
      <c r="E48" s="8">
        <v>3.6999999999999998E-2</v>
      </c>
      <c r="F48" s="8" t="s">
        <v>493</v>
      </c>
      <c r="G48" s="8" t="s">
        <v>494</v>
      </c>
      <c r="H48" s="8">
        <v>587</v>
      </c>
      <c r="I48" s="66">
        <v>69</v>
      </c>
      <c r="J48" s="61" t="s">
        <v>67</v>
      </c>
      <c r="K48" s="8">
        <v>57</v>
      </c>
      <c r="L48" s="8">
        <v>376</v>
      </c>
      <c r="M48" s="8"/>
      <c r="N48" s="8" t="b">
        <v>0</v>
      </c>
      <c r="O48" s="8"/>
      <c r="P48" s="8">
        <v>0</v>
      </c>
      <c r="Q48" s="8"/>
      <c r="R48" s="8">
        <v>0</v>
      </c>
      <c r="S48" s="8"/>
      <c r="T48" s="8">
        <v>0</v>
      </c>
      <c r="U48" s="8"/>
      <c r="V48" s="8">
        <v>0</v>
      </c>
      <c r="W48" s="8"/>
      <c r="X48" s="8">
        <v>0</v>
      </c>
      <c r="Y48" s="8"/>
      <c r="Z48" s="8">
        <v>0</v>
      </c>
      <c r="AA48" s="8"/>
      <c r="AB48" s="8"/>
      <c r="AC48" s="8"/>
      <c r="AD48" s="8" t="s">
        <v>919</v>
      </c>
      <c r="AE48" s="8">
        <v>100</v>
      </c>
      <c r="AF48" s="9" t="str">
        <f>IFERROR(HYPERLINK("#Technical!A"&amp;MATCH(B48,Technical!A:A,0),"Open Technical"),HYPERLINK("#Technical!A1","Open Technical"))</f>
        <v>Open Technical</v>
      </c>
      <c r="AG48" s="9"/>
    </row>
    <row r="49" spans="1:33" ht="30" customHeight="1" x14ac:dyDescent="0.25">
      <c r="A49" s="11" t="s">
        <v>920</v>
      </c>
      <c r="B49" s="58" t="s">
        <v>497</v>
      </c>
      <c r="C49" s="6">
        <v>200</v>
      </c>
      <c r="D49" s="11" t="s">
        <v>918</v>
      </c>
      <c r="E49" s="11">
        <v>5.0999999999999997E-2</v>
      </c>
      <c r="F49" s="11" t="s">
        <v>501</v>
      </c>
      <c r="G49" s="11" t="s">
        <v>502</v>
      </c>
      <c r="H49" s="11">
        <v>1053</v>
      </c>
      <c r="I49" s="66">
        <v>59</v>
      </c>
      <c r="J49" s="61" t="s">
        <v>67</v>
      </c>
      <c r="K49" s="11">
        <v>51</v>
      </c>
      <c r="L49" s="11">
        <v>156</v>
      </c>
      <c r="M49" s="11"/>
      <c r="N49" s="11" t="b">
        <v>0</v>
      </c>
      <c r="O49" s="11"/>
      <c r="P49" s="11">
        <v>0</v>
      </c>
      <c r="Q49" s="11"/>
      <c r="R49" s="11">
        <v>0</v>
      </c>
      <c r="S49" s="11"/>
      <c r="T49" s="11">
        <v>0</v>
      </c>
      <c r="U49" s="11"/>
      <c r="V49" s="11">
        <v>0</v>
      </c>
      <c r="W49" s="11"/>
      <c r="X49" s="11">
        <v>0</v>
      </c>
      <c r="Y49" s="11"/>
      <c r="Z49" s="11">
        <v>0</v>
      </c>
      <c r="AA49" s="11"/>
      <c r="AB49" s="11"/>
      <c r="AC49" s="11"/>
      <c r="AD49" s="11" t="s">
        <v>919</v>
      </c>
      <c r="AE49" s="11">
        <v>100</v>
      </c>
      <c r="AF49" t="str">
        <f>IFERROR(HYPERLINK("#Technical!A"&amp;MATCH(B49,Technical!A:A,0),"Open Technical"),HYPERLINK("#Technical!A1","Open Technical"))</f>
        <v>Open Technical</v>
      </c>
    </row>
    <row r="50" spans="1:33" ht="30" customHeight="1" x14ac:dyDescent="0.25">
      <c r="A50" s="8" t="s">
        <v>920</v>
      </c>
      <c r="B50" s="59" t="s">
        <v>505</v>
      </c>
      <c r="C50" s="6">
        <v>200</v>
      </c>
      <c r="D50" s="8" t="s">
        <v>918</v>
      </c>
      <c r="E50" s="8">
        <v>3.7999999999999999E-2</v>
      </c>
      <c r="F50" s="8" t="s">
        <v>509</v>
      </c>
      <c r="G50" s="8" t="s">
        <v>510</v>
      </c>
      <c r="H50" s="8">
        <v>1061</v>
      </c>
      <c r="I50" s="66">
        <v>59</v>
      </c>
      <c r="J50" s="61" t="s">
        <v>67</v>
      </c>
      <c r="K50" s="8">
        <v>50</v>
      </c>
      <c r="L50" s="8">
        <v>526</v>
      </c>
      <c r="M50" s="8"/>
      <c r="N50" s="8" t="b">
        <v>0</v>
      </c>
      <c r="O50" s="8"/>
      <c r="P50" s="8">
        <v>0</v>
      </c>
      <c r="Q50" s="8"/>
      <c r="R50" s="8">
        <v>0</v>
      </c>
      <c r="S50" s="8"/>
      <c r="T50" s="8">
        <v>0</v>
      </c>
      <c r="U50" s="8"/>
      <c r="V50" s="8">
        <v>0</v>
      </c>
      <c r="W50" s="8"/>
      <c r="X50" s="8">
        <v>0</v>
      </c>
      <c r="Y50" s="8"/>
      <c r="Z50" s="8">
        <v>0</v>
      </c>
      <c r="AA50" s="8"/>
      <c r="AB50" s="8"/>
      <c r="AC50" s="8"/>
      <c r="AD50" s="8" t="s">
        <v>919</v>
      </c>
      <c r="AE50" s="8">
        <v>100</v>
      </c>
      <c r="AF50" s="9" t="str">
        <f>IFERROR(HYPERLINK("#Technical!A"&amp;MATCH(B50,Technical!A:A,0),"Open Technical"),HYPERLINK("#Technical!A1","Open Technical"))</f>
        <v>Open Technical</v>
      </c>
      <c r="AG50" s="9"/>
    </row>
    <row r="51" spans="1:33" ht="30" customHeight="1" x14ac:dyDescent="0.25">
      <c r="A51" s="11" t="s">
        <v>920</v>
      </c>
      <c r="B51" s="58" t="s">
        <v>512</v>
      </c>
      <c r="C51" s="6">
        <v>200</v>
      </c>
      <c r="D51" s="11" t="s">
        <v>918</v>
      </c>
      <c r="E51" s="11">
        <v>5.5E-2</v>
      </c>
      <c r="F51" s="11" t="s">
        <v>516</v>
      </c>
      <c r="G51" s="11" t="s">
        <v>502</v>
      </c>
      <c r="H51" s="11">
        <v>1052</v>
      </c>
      <c r="I51" s="66">
        <v>59</v>
      </c>
      <c r="J51" s="61" t="s">
        <v>67</v>
      </c>
      <c r="K51" s="11">
        <v>49</v>
      </c>
      <c r="L51" s="11">
        <v>156</v>
      </c>
      <c r="M51" s="11"/>
      <c r="N51" s="11" t="b">
        <v>0</v>
      </c>
      <c r="O51" s="11"/>
      <c r="P51" s="11">
        <v>0</v>
      </c>
      <c r="Q51" s="11"/>
      <c r="R51" s="11">
        <v>0</v>
      </c>
      <c r="S51" s="11"/>
      <c r="T51" s="11">
        <v>0</v>
      </c>
      <c r="U51" s="11"/>
      <c r="V51" s="11">
        <v>0</v>
      </c>
      <c r="W51" s="11"/>
      <c r="X51" s="11">
        <v>0</v>
      </c>
      <c r="Y51" s="11"/>
      <c r="Z51" s="11">
        <v>0</v>
      </c>
      <c r="AA51" s="11"/>
      <c r="AB51" s="11"/>
      <c r="AC51" s="11"/>
      <c r="AD51" s="11" t="s">
        <v>919</v>
      </c>
      <c r="AE51" s="11">
        <v>100</v>
      </c>
      <c r="AF51" t="str">
        <f>IFERROR(HYPERLINK("#Technical!A"&amp;MATCH(B51,Technical!A:A,0),"Open Technical"),HYPERLINK("#Technical!A1","Open Technical"))</f>
        <v>Open Technical</v>
      </c>
    </row>
    <row r="52" spans="1:33" ht="30" customHeight="1" x14ac:dyDescent="0.25">
      <c r="A52" s="8" t="s">
        <v>920</v>
      </c>
      <c r="B52" s="59" t="s">
        <v>519</v>
      </c>
      <c r="C52" s="6">
        <v>200</v>
      </c>
      <c r="D52" s="8" t="s">
        <v>918</v>
      </c>
      <c r="E52" s="8">
        <v>5.7000000000000002E-2</v>
      </c>
      <c r="F52" s="8" t="s">
        <v>523</v>
      </c>
      <c r="G52" s="8" t="s">
        <v>524</v>
      </c>
      <c r="H52" s="8">
        <v>885</v>
      </c>
      <c r="I52" s="66">
        <v>59</v>
      </c>
      <c r="J52" s="61" t="s">
        <v>67</v>
      </c>
      <c r="K52" s="8">
        <v>74</v>
      </c>
      <c r="L52" s="8">
        <v>400</v>
      </c>
      <c r="M52" s="8"/>
      <c r="N52" s="8" t="b">
        <v>0</v>
      </c>
      <c r="O52" s="8"/>
      <c r="P52" s="8">
        <v>0</v>
      </c>
      <c r="Q52" s="8"/>
      <c r="R52" s="8">
        <v>0</v>
      </c>
      <c r="S52" s="8"/>
      <c r="T52" s="8">
        <v>0</v>
      </c>
      <c r="U52" s="8"/>
      <c r="V52" s="8">
        <v>0</v>
      </c>
      <c r="W52" s="8"/>
      <c r="X52" s="8">
        <v>0</v>
      </c>
      <c r="Y52" s="8"/>
      <c r="Z52" s="8">
        <v>0</v>
      </c>
      <c r="AA52" s="8"/>
      <c r="AB52" s="8"/>
      <c r="AC52" s="8"/>
      <c r="AD52" s="8" t="s">
        <v>919</v>
      </c>
      <c r="AE52" s="8">
        <v>100</v>
      </c>
      <c r="AF52" s="9" t="str">
        <f>IFERROR(HYPERLINK("#Technical!A"&amp;MATCH(B52,Technical!A:A,0),"Open Technical"),HYPERLINK("#Technical!A1","Open Technical"))</f>
        <v>Open Technical</v>
      </c>
      <c r="AG52" s="9"/>
    </row>
    <row r="53" spans="1:33" ht="30" customHeight="1" x14ac:dyDescent="0.25">
      <c r="A53" s="11" t="s">
        <v>920</v>
      </c>
      <c r="B53" s="58" t="s">
        <v>527</v>
      </c>
      <c r="C53" s="6">
        <v>200</v>
      </c>
      <c r="D53" s="11" t="s">
        <v>918</v>
      </c>
      <c r="E53" s="11">
        <v>4.5999999999999999E-2</v>
      </c>
      <c r="F53" s="11" t="s">
        <v>531</v>
      </c>
      <c r="G53" s="11" t="s">
        <v>532</v>
      </c>
      <c r="H53" s="11">
        <v>37</v>
      </c>
      <c r="I53" s="66">
        <v>66</v>
      </c>
      <c r="J53" s="61" t="s">
        <v>67</v>
      </c>
      <c r="K53" s="11">
        <v>82</v>
      </c>
      <c r="L53" s="11">
        <v>210</v>
      </c>
      <c r="M53" s="11"/>
      <c r="N53" s="11" t="b">
        <v>0</v>
      </c>
      <c r="O53" s="11"/>
      <c r="P53" s="11">
        <v>0</v>
      </c>
      <c r="Q53" s="11"/>
      <c r="R53" s="11">
        <v>0</v>
      </c>
      <c r="S53" s="11"/>
      <c r="T53" s="11">
        <v>0</v>
      </c>
      <c r="U53" s="11"/>
      <c r="V53" s="11">
        <v>0</v>
      </c>
      <c r="W53" s="11"/>
      <c r="X53" s="11">
        <v>0</v>
      </c>
      <c r="Y53" s="11"/>
      <c r="Z53" s="11">
        <v>0</v>
      </c>
      <c r="AA53" s="11"/>
      <c r="AB53" s="11"/>
      <c r="AC53" s="11"/>
      <c r="AD53" s="11" t="s">
        <v>919</v>
      </c>
      <c r="AE53" s="11">
        <v>30</v>
      </c>
      <c r="AF53" t="str">
        <f>IFERROR(HYPERLINK("#Technical!A"&amp;MATCH(B53,Technical!A:A,0),"Open Technical"),HYPERLINK("#Technical!A1","Open Technical"))</f>
        <v>Open Technical</v>
      </c>
    </row>
    <row r="54" spans="1:33" ht="30" customHeight="1" x14ac:dyDescent="0.25">
      <c r="A54" s="8" t="s">
        <v>920</v>
      </c>
      <c r="B54" s="59" t="s">
        <v>535</v>
      </c>
      <c r="C54" s="6">
        <v>200</v>
      </c>
      <c r="D54" s="8" t="s">
        <v>918</v>
      </c>
      <c r="E54" s="8">
        <v>5.8999999999999997E-2</v>
      </c>
      <c r="F54" s="8" t="s">
        <v>539</v>
      </c>
      <c r="G54" s="8" t="s">
        <v>540</v>
      </c>
      <c r="H54" s="8">
        <v>35</v>
      </c>
      <c r="I54" s="66">
        <v>66</v>
      </c>
      <c r="J54" s="61" t="s">
        <v>67</v>
      </c>
      <c r="K54" s="8">
        <v>75</v>
      </c>
      <c r="L54" s="8">
        <v>193</v>
      </c>
      <c r="M54" s="8"/>
      <c r="N54" s="8" t="b">
        <v>0</v>
      </c>
      <c r="O54" s="8"/>
      <c r="P54" s="8">
        <v>0</v>
      </c>
      <c r="Q54" s="8"/>
      <c r="R54" s="8">
        <v>0</v>
      </c>
      <c r="S54" s="8"/>
      <c r="T54" s="8">
        <v>0</v>
      </c>
      <c r="U54" s="8"/>
      <c r="V54" s="8">
        <v>0</v>
      </c>
      <c r="W54" s="8"/>
      <c r="X54" s="8">
        <v>0</v>
      </c>
      <c r="Y54" s="8"/>
      <c r="Z54" s="8">
        <v>0</v>
      </c>
      <c r="AA54" s="8"/>
      <c r="AB54" s="8"/>
      <c r="AC54" s="8"/>
      <c r="AD54" s="8" t="s">
        <v>919</v>
      </c>
      <c r="AE54" s="8">
        <v>30</v>
      </c>
      <c r="AF54" s="9" t="str">
        <f>IFERROR(HYPERLINK("#Technical!A"&amp;MATCH(B54,Technical!A:A,0),"Open Technical"),HYPERLINK("#Technical!A1","Open Technical"))</f>
        <v>Open Technical</v>
      </c>
      <c r="AG54" s="9"/>
    </row>
    <row r="55" spans="1:33" ht="30" customHeight="1" x14ac:dyDescent="0.25">
      <c r="A55" s="11" t="s">
        <v>920</v>
      </c>
      <c r="B55" s="58" t="s">
        <v>543</v>
      </c>
      <c r="C55" s="6">
        <v>200</v>
      </c>
      <c r="D55" s="11" t="s">
        <v>918</v>
      </c>
      <c r="E55" s="11">
        <v>3.4000000000000002E-2</v>
      </c>
      <c r="F55" s="11" t="s">
        <v>547</v>
      </c>
      <c r="G55" s="11" t="s">
        <v>548</v>
      </c>
      <c r="H55" s="11">
        <v>31</v>
      </c>
      <c r="I55" s="66">
        <v>56</v>
      </c>
      <c r="J55" s="61" t="s">
        <v>67</v>
      </c>
      <c r="K55" s="11">
        <v>73</v>
      </c>
      <c r="L55" s="11">
        <v>92</v>
      </c>
      <c r="M55" s="11"/>
      <c r="N55" s="11" t="b">
        <v>0</v>
      </c>
      <c r="O55" s="11"/>
      <c r="P55" s="11">
        <v>0</v>
      </c>
      <c r="Q55" s="11"/>
      <c r="R55" s="11">
        <v>0</v>
      </c>
      <c r="S55" s="11"/>
      <c r="T55" s="11">
        <v>0</v>
      </c>
      <c r="U55" s="11"/>
      <c r="V55" s="11">
        <v>0</v>
      </c>
      <c r="W55" s="11"/>
      <c r="X55" s="11">
        <v>0</v>
      </c>
      <c r="Y55" s="11"/>
      <c r="Z55" s="11">
        <v>0</v>
      </c>
      <c r="AA55" s="11"/>
      <c r="AB55" s="11"/>
      <c r="AC55" s="11"/>
      <c r="AD55" s="11" t="s">
        <v>919</v>
      </c>
      <c r="AE55" s="11">
        <v>30</v>
      </c>
      <c r="AF55" t="str">
        <f>IFERROR(HYPERLINK("#Technical!A"&amp;MATCH(B55,Technical!A:A,0),"Open Technical"),HYPERLINK("#Technical!A1","Open Technical"))</f>
        <v>Open Technical</v>
      </c>
    </row>
    <row r="56" spans="1:33" ht="30" customHeight="1" x14ac:dyDescent="0.25">
      <c r="A56" s="8" t="s">
        <v>920</v>
      </c>
      <c r="B56" s="59" t="s">
        <v>551</v>
      </c>
      <c r="C56" s="6">
        <v>200</v>
      </c>
      <c r="D56" s="8" t="s">
        <v>918</v>
      </c>
      <c r="E56" s="8">
        <v>0.06</v>
      </c>
      <c r="F56" s="8" t="s">
        <v>555</v>
      </c>
      <c r="G56" s="8" t="s">
        <v>556</v>
      </c>
      <c r="H56" s="8">
        <v>311</v>
      </c>
      <c r="I56" s="66">
        <v>69</v>
      </c>
      <c r="J56" s="61" t="s">
        <v>67</v>
      </c>
      <c r="K56" s="8">
        <v>63</v>
      </c>
      <c r="L56" s="8">
        <v>134</v>
      </c>
      <c r="M56" s="8"/>
      <c r="N56" s="8" t="b">
        <v>0</v>
      </c>
      <c r="O56" s="8"/>
      <c r="P56" s="8">
        <v>0</v>
      </c>
      <c r="Q56" s="8"/>
      <c r="R56" s="8">
        <v>0</v>
      </c>
      <c r="S56" s="8"/>
      <c r="T56" s="8">
        <v>0</v>
      </c>
      <c r="U56" s="8"/>
      <c r="V56" s="8">
        <v>0</v>
      </c>
      <c r="W56" s="8"/>
      <c r="X56" s="8">
        <v>0</v>
      </c>
      <c r="Y56" s="8"/>
      <c r="Z56" s="8">
        <v>0</v>
      </c>
      <c r="AA56" s="8"/>
      <c r="AB56" s="8"/>
      <c r="AC56" s="8"/>
      <c r="AD56" s="8" t="s">
        <v>919</v>
      </c>
      <c r="AE56" s="8">
        <v>50</v>
      </c>
      <c r="AF56" s="9" t="str">
        <f>IFERROR(HYPERLINK("#Technical!A"&amp;MATCH(B56,Technical!A:A,0),"Open Technical"),HYPERLINK("#Technical!A1","Open Technical"))</f>
        <v>Open Technical</v>
      </c>
      <c r="AG56" s="9"/>
    </row>
    <row r="57" spans="1:33" ht="30" customHeight="1" x14ac:dyDescent="0.25">
      <c r="A57" s="11" t="s">
        <v>920</v>
      </c>
      <c r="B57" s="58" t="s">
        <v>559</v>
      </c>
      <c r="C57" s="6">
        <v>200</v>
      </c>
      <c r="D57" s="11" t="s">
        <v>918</v>
      </c>
      <c r="E57" s="11">
        <v>5.0190000000000001</v>
      </c>
      <c r="F57" s="11" t="s">
        <v>563</v>
      </c>
      <c r="G57" s="11" t="s">
        <v>564</v>
      </c>
      <c r="H57" s="11">
        <v>23</v>
      </c>
      <c r="I57" s="66">
        <v>56</v>
      </c>
      <c r="J57" s="61" t="s">
        <v>67</v>
      </c>
      <c r="K57" s="11">
        <v>38</v>
      </c>
      <c r="L57" s="11">
        <v>44</v>
      </c>
      <c r="M57" s="11"/>
      <c r="N57" s="11" t="b">
        <v>0</v>
      </c>
      <c r="O57" s="11"/>
      <c r="P57" s="11">
        <v>0</v>
      </c>
      <c r="Q57" s="11"/>
      <c r="R57" s="11">
        <v>0</v>
      </c>
      <c r="S57" s="11"/>
      <c r="T57" s="11">
        <v>0</v>
      </c>
      <c r="U57" s="11"/>
      <c r="V57" s="11">
        <v>0</v>
      </c>
      <c r="W57" s="11"/>
      <c r="X57" s="11">
        <v>0</v>
      </c>
      <c r="Y57" s="11"/>
      <c r="Z57" s="11">
        <v>0</v>
      </c>
      <c r="AA57" s="11"/>
      <c r="AB57" s="11"/>
      <c r="AC57" s="11"/>
      <c r="AD57" s="11" t="s">
        <v>919</v>
      </c>
      <c r="AE57" s="11">
        <v>30</v>
      </c>
      <c r="AF57" t="str">
        <f>IFERROR(HYPERLINK("#Technical!A"&amp;MATCH(B57,Technical!A:A,0),"Open Technical"),HYPERLINK("#Technical!A1","Open Technical"))</f>
        <v>Open Technical</v>
      </c>
    </row>
    <row r="58" spans="1:33" ht="30" customHeight="1" x14ac:dyDescent="0.25">
      <c r="A58" s="8" t="s">
        <v>920</v>
      </c>
      <c r="B58" s="59" t="s">
        <v>566</v>
      </c>
      <c r="C58" s="6">
        <v>200</v>
      </c>
      <c r="D58" s="8" t="s">
        <v>918</v>
      </c>
      <c r="E58" s="8">
        <v>4.8000000000000001E-2</v>
      </c>
      <c r="F58" s="8" t="s">
        <v>570</v>
      </c>
      <c r="G58" s="8" t="s">
        <v>571</v>
      </c>
      <c r="H58" s="8">
        <v>2199</v>
      </c>
      <c r="I58" s="66">
        <v>69</v>
      </c>
      <c r="J58" s="61" t="s">
        <v>67</v>
      </c>
      <c r="K58" s="8">
        <v>31</v>
      </c>
      <c r="L58" s="8">
        <v>160</v>
      </c>
      <c r="M58" s="8"/>
      <c r="N58" s="8" t="b">
        <v>0</v>
      </c>
      <c r="O58" s="8"/>
      <c r="P58" s="8">
        <v>0</v>
      </c>
      <c r="Q58" s="8"/>
      <c r="R58" s="8">
        <v>0</v>
      </c>
      <c r="S58" s="8"/>
      <c r="T58" s="8">
        <v>0</v>
      </c>
      <c r="U58" s="8"/>
      <c r="V58" s="8">
        <v>0</v>
      </c>
      <c r="W58" s="8"/>
      <c r="X58" s="8">
        <v>0</v>
      </c>
      <c r="Y58" s="8"/>
      <c r="Z58" s="8">
        <v>0</v>
      </c>
      <c r="AA58" s="8"/>
      <c r="AB58" s="8"/>
      <c r="AC58" s="8"/>
      <c r="AD58" s="8" t="s">
        <v>919</v>
      </c>
      <c r="AE58" s="8">
        <v>40</v>
      </c>
      <c r="AF58" s="9" t="str">
        <f>IFERROR(HYPERLINK("#Technical!A"&amp;MATCH(B58,Technical!A:A,0),"Open Technical"),HYPERLINK("#Technical!A1","Open Technical"))</f>
        <v>Open Technical</v>
      </c>
      <c r="AG58" s="9"/>
    </row>
    <row r="59" spans="1:33" ht="30" customHeight="1" x14ac:dyDescent="0.25">
      <c r="A59" s="11" t="s">
        <v>920</v>
      </c>
      <c r="B59" s="58" t="s">
        <v>574</v>
      </c>
      <c r="C59" s="6">
        <v>200</v>
      </c>
      <c r="D59" s="11" t="s">
        <v>918</v>
      </c>
      <c r="E59" s="11">
        <v>4.4999999999999998E-2</v>
      </c>
      <c r="F59" s="11" t="s">
        <v>578</v>
      </c>
      <c r="G59" s="11" t="s">
        <v>579</v>
      </c>
      <c r="H59" s="11">
        <v>850</v>
      </c>
      <c r="I59" s="66">
        <v>69</v>
      </c>
      <c r="J59" s="61" t="s">
        <v>67</v>
      </c>
      <c r="K59" s="11">
        <v>63</v>
      </c>
      <c r="L59" s="11">
        <v>800</v>
      </c>
      <c r="M59" s="11"/>
      <c r="N59" s="11" t="b">
        <v>0</v>
      </c>
      <c r="O59" s="11"/>
      <c r="P59" s="11">
        <v>0</v>
      </c>
      <c r="Q59" s="11"/>
      <c r="R59" s="11">
        <v>0</v>
      </c>
      <c r="S59" s="11"/>
      <c r="T59" s="11">
        <v>0</v>
      </c>
      <c r="U59" s="11"/>
      <c r="V59" s="11">
        <v>0</v>
      </c>
      <c r="W59" s="11"/>
      <c r="X59" s="11">
        <v>0</v>
      </c>
      <c r="Y59" s="11"/>
      <c r="Z59" s="11">
        <v>0</v>
      </c>
      <c r="AA59" s="11"/>
      <c r="AB59" s="11"/>
      <c r="AC59" s="11"/>
      <c r="AD59" s="11" t="s">
        <v>919</v>
      </c>
      <c r="AE59" s="11">
        <v>100</v>
      </c>
      <c r="AF59" t="str">
        <f>IFERROR(HYPERLINK("#Technical!A"&amp;MATCH(B59,Technical!A:A,0),"Open Technical"),HYPERLINK("#Technical!A1","Open Technical"))</f>
        <v>Open Technical</v>
      </c>
    </row>
    <row r="60" spans="1:33" ht="30" customHeight="1" x14ac:dyDescent="0.25">
      <c r="A60" s="8" t="s">
        <v>920</v>
      </c>
      <c r="B60" s="59" t="s">
        <v>582</v>
      </c>
      <c r="C60" s="6">
        <v>200</v>
      </c>
      <c r="D60" s="8" t="s">
        <v>918</v>
      </c>
      <c r="E60" s="8">
        <v>4.2999999999999997E-2</v>
      </c>
      <c r="F60" s="8" t="s">
        <v>586</v>
      </c>
      <c r="G60" s="8" t="s">
        <v>587</v>
      </c>
      <c r="H60" s="8">
        <v>436</v>
      </c>
      <c r="I60" s="66">
        <v>59</v>
      </c>
      <c r="J60" s="61" t="s">
        <v>67</v>
      </c>
      <c r="K60" s="8">
        <v>44</v>
      </c>
      <c r="L60" s="8">
        <v>79</v>
      </c>
      <c r="M60" s="8"/>
      <c r="N60" s="8" t="b">
        <v>0</v>
      </c>
      <c r="O60" s="8"/>
      <c r="P60" s="8">
        <v>0</v>
      </c>
      <c r="Q60" s="8"/>
      <c r="R60" s="8">
        <v>0</v>
      </c>
      <c r="S60" s="8"/>
      <c r="T60" s="8">
        <v>0</v>
      </c>
      <c r="U60" s="8"/>
      <c r="V60" s="8">
        <v>0</v>
      </c>
      <c r="W60" s="8"/>
      <c r="X60" s="8">
        <v>0</v>
      </c>
      <c r="Y60" s="8"/>
      <c r="Z60" s="8">
        <v>0</v>
      </c>
      <c r="AA60" s="8"/>
      <c r="AB60" s="8"/>
      <c r="AC60" s="8"/>
      <c r="AD60" s="8" t="s">
        <v>919</v>
      </c>
      <c r="AE60" s="8">
        <v>100</v>
      </c>
      <c r="AF60" s="9" t="str">
        <f>IFERROR(HYPERLINK("#Technical!A"&amp;MATCH(B60,Technical!A:A,0),"Open Technical"),HYPERLINK("#Technical!A1","Open Technical"))</f>
        <v>Open Technical</v>
      </c>
      <c r="AG60" s="9"/>
    </row>
    <row r="61" spans="1:33" ht="30" customHeight="1" x14ac:dyDescent="0.25">
      <c r="A61" s="11" t="s">
        <v>920</v>
      </c>
      <c r="B61" s="58" t="s">
        <v>590</v>
      </c>
      <c r="C61" s="6">
        <v>200</v>
      </c>
      <c r="D61" s="11" t="s">
        <v>918</v>
      </c>
      <c r="E61" s="11">
        <v>5.0999999999999997E-2</v>
      </c>
      <c r="F61" s="11" t="s">
        <v>594</v>
      </c>
      <c r="G61" s="11" t="s">
        <v>595</v>
      </c>
      <c r="H61" s="11">
        <v>28</v>
      </c>
      <c r="I61" s="66">
        <v>56</v>
      </c>
      <c r="J61" s="61" t="s">
        <v>67</v>
      </c>
      <c r="K61" s="11">
        <v>51</v>
      </c>
      <c r="L61" s="11">
        <v>100</v>
      </c>
      <c r="M61" s="11"/>
      <c r="N61" s="11" t="b">
        <v>0</v>
      </c>
      <c r="O61" s="11"/>
      <c r="P61" s="11">
        <v>0</v>
      </c>
      <c r="Q61" s="11"/>
      <c r="R61" s="11">
        <v>0</v>
      </c>
      <c r="S61" s="11"/>
      <c r="T61" s="11">
        <v>0</v>
      </c>
      <c r="U61" s="11"/>
      <c r="V61" s="11">
        <v>0</v>
      </c>
      <c r="W61" s="11"/>
      <c r="X61" s="11">
        <v>0</v>
      </c>
      <c r="Y61" s="11"/>
      <c r="Z61" s="11">
        <v>0</v>
      </c>
      <c r="AA61" s="11"/>
      <c r="AB61" s="11"/>
      <c r="AC61" s="11"/>
      <c r="AD61" s="11" t="s">
        <v>919</v>
      </c>
      <c r="AE61" s="11">
        <v>30</v>
      </c>
      <c r="AF61" t="str">
        <f>IFERROR(HYPERLINK("#Technical!A"&amp;MATCH(B61,Technical!A:A,0),"Open Technical"),HYPERLINK("#Technical!A1","Open Technical"))</f>
        <v>Open Technical</v>
      </c>
    </row>
    <row r="62" spans="1:33" ht="30" customHeight="1" x14ac:dyDescent="0.25">
      <c r="A62" s="8" t="s">
        <v>920</v>
      </c>
      <c r="B62" s="59" t="s">
        <v>598</v>
      </c>
      <c r="C62" s="6">
        <v>200</v>
      </c>
      <c r="D62" s="8" t="s">
        <v>918</v>
      </c>
      <c r="E62" s="8">
        <v>4.8000000000000001E-2</v>
      </c>
      <c r="F62" s="8" t="s">
        <v>602</v>
      </c>
      <c r="G62" s="8" t="s">
        <v>603</v>
      </c>
      <c r="H62" s="8">
        <v>24</v>
      </c>
      <c r="I62" s="66">
        <v>56</v>
      </c>
      <c r="J62" s="61" t="s">
        <v>67</v>
      </c>
      <c r="K62" s="8">
        <v>58</v>
      </c>
      <c r="L62" s="8">
        <v>68</v>
      </c>
      <c r="M62" s="8"/>
      <c r="N62" s="8" t="b">
        <v>0</v>
      </c>
      <c r="O62" s="8"/>
      <c r="P62" s="8">
        <v>0</v>
      </c>
      <c r="Q62" s="8"/>
      <c r="R62" s="8">
        <v>0</v>
      </c>
      <c r="S62" s="8"/>
      <c r="T62" s="8">
        <v>0</v>
      </c>
      <c r="U62" s="8"/>
      <c r="V62" s="8">
        <v>0</v>
      </c>
      <c r="W62" s="8"/>
      <c r="X62" s="8">
        <v>0</v>
      </c>
      <c r="Y62" s="8"/>
      <c r="Z62" s="8">
        <v>0</v>
      </c>
      <c r="AA62" s="8"/>
      <c r="AB62" s="8"/>
      <c r="AC62" s="8"/>
      <c r="AD62" s="8" t="s">
        <v>919</v>
      </c>
      <c r="AE62" s="8">
        <v>30</v>
      </c>
      <c r="AF62" s="9" t="str">
        <f>IFERROR(HYPERLINK("#Technical!A"&amp;MATCH(B62,Technical!A:A,0),"Open Technical"),HYPERLINK("#Technical!A1","Open Technical"))</f>
        <v>Open Technical</v>
      </c>
      <c r="AG62" s="9"/>
    </row>
    <row r="63" spans="1:33" ht="30" customHeight="1" x14ac:dyDescent="0.25">
      <c r="A63" s="11" t="s">
        <v>920</v>
      </c>
      <c r="B63" s="58" t="s">
        <v>606</v>
      </c>
      <c r="C63" s="6">
        <v>200</v>
      </c>
      <c r="D63" s="11" t="s">
        <v>918</v>
      </c>
      <c r="E63" s="11">
        <v>5.1999999999999998E-2</v>
      </c>
      <c r="F63" s="11" t="s">
        <v>610</v>
      </c>
      <c r="G63" s="11" t="s">
        <v>611</v>
      </c>
      <c r="H63" s="11">
        <v>654</v>
      </c>
      <c r="I63" s="66">
        <v>59</v>
      </c>
      <c r="J63" s="61" t="s">
        <v>67</v>
      </c>
      <c r="K63" s="11">
        <v>43</v>
      </c>
      <c r="L63" s="11">
        <v>344</v>
      </c>
      <c r="M63" s="11"/>
      <c r="N63" s="11" t="b">
        <v>0</v>
      </c>
      <c r="O63" s="11"/>
      <c r="P63" s="11">
        <v>0</v>
      </c>
      <c r="Q63" s="11"/>
      <c r="R63" s="11">
        <v>0</v>
      </c>
      <c r="S63" s="11"/>
      <c r="T63" s="11">
        <v>0</v>
      </c>
      <c r="U63" s="11"/>
      <c r="V63" s="11">
        <v>0</v>
      </c>
      <c r="W63" s="11"/>
      <c r="X63" s="11">
        <v>0</v>
      </c>
      <c r="Y63" s="11"/>
      <c r="Z63" s="11">
        <v>0</v>
      </c>
      <c r="AA63" s="11"/>
      <c r="AB63" s="11"/>
      <c r="AC63" s="11"/>
      <c r="AD63" s="11" t="s">
        <v>919</v>
      </c>
      <c r="AE63" s="11">
        <v>100</v>
      </c>
      <c r="AF63" t="str">
        <f>IFERROR(HYPERLINK("#Technical!A"&amp;MATCH(B63,Technical!A:A,0),"Open Technical"),HYPERLINK("#Technical!A1","Open Technical"))</f>
        <v>Open Technical</v>
      </c>
    </row>
    <row r="64" spans="1:33" ht="30" customHeight="1" x14ac:dyDescent="0.25">
      <c r="A64" s="8" t="s">
        <v>920</v>
      </c>
      <c r="B64" s="59" t="s">
        <v>614</v>
      </c>
      <c r="C64" s="6">
        <v>200</v>
      </c>
      <c r="D64" s="8" t="s">
        <v>918</v>
      </c>
      <c r="E64" s="8">
        <v>3.6999999999999998E-2</v>
      </c>
      <c r="F64" s="8" t="s">
        <v>618</v>
      </c>
      <c r="G64" s="8" t="s">
        <v>619</v>
      </c>
      <c r="H64" s="8">
        <v>49</v>
      </c>
      <c r="I64" s="66">
        <v>56</v>
      </c>
      <c r="J64" s="61" t="s">
        <v>67</v>
      </c>
      <c r="K64" s="8">
        <v>59</v>
      </c>
      <c r="L64" s="8">
        <v>216</v>
      </c>
      <c r="M64" s="8"/>
      <c r="N64" s="8" t="b">
        <v>0</v>
      </c>
      <c r="O64" s="8"/>
      <c r="P64" s="8">
        <v>0</v>
      </c>
      <c r="Q64" s="8"/>
      <c r="R64" s="8">
        <v>0</v>
      </c>
      <c r="S64" s="8"/>
      <c r="T64" s="8">
        <v>0</v>
      </c>
      <c r="U64" s="8"/>
      <c r="V64" s="8">
        <v>0</v>
      </c>
      <c r="W64" s="8"/>
      <c r="X64" s="8">
        <v>0</v>
      </c>
      <c r="Y64" s="8"/>
      <c r="Z64" s="8">
        <v>0</v>
      </c>
      <c r="AA64" s="8"/>
      <c r="AB64" s="8"/>
      <c r="AC64" s="8"/>
      <c r="AD64" s="8" t="s">
        <v>919</v>
      </c>
      <c r="AE64" s="8">
        <v>30</v>
      </c>
      <c r="AF64" s="9" t="str">
        <f>IFERROR(HYPERLINK("#Technical!A"&amp;MATCH(B64,Technical!A:A,0),"Open Technical"),HYPERLINK("#Technical!A1","Open Technical"))</f>
        <v>Open Technical</v>
      </c>
      <c r="AG64" s="9"/>
    </row>
    <row r="65" spans="1:33" ht="30" customHeight="1" x14ac:dyDescent="0.25">
      <c r="A65" s="11" t="s">
        <v>920</v>
      </c>
      <c r="B65" s="58" t="s">
        <v>622</v>
      </c>
      <c r="C65" s="6">
        <v>200</v>
      </c>
      <c r="D65" s="11" t="s">
        <v>918</v>
      </c>
      <c r="E65" s="11">
        <v>3.5999999999999997E-2</v>
      </c>
      <c r="F65" s="11" t="s">
        <v>625</v>
      </c>
      <c r="G65" s="11"/>
      <c r="H65" s="11">
        <v>15</v>
      </c>
      <c r="I65" s="66">
        <v>46</v>
      </c>
      <c r="J65" s="61" t="s">
        <v>67</v>
      </c>
      <c r="K65" s="11">
        <v>50</v>
      </c>
      <c r="L65" s="11">
        <v>0</v>
      </c>
      <c r="M65" s="11"/>
      <c r="N65" s="11" t="b">
        <v>0</v>
      </c>
      <c r="O65" s="11"/>
      <c r="P65" s="11">
        <v>0</v>
      </c>
      <c r="Q65" s="11"/>
      <c r="R65" s="11">
        <v>0</v>
      </c>
      <c r="S65" s="11"/>
      <c r="T65" s="11">
        <v>0</v>
      </c>
      <c r="U65" s="11"/>
      <c r="V65" s="11">
        <v>0</v>
      </c>
      <c r="W65" s="11"/>
      <c r="X65" s="11">
        <v>0</v>
      </c>
      <c r="Y65" s="11"/>
      <c r="Z65" s="11">
        <v>0</v>
      </c>
      <c r="AA65" s="11"/>
      <c r="AB65" s="11"/>
      <c r="AC65" s="11"/>
      <c r="AD65" s="11" t="s">
        <v>919</v>
      </c>
      <c r="AE65" s="11">
        <v>30</v>
      </c>
      <c r="AF65" t="str">
        <f>IFERROR(HYPERLINK("#Technical!A"&amp;MATCH(B65,Technical!A:A,0),"Open Technical"),HYPERLINK("#Technical!A1","Open Technical"))</f>
        <v>Open Technical</v>
      </c>
    </row>
    <row r="66" spans="1:33" ht="30" customHeight="1" x14ac:dyDescent="0.25">
      <c r="A66" s="8" t="s">
        <v>920</v>
      </c>
      <c r="B66" s="59" t="s">
        <v>627</v>
      </c>
      <c r="C66" s="6">
        <v>200</v>
      </c>
      <c r="D66" s="8" t="s">
        <v>918</v>
      </c>
      <c r="E66" s="8">
        <v>4.2000000000000003E-2</v>
      </c>
      <c r="F66" s="8" t="s">
        <v>631</v>
      </c>
      <c r="G66" s="8" t="s">
        <v>632</v>
      </c>
      <c r="H66" s="8">
        <v>957</v>
      </c>
      <c r="I66" s="66">
        <v>69</v>
      </c>
      <c r="J66" s="61" t="s">
        <v>67</v>
      </c>
      <c r="K66" s="8">
        <v>50</v>
      </c>
      <c r="L66" s="8">
        <v>368</v>
      </c>
      <c r="M66" s="8"/>
      <c r="N66" s="8" t="b">
        <v>0</v>
      </c>
      <c r="O66" s="8"/>
      <c r="P66" s="8">
        <v>0</v>
      </c>
      <c r="Q66" s="8"/>
      <c r="R66" s="8">
        <v>0</v>
      </c>
      <c r="S66" s="8"/>
      <c r="T66" s="8">
        <v>0</v>
      </c>
      <c r="U66" s="8"/>
      <c r="V66" s="8">
        <v>0</v>
      </c>
      <c r="W66" s="8"/>
      <c r="X66" s="8">
        <v>0</v>
      </c>
      <c r="Y66" s="8"/>
      <c r="Z66" s="8">
        <v>0</v>
      </c>
      <c r="AA66" s="8"/>
      <c r="AB66" s="8"/>
      <c r="AC66" s="8"/>
      <c r="AD66" s="8" t="s">
        <v>919</v>
      </c>
      <c r="AE66" s="8">
        <v>100</v>
      </c>
      <c r="AF66" s="9" t="str">
        <f>IFERROR(HYPERLINK("#Technical!A"&amp;MATCH(B66,Technical!A:A,0),"Open Technical"),HYPERLINK("#Technical!A1","Open Technical"))</f>
        <v>Open Technical</v>
      </c>
      <c r="AG66" s="9"/>
    </row>
    <row r="67" spans="1:33" ht="30" customHeight="1" x14ac:dyDescent="0.25">
      <c r="A67" s="11" t="s">
        <v>920</v>
      </c>
      <c r="B67" s="58" t="s">
        <v>635</v>
      </c>
      <c r="C67" s="6">
        <v>200</v>
      </c>
      <c r="D67" s="11" t="s">
        <v>918</v>
      </c>
      <c r="E67" s="11">
        <v>6.8000000000000005E-2</v>
      </c>
      <c r="F67" s="11" t="s">
        <v>639</v>
      </c>
      <c r="G67" s="11" t="s">
        <v>640</v>
      </c>
      <c r="H67" s="11">
        <v>39</v>
      </c>
      <c r="I67" s="66">
        <v>56</v>
      </c>
      <c r="J67" s="61" t="s">
        <v>67</v>
      </c>
      <c r="K67" s="11">
        <v>66</v>
      </c>
      <c r="L67" s="11">
        <v>128</v>
      </c>
      <c r="M67" s="11"/>
      <c r="N67" s="11" t="b">
        <v>0</v>
      </c>
      <c r="O67" s="11"/>
      <c r="P67" s="11">
        <v>0</v>
      </c>
      <c r="Q67" s="11"/>
      <c r="R67" s="11">
        <v>0</v>
      </c>
      <c r="S67" s="11"/>
      <c r="T67" s="11">
        <v>0</v>
      </c>
      <c r="U67" s="11"/>
      <c r="V67" s="11">
        <v>0</v>
      </c>
      <c r="W67" s="11"/>
      <c r="X67" s="11">
        <v>0</v>
      </c>
      <c r="Y67" s="11"/>
      <c r="Z67" s="11">
        <v>0</v>
      </c>
      <c r="AA67" s="11"/>
      <c r="AB67" s="11"/>
      <c r="AC67" s="11"/>
      <c r="AD67" s="11" t="s">
        <v>919</v>
      </c>
      <c r="AE67" s="11">
        <v>30</v>
      </c>
      <c r="AF67" t="str">
        <f>IFERROR(HYPERLINK("#Technical!A"&amp;MATCH(B67,Technical!A:A,0),"Open Technical"),HYPERLINK("#Technical!A1","Open Technical"))</f>
        <v>Open Technical</v>
      </c>
    </row>
    <row r="68" spans="1:33" ht="30" customHeight="1" x14ac:dyDescent="0.25">
      <c r="A68" s="8" t="s">
        <v>920</v>
      </c>
      <c r="B68" s="59" t="s">
        <v>642</v>
      </c>
      <c r="C68" s="6">
        <v>200</v>
      </c>
      <c r="D68" s="8" t="s">
        <v>918</v>
      </c>
      <c r="E68" s="8">
        <v>8.1000000000000003E-2</v>
      </c>
      <c r="F68" s="8" t="s">
        <v>646</v>
      </c>
      <c r="G68" s="8" t="s">
        <v>647</v>
      </c>
      <c r="H68" s="8">
        <v>164</v>
      </c>
      <c r="I68" s="66">
        <v>66</v>
      </c>
      <c r="J68" s="61" t="s">
        <v>67</v>
      </c>
      <c r="K68" s="8">
        <v>66</v>
      </c>
      <c r="L68" s="8">
        <v>306</v>
      </c>
      <c r="M68" s="8"/>
      <c r="N68" s="8" t="b">
        <v>0</v>
      </c>
      <c r="O68" s="8"/>
      <c r="P68" s="8">
        <v>0</v>
      </c>
      <c r="Q68" s="8"/>
      <c r="R68" s="8">
        <v>0</v>
      </c>
      <c r="S68" s="8"/>
      <c r="T68" s="8">
        <v>0</v>
      </c>
      <c r="U68" s="8"/>
      <c r="V68" s="8">
        <v>0</v>
      </c>
      <c r="W68" s="8"/>
      <c r="X68" s="8">
        <v>0</v>
      </c>
      <c r="Y68" s="8"/>
      <c r="Z68" s="8">
        <v>0</v>
      </c>
      <c r="AA68" s="8"/>
      <c r="AB68" s="8"/>
      <c r="AC68" s="8"/>
      <c r="AD68" s="8" t="s">
        <v>919</v>
      </c>
      <c r="AE68" s="8">
        <v>30</v>
      </c>
      <c r="AF68" s="9" t="str">
        <f>IFERROR(HYPERLINK("#Technical!A"&amp;MATCH(B68,Technical!A:A,0),"Open Technical"),HYPERLINK("#Technical!A1","Open Technical"))</f>
        <v>Open Technical</v>
      </c>
      <c r="AG68" s="9"/>
    </row>
    <row r="69" spans="1:33" ht="30" customHeight="1" x14ac:dyDescent="0.25">
      <c r="A69" s="11" t="s">
        <v>920</v>
      </c>
      <c r="B69" s="58" t="s">
        <v>650</v>
      </c>
      <c r="C69" s="6">
        <v>200</v>
      </c>
      <c r="D69" s="11" t="s">
        <v>918</v>
      </c>
      <c r="E69" s="11">
        <v>3.5000000000000003E-2</v>
      </c>
      <c r="F69" s="11" t="s">
        <v>654</v>
      </c>
      <c r="G69" s="11" t="s">
        <v>655</v>
      </c>
      <c r="H69" s="11">
        <v>1707</v>
      </c>
      <c r="I69" s="66">
        <v>69</v>
      </c>
      <c r="J69" s="61" t="s">
        <v>67</v>
      </c>
      <c r="K69" s="11">
        <v>41</v>
      </c>
      <c r="L69" s="11">
        <v>370</v>
      </c>
      <c r="M69" s="11"/>
      <c r="N69" s="11" t="b">
        <v>0</v>
      </c>
      <c r="O69" s="11"/>
      <c r="P69" s="11">
        <v>0</v>
      </c>
      <c r="Q69" s="11"/>
      <c r="R69" s="11">
        <v>0</v>
      </c>
      <c r="S69" s="11"/>
      <c r="T69" s="11">
        <v>0</v>
      </c>
      <c r="U69" s="11"/>
      <c r="V69" s="11">
        <v>0</v>
      </c>
      <c r="W69" s="11"/>
      <c r="X69" s="11">
        <v>0</v>
      </c>
      <c r="Y69" s="11"/>
      <c r="Z69" s="11">
        <v>0</v>
      </c>
      <c r="AA69" s="11"/>
      <c r="AB69" s="11"/>
      <c r="AC69" s="11"/>
      <c r="AD69" s="11" t="s">
        <v>919</v>
      </c>
      <c r="AE69" s="11">
        <v>100</v>
      </c>
      <c r="AF69" t="str">
        <f>IFERROR(HYPERLINK("#Technical!A"&amp;MATCH(B69,Technical!A:A,0),"Open Technical"),HYPERLINK("#Technical!A1","Open Technical"))</f>
        <v>Open Technical</v>
      </c>
    </row>
    <row r="70" spans="1:33" ht="30" customHeight="1" x14ac:dyDescent="0.25">
      <c r="A70" s="8" t="s">
        <v>920</v>
      </c>
      <c r="B70" s="59" t="s">
        <v>658</v>
      </c>
      <c r="C70" s="6">
        <v>200</v>
      </c>
      <c r="D70" s="8" t="s">
        <v>918</v>
      </c>
      <c r="E70" s="8">
        <v>6.2E-2</v>
      </c>
      <c r="F70" s="8" t="s">
        <v>662</v>
      </c>
      <c r="G70" s="8" t="s">
        <v>663</v>
      </c>
      <c r="H70" s="8">
        <v>35</v>
      </c>
      <c r="I70" s="66">
        <v>66</v>
      </c>
      <c r="J70" s="61" t="s">
        <v>67</v>
      </c>
      <c r="K70" s="8">
        <v>47</v>
      </c>
      <c r="L70" s="8">
        <v>159</v>
      </c>
      <c r="M70" s="8"/>
      <c r="N70" s="8" t="b">
        <v>0</v>
      </c>
      <c r="O70" s="8"/>
      <c r="P70" s="8">
        <v>0</v>
      </c>
      <c r="Q70" s="8"/>
      <c r="R70" s="8">
        <v>0</v>
      </c>
      <c r="S70" s="8"/>
      <c r="T70" s="8">
        <v>0</v>
      </c>
      <c r="U70" s="8"/>
      <c r="V70" s="8">
        <v>0</v>
      </c>
      <c r="W70" s="8"/>
      <c r="X70" s="8">
        <v>0</v>
      </c>
      <c r="Y70" s="8"/>
      <c r="Z70" s="8">
        <v>0</v>
      </c>
      <c r="AA70" s="8"/>
      <c r="AB70" s="8"/>
      <c r="AC70" s="8"/>
      <c r="AD70" s="8" t="s">
        <v>919</v>
      </c>
      <c r="AE70" s="8">
        <v>100</v>
      </c>
      <c r="AF70" s="9" t="str">
        <f>IFERROR(HYPERLINK("#Technical!A"&amp;MATCH(B70,Technical!A:A,0),"Open Technical"),HYPERLINK("#Technical!A1","Open Technical"))</f>
        <v>Open Technical</v>
      </c>
      <c r="AG70" s="9"/>
    </row>
    <row r="71" spans="1:33" ht="30" customHeight="1" x14ac:dyDescent="0.25">
      <c r="A71" s="11" t="s">
        <v>920</v>
      </c>
      <c r="B71" s="58" t="s">
        <v>666</v>
      </c>
      <c r="C71" s="6">
        <v>200</v>
      </c>
      <c r="D71" s="11" t="s">
        <v>918</v>
      </c>
      <c r="E71" s="11">
        <v>4.3999999999999997E-2</v>
      </c>
      <c r="F71" s="11" t="s">
        <v>670</v>
      </c>
      <c r="G71" s="11" t="s">
        <v>671</v>
      </c>
      <c r="H71" s="11">
        <v>611</v>
      </c>
      <c r="I71" s="66">
        <v>59</v>
      </c>
      <c r="J71" s="61" t="s">
        <v>67</v>
      </c>
      <c r="K71" s="11">
        <v>48</v>
      </c>
      <c r="L71" s="11">
        <v>379</v>
      </c>
      <c r="M71" s="11"/>
      <c r="N71" s="11" t="b">
        <v>0</v>
      </c>
      <c r="O71" s="11"/>
      <c r="P71" s="11">
        <v>0</v>
      </c>
      <c r="Q71" s="11"/>
      <c r="R71" s="11">
        <v>0</v>
      </c>
      <c r="S71" s="11"/>
      <c r="T71" s="11">
        <v>0</v>
      </c>
      <c r="U71" s="11"/>
      <c r="V71" s="11">
        <v>0</v>
      </c>
      <c r="W71" s="11"/>
      <c r="X71" s="11">
        <v>0</v>
      </c>
      <c r="Y71" s="11"/>
      <c r="Z71" s="11">
        <v>0</v>
      </c>
      <c r="AA71" s="11"/>
      <c r="AB71" s="11"/>
      <c r="AC71" s="11"/>
      <c r="AD71" s="11" t="s">
        <v>919</v>
      </c>
      <c r="AE71" s="11">
        <v>60</v>
      </c>
      <c r="AF71" t="str">
        <f>IFERROR(HYPERLINK("#Technical!A"&amp;MATCH(B71,Technical!A:A,0),"Open Technical"),HYPERLINK("#Technical!A1","Open Technical"))</f>
        <v>Open Technical</v>
      </c>
    </row>
    <row r="72" spans="1:33" ht="30" customHeight="1" x14ac:dyDescent="0.25">
      <c r="A72" s="8" t="s">
        <v>920</v>
      </c>
      <c r="B72" s="59" t="s">
        <v>674</v>
      </c>
      <c r="C72" s="6">
        <v>200</v>
      </c>
      <c r="D72" s="8" t="s">
        <v>918</v>
      </c>
      <c r="E72" s="8">
        <v>7.2999999999999995E-2</v>
      </c>
      <c r="F72" s="8" t="s">
        <v>678</v>
      </c>
      <c r="G72" s="8" t="s">
        <v>679</v>
      </c>
      <c r="H72" s="8">
        <v>115</v>
      </c>
      <c r="I72" s="66">
        <v>56</v>
      </c>
      <c r="J72" s="61" t="s">
        <v>67</v>
      </c>
      <c r="K72" s="8">
        <v>59</v>
      </c>
      <c r="L72" s="8">
        <v>263</v>
      </c>
      <c r="M72" s="8"/>
      <c r="N72" s="8" t="b">
        <v>0</v>
      </c>
      <c r="O72" s="8"/>
      <c r="P72" s="8">
        <v>0</v>
      </c>
      <c r="Q72" s="8"/>
      <c r="R72" s="8">
        <v>0</v>
      </c>
      <c r="S72" s="8"/>
      <c r="T72" s="8">
        <v>0</v>
      </c>
      <c r="U72" s="8"/>
      <c r="V72" s="8">
        <v>0</v>
      </c>
      <c r="W72" s="8"/>
      <c r="X72" s="8">
        <v>0</v>
      </c>
      <c r="Y72" s="8"/>
      <c r="Z72" s="8">
        <v>0</v>
      </c>
      <c r="AA72" s="8"/>
      <c r="AB72" s="8"/>
      <c r="AC72" s="8"/>
      <c r="AD72" s="8" t="s">
        <v>919</v>
      </c>
      <c r="AE72" s="8">
        <v>30</v>
      </c>
      <c r="AF72" s="9" t="str">
        <f>IFERROR(HYPERLINK("#Technical!A"&amp;MATCH(B72,Technical!A:A,0),"Open Technical"),HYPERLINK("#Technical!A1","Open Technical"))</f>
        <v>Open Technical</v>
      </c>
      <c r="AG72" s="9"/>
    </row>
    <row r="73" spans="1:33" ht="30" customHeight="1" x14ac:dyDescent="0.25">
      <c r="A73" s="11" t="s">
        <v>920</v>
      </c>
      <c r="B73" s="58" t="s">
        <v>682</v>
      </c>
      <c r="C73" s="6">
        <v>200</v>
      </c>
      <c r="D73" s="11" t="s">
        <v>918</v>
      </c>
      <c r="E73" s="11">
        <v>0.13200000000000001</v>
      </c>
      <c r="F73" s="11" t="s">
        <v>686</v>
      </c>
      <c r="G73" s="11" t="s">
        <v>687</v>
      </c>
      <c r="H73" s="11">
        <v>97</v>
      </c>
      <c r="I73" s="66">
        <v>66</v>
      </c>
      <c r="J73" s="61" t="s">
        <v>67</v>
      </c>
      <c r="K73" s="11">
        <v>46</v>
      </c>
      <c r="L73" s="11">
        <v>160</v>
      </c>
      <c r="M73" s="11"/>
      <c r="N73" s="11" t="b">
        <v>0</v>
      </c>
      <c r="O73" s="11"/>
      <c r="P73" s="11">
        <v>0</v>
      </c>
      <c r="Q73" s="11"/>
      <c r="R73" s="11">
        <v>0</v>
      </c>
      <c r="S73" s="11"/>
      <c r="T73" s="11">
        <v>0</v>
      </c>
      <c r="U73" s="11"/>
      <c r="V73" s="11">
        <v>0</v>
      </c>
      <c r="W73" s="11"/>
      <c r="X73" s="11">
        <v>0</v>
      </c>
      <c r="Y73" s="11"/>
      <c r="Z73" s="11">
        <v>0</v>
      </c>
      <c r="AA73" s="11"/>
      <c r="AB73" s="11"/>
      <c r="AC73" s="11"/>
      <c r="AD73" s="11" t="s">
        <v>919</v>
      </c>
      <c r="AE73" s="11">
        <v>50</v>
      </c>
      <c r="AF73" t="str">
        <f>IFERROR(HYPERLINK("#Technical!A"&amp;MATCH(B73,Technical!A:A,0),"Open Technical"),HYPERLINK("#Technical!A1","Open Technical"))</f>
        <v>Open Technical</v>
      </c>
    </row>
    <row r="74" spans="1:33" ht="30" customHeight="1" x14ac:dyDescent="0.25">
      <c r="A74" s="8" t="s">
        <v>920</v>
      </c>
      <c r="B74" s="59" t="s">
        <v>690</v>
      </c>
      <c r="C74" s="6">
        <v>200</v>
      </c>
      <c r="D74" s="8" t="s">
        <v>918</v>
      </c>
      <c r="E74" s="8">
        <v>5.1999999999999998E-2</v>
      </c>
      <c r="F74" s="8" t="s">
        <v>694</v>
      </c>
      <c r="G74" s="8" t="s">
        <v>695</v>
      </c>
      <c r="H74" s="8">
        <v>3138</v>
      </c>
      <c r="I74" s="66">
        <v>59</v>
      </c>
      <c r="J74" s="61" t="s">
        <v>67</v>
      </c>
      <c r="K74" s="8">
        <v>34</v>
      </c>
      <c r="L74" s="8">
        <v>160</v>
      </c>
      <c r="M74" s="8"/>
      <c r="N74" s="8" t="b">
        <v>0</v>
      </c>
      <c r="O74" s="8"/>
      <c r="P74" s="8">
        <v>0</v>
      </c>
      <c r="Q74" s="8"/>
      <c r="R74" s="8">
        <v>0</v>
      </c>
      <c r="S74" s="8"/>
      <c r="T74" s="8">
        <v>0</v>
      </c>
      <c r="U74" s="8"/>
      <c r="V74" s="8">
        <v>0</v>
      </c>
      <c r="W74" s="8"/>
      <c r="X74" s="8">
        <v>0</v>
      </c>
      <c r="Y74" s="8"/>
      <c r="Z74" s="8">
        <v>0</v>
      </c>
      <c r="AA74" s="8"/>
      <c r="AB74" s="8"/>
      <c r="AC74" s="8"/>
      <c r="AD74" s="8" t="s">
        <v>919</v>
      </c>
      <c r="AE74" s="8">
        <v>100</v>
      </c>
      <c r="AF74" s="9" t="str">
        <f>IFERROR(HYPERLINK("#Technical!A"&amp;MATCH(B74,Technical!A:A,0),"Open Technical"),HYPERLINK("#Technical!A1","Open Technical"))</f>
        <v>Open Technical</v>
      </c>
      <c r="AG74" s="9"/>
    </row>
    <row r="75" spans="1:33" ht="30" customHeight="1" x14ac:dyDescent="0.25">
      <c r="A75" s="11" t="s">
        <v>920</v>
      </c>
      <c r="B75" s="58" t="s">
        <v>698</v>
      </c>
      <c r="C75" s="6">
        <v>200</v>
      </c>
      <c r="D75" s="11" t="s">
        <v>918</v>
      </c>
      <c r="E75" s="11">
        <v>0.16200000000000001</v>
      </c>
      <c r="F75" s="11" t="s">
        <v>270</v>
      </c>
      <c r="G75" s="11" t="s">
        <v>701</v>
      </c>
      <c r="H75" s="11">
        <v>175</v>
      </c>
      <c r="I75" s="66">
        <v>56</v>
      </c>
      <c r="J75" s="61" t="s">
        <v>67</v>
      </c>
      <c r="K75" s="11">
        <v>42</v>
      </c>
      <c r="L75" s="11">
        <v>417</v>
      </c>
      <c r="M75" s="11"/>
      <c r="N75" s="11" t="b">
        <v>0</v>
      </c>
      <c r="O75" s="11"/>
      <c r="P75" s="11">
        <v>0</v>
      </c>
      <c r="Q75" s="11"/>
      <c r="R75" s="11">
        <v>0</v>
      </c>
      <c r="S75" s="11"/>
      <c r="T75" s="11">
        <v>0</v>
      </c>
      <c r="U75" s="11"/>
      <c r="V75" s="11">
        <v>0</v>
      </c>
      <c r="W75" s="11"/>
      <c r="X75" s="11">
        <v>0</v>
      </c>
      <c r="Y75" s="11"/>
      <c r="Z75" s="11">
        <v>0</v>
      </c>
      <c r="AA75" s="11"/>
      <c r="AB75" s="11"/>
      <c r="AC75" s="11"/>
      <c r="AD75" s="11" t="s">
        <v>919</v>
      </c>
      <c r="AE75" s="11">
        <v>40</v>
      </c>
      <c r="AF75" t="str">
        <f>IFERROR(HYPERLINK("#Technical!A"&amp;MATCH(B75,Technical!A:A,0),"Open Technical"),HYPERLINK("#Technical!A1","Open Technical"))</f>
        <v>Open Technical</v>
      </c>
    </row>
    <row r="76" spans="1:33" ht="30" customHeight="1" x14ac:dyDescent="0.25">
      <c r="A76" s="8" t="s">
        <v>920</v>
      </c>
      <c r="B76" s="59" t="s">
        <v>704</v>
      </c>
      <c r="C76" s="6">
        <v>200</v>
      </c>
      <c r="D76" s="8" t="s">
        <v>918</v>
      </c>
      <c r="E76" s="8">
        <v>8.2000000000000003E-2</v>
      </c>
      <c r="F76" s="8" t="s">
        <v>708</v>
      </c>
      <c r="G76" s="8" t="s">
        <v>709</v>
      </c>
      <c r="H76" s="8">
        <v>412</v>
      </c>
      <c r="I76" s="66">
        <v>69</v>
      </c>
      <c r="J76" s="61" t="s">
        <v>67</v>
      </c>
      <c r="K76" s="8">
        <v>48</v>
      </c>
      <c r="L76" s="8">
        <v>392</v>
      </c>
      <c r="M76" s="8"/>
      <c r="N76" s="8" t="b">
        <v>0</v>
      </c>
      <c r="O76" s="8"/>
      <c r="P76" s="8">
        <v>0</v>
      </c>
      <c r="Q76" s="8"/>
      <c r="R76" s="8">
        <v>0</v>
      </c>
      <c r="S76" s="8"/>
      <c r="T76" s="8">
        <v>0</v>
      </c>
      <c r="U76" s="8"/>
      <c r="V76" s="8">
        <v>0</v>
      </c>
      <c r="W76" s="8"/>
      <c r="X76" s="8">
        <v>0</v>
      </c>
      <c r="Y76" s="8"/>
      <c r="Z76" s="8">
        <v>0</v>
      </c>
      <c r="AA76" s="8"/>
      <c r="AB76" s="8"/>
      <c r="AC76" s="8"/>
      <c r="AD76" s="8" t="s">
        <v>919</v>
      </c>
      <c r="AE76" s="8">
        <v>30</v>
      </c>
      <c r="AF76" s="9" t="str">
        <f>IFERROR(HYPERLINK("#Technical!A"&amp;MATCH(B76,Technical!A:A,0),"Open Technical"),HYPERLINK("#Technical!A1","Open Technical"))</f>
        <v>Open Technical</v>
      </c>
      <c r="AG76" s="9"/>
    </row>
    <row r="77" spans="1:33" ht="30" customHeight="1" x14ac:dyDescent="0.25">
      <c r="A77" s="11" t="s">
        <v>920</v>
      </c>
      <c r="B77" s="58" t="s">
        <v>712</v>
      </c>
      <c r="C77" s="6">
        <v>200</v>
      </c>
      <c r="D77" s="11" t="s">
        <v>918</v>
      </c>
      <c r="E77" s="11">
        <v>0.04</v>
      </c>
      <c r="F77" s="11" t="s">
        <v>716</v>
      </c>
      <c r="G77" s="11" t="s">
        <v>717</v>
      </c>
      <c r="H77" s="11">
        <v>438</v>
      </c>
      <c r="I77" s="66">
        <v>59</v>
      </c>
      <c r="J77" s="61" t="s">
        <v>67</v>
      </c>
      <c r="K77" s="11">
        <v>43</v>
      </c>
      <c r="L77" s="11">
        <v>1176</v>
      </c>
      <c r="M77" s="11"/>
      <c r="N77" s="11" t="b">
        <v>0</v>
      </c>
      <c r="O77" s="11"/>
      <c r="P77" s="11">
        <v>0</v>
      </c>
      <c r="Q77" s="11"/>
      <c r="R77" s="11">
        <v>0</v>
      </c>
      <c r="S77" s="11"/>
      <c r="T77" s="11">
        <v>0</v>
      </c>
      <c r="U77" s="11"/>
      <c r="V77" s="11">
        <v>0</v>
      </c>
      <c r="W77" s="11"/>
      <c r="X77" s="11">
        <v>0</v>
      </c>
      <c r="Y77" s="11"/>
      <c r="Z77" s="11">
        <v>0</v>
      </c>
      <c r="AA77" s="11"/>
      <c r="AB77" s="11"/>
      <c r="AC77" s="11"/>
      <c r="AD77" s="11" t="s">
        <v>919</v>
      </c>
      <c r="AE77" s="11">
        <v>100</v>
      </c>
      <c r="AF77" t="str">
        <f>IFERROR(HYPERLINK("#Technical!A"&amp;MATCH(B77,Technical!A:A,0),"Open Technical"),HYPERLINK("#Technical!A1","Open Technical"))</f>
        <v>Open Technical</v>
      </c>
    </row>
    <row r="78" spans="1:33" ht="30" customHeight="1" x14ac:dyDescent="0.25">
      <c r="A78" s="8" t="s">
        <v>920</v>
      </c>
      <c r="B78" s="59" t="s">
        <v>720</v>
      </c>
      <c r="C78" s="6">
        <v>200</v>
      </c>
      <c r="D78" s="8" t="s">
        <v>918</v>
      </c>
      <c r="E78" s="8">
        <v>5.7000000000000002E-2</v>
      </c>
      <c r="F78" s="8" t="s">
        <v>724</v>
      </c>
      <c r="G78" s="8" t="s">
        <v>725</v>
      </c>
      <c r="H78" s="8">
        <v>69</v>
      </c>
      <c r="I78" s="66">
        <v>56</v>
      </c>
      <c r="J78" s="61" t="s">
        <v>67</v>
      </c>
      <c r="K78" s="8">
        <v>49</v>
      </c>
      <c r="L78" s="8">
        <v>371</v>
      </c>
      <c r="M78" s="8"/>
      <c r="N78" s="8" t="b">
        <v>0</v>
      </c>
      <c r="O78" s="8"/>
      <c r="P78" s="8">
        <v>0</v>
      </c>
      <c r="Q78" s="8"/>
      <c r="R78" s="8">
        <v>0</v>
      </c>
      <c r="S78" s="8"/>
      <c r="T78" s="8">
        <v>0</v>
      </c>
      <c r="U78" s="8"/>
      <c r="V78" s="8">
        <v>0</v>
      </c>
      <c r="W78" s="8"/>
      <c r="X78" s="8">
        <v>0</v>
      </c>
      <c r="Y78" s="8"/>
      <c r="Z78" s="8">
        <v>0</v>
      </c>
      <c r="AA78" s="8"/>
      <c r="AB78" s="8"/>
      <c r="AC78" s="8"/>
      <c r="AD78" s="8" t="s">
        <v>919</v>
      </c>
      <c r="AE78" s="8">
        <v>30</v>
      </c>
      <c r="AF78" s="9" t="str">
        <f>IFERROR(HYPERLINK("#Technical!A"&amp;MATCH(B78,Technical!A:A,0),"Open Technical"),HYPERLINK("#Technical!A1","Open Technical"))</f>
        <v>Open Technical</v>
      </c>
      <c r="AG78" s="9"/>
    </row>
    <row r="79" spans="1:33" ht="30" customHeight="1" x14ac:dyDescent="0.25">
      <c r="A79" s="11" t="s">
        <v>920</v>
      </c>
      <c r="B79" s="58" t="s">
        <v>727</v>
      </c>
      <c r="C79" s="6">
        <v>200</v>
      </c>
      <c r="D79" s="11" t="s">
        <v>918</v>
      </c>
      <c r="E79" s="11">
        <v>7.2999999999999995E-2</v>
      </c>
      <c r="F79" s="11" t="s">
        <v>731</v>
      </c>
      <c r="G79" s="11" t="s">
        <v>732</v>
      </c>
      <c r="H79" s="11">
        <v>150</v>
      </c>
      <c r="I79" s="66">
        <v>56</v>
      </c>
      <c r="J79" s="61" t="s">
        <v>67</v>
      </c>
      <c r="K79" s="11">
        <v>51</v>
      </c>
      <c r="L79" s="11">
        <v>306</v>
      </c>
      <c r="M79" s="11"/>
      <c r="N79" s="11" t="b">
        <v>0</v>
      </c>
      <c r="O79" s="11"/>
      <c r="P79" s="11">
        <v>0</v>
      </c>
      <c r="Q79" s="11"/>
      <c r="R79" s="11">
        <v>0</v>
      </c>
      <c r="S79" s="11"/>
      <c r="T79" s="11">
        <v>0</v>
      </c>
      <c r="U79" s="11"/>
      <c r="V79" s="11">
        <v>0</v>
      </c>
      <c r="W79" s="11"/>
      <c r="X79" s="11">
        <v>0</v>
      </c>
      <c r="Y79" s="11"/>
      <c r="Z79" s="11">
        <v>0</v>
      </c>
      <c r="AA79" s="11"/>
      <c r="AB79" s="11"/>
      <c r="AC79" s="11"/>
      <c r="AD79" s="11" t="s">
        <v>919</v>
      </c>
      <c r="AE79" s="11">
        <v>30</v>
      </c>
      <c r="AF79" t="str">
        <f>IFERROR(HYPERLINK("#Technical!A"&amp;MATCH(B79,Technical!A:A,0),"Open Technical"),HYPERLINK("#Technical!A1","Open Technical"))</f>
        <v>Open Technical</v>
      </c>
    </row>
    <row r="80" spans="1:33" ht="30" customHeight="1" x14ac:dyDescent="0.25">
      <c r="A80" s="8" t="s">
        <v>920</v>
      </c>
      <c r="B80" s="59" t="s">
        <v>735</v>
      </c>
      <c r="C80" s="6">
        <v>200</v>
      </c>
      <c r="D80" s="8" t="s">
        <v>918</v>
      </c>
      <c r="E80" s="8">
        <v>6.8000000000000005E-2</v>
      </c>
      <c r="F80" s="8" t="s">
        <v>739</v>
      </c>
      <c r="G80" s="8" t="s">
        <v>740</v>
      </c>
      <c r="H80" s="8">
        <v>31</v>
      </c>
      <c r="I80" s="66">
        <v>56</v>
      </c>
      <c r="J80" s="61" t="s">
        <v>67</v>
      </c>
      <c r="K80" s="8">
        <v>84</v>
      </c>
      <c r="L80" s="8">
        <v>106</v>
      </c>
      <c r="M80" s="8"/>
      <c r="N80" s="8" t="b">
        <v>0</v>
      </c>
      <c r="O80" s="8"/>
      <c r="P80" s="8">
        <v>0</v>
      </c>
      <c r="Q80" s="8"/>
      <c r="R80" s="8">
        <v>0</v>
      </c>
      <c r="S80" s="8"/>
      <c r="T80" s="8">
        <v>0</v>
      </c>
      <c r="U80" s="8"/>
      <c r="V80" s="8">
        <v>0</v>
      </c>
      <c r="W80" s="8"/>
      <c r="X80" s="8">
        <v>0</v>
      </c>
      <c r="Y80" s="8"/>
      <c r="Z80" s="8">
        <v>0</v>
      </c>
      <c r="AA80" s="8"/>
      <c r="AB80" s="8"/>
      <c r="AC80" s="8"/>
      <c r="AD80" s="8" t="s">
        <v>919</v>
      </c>
      <c r="AE80" s="8">
        <v>40</v>
      </c>
      <c r="AF80" s="9" t="str">
        <f>IFERROR(HYPERLINK("#Technical!A"&amp;MATCH(B80,Technical!A:A,0),"Open Technical"),HYPERLINK("#Technical!A1","Open Technical"))</f>
        <v>Open Technical</v>
      </c>
      <c r="AG80" s="9"/>
    </row>
    <row r="81" spans="1:33" ht="30" customHeight="1" x14ac:dyDescent="0.25">
      <c r="A81" s="11" t="s">
        <v>920</v>
      </c>
      <c r="B81" s="58" t="s">
        <v>743</v>
      </c>
      <c r="C81" s="6">
        <v>200</v>
      </c>
      <c r="D81" s="11" t="s">
        <v>918</v>
      </c>
      <c r="E81" s="11">
        <v>6.8000000000000005E-2</v>
      </c>
      <c r="F81" s="11" t="s">
        <v>747</v>
      </c>
      <c r="G81" s="11" t="s">
        <v>748</v>
      </c>
      <c r="H81" s="11">
        <v>43</v>
      </c>
      <c r="I81" s="66">
        <v>56</v>
      </c>
      <c r="J81" s="61" t="s">
        <v>67</v>
      </c>
      <c r="K81" s="11">
        <v>78</v>
      </c>
      <c r="L81" s="11">
        <v>192</v>
      </c>
      <c r="M81" s="11"/>
      <c r="N81" s="11" t="b">
        <v>0</v>
      </c>
      <c r="O81" s="11"/>
      <c r="P81" s="11">
        <v>0</v>
      </c>
      <c r="Q81" s="11"/>
      <c r="R81" s="11">
        <v>0</v>
      </c>
      <c r="S81" s="11"/>
      <c r="T81" s="11">
        <v>0</v>
      </c>
      <c r="U81" s="11"/>
      <c r="V81" s="11">
        <v>0</v>
      </c>
      <c r="W81" s="11"/>
      <c r="X81" s="11">
        <v>0</v>
      </c>
      <c r="Y81" s="11"/>
      <c r="Z81" s="11">
        <v>0</v>
      </c>
      <c r="AA81" s="11"/>
      <c r="AB81" s="11"/>
      <c r="AC81" s="11"/>
      <c r="AD81" s="11" t="s">
        <v>919</v>
      </c>
      <c r="AE81" s="11">
        <v>30</v>
      </c>
      <c r="AF81" t="str">
        <f>IFERROR(HYPERLINK("#Technical!A"&amp;MATCH(B81,Technical!A:A,0),"Open Technical"),HYPERLINK("#Technical!A1","Open Technical"))</f>
        <v>Open Technical</v>
      </c>
    </row>
    <row r="82" spans="1:33" ht="30" customHeight="1" x14ac:dyDescent="0.25">
      <c r="A82" s="8" t="s">
        <v>920</v>
      </c>
      <c r="B82" s="59" t="s">
        <v>750</v>
      </c>
      <c r="C82" s="6">
        <v>200</v>
      </c>
      <c r="D82" s="8" t="s">
        <v>918</v>
      </c>
      <c r="E82" s="8">
        <v>4.5999999999999999E-2</v>
      </c>
      <c r="F82" s="8" t="s">
        <v>754</v>
      </c>
      <c r="G82" s="8" t="s">
        <v>755</v>
      </c>
      <c r="H82" s="8">
        <v>155</v>
      </c>
      <c r="I82" s="66">
        <v>56</v>
      </c>
      <c r="J82" s="61" t="s">
        <v>67</v>
      </c>
      <c r="K82" s="8">
        <v>59</v>
      </c>
      <c r="L82" s="8">
        <v>345</v>
      </c>
      <c r="M82" s="8"/>
      <c r="N82" s="8" t="b">
        <v>0</v>
      </c>
      <c r="O82" s="8"/>
      <c r="P82" s="8">
        <v>0</v>
      </c>
      <c r="Q82" s="8"/>
      <c r="R82" s="8">
        <v>0</v>
      </c>
      <c r="S82" s="8"/>
      <c r="T82" s="8">
        <v>0</v>
      </c>
      <c r="U82" s="8"/>
      <c r="V82" s="8">
        <v>0</v>
      </c>
      <c r="W82" s="8"/>
      <c r="X82" s="8">
        <v>0</v>
      </c>
      <c r="Y82" s="8"/>
      <c r="Z82" s="8">
        <v>0</v>
      </c>
      <c r="AA82" s="8"/>
      <c r="AB82" s="8"/>
      <c r="AC82" s="8"/>
      <c r="AD82" s="8" t="s">
        <v>919</v>
      </c>
      <c r="AE82" s="8">
        <v>50</v>
      </c>
      <c r="AF82" s="9" t="str">
        <f>IFERROR(HYPERLINK("#Technical!A"&amp;MATCH(B82,Technical!A:A,0),"Open Technical"),HYPERLINK("#Technical!A1","Open Technical"))</f>
        <v>Open Technical</v>
      </c>
      <c r="AG82" s="9"/>
    </row>
    <row r="83" spans="1:33" ht="30" customHeight="1" x14ac:dyDescent="0.25">
      <c r="A83" s="11" t="s">
        <v>920</v>
      </c>
      <c r="B83" s="58" t="s">
        <v>758</v>
      </c>
      <c r="C83" s="6">
        <v>200</v>
      </c>
      <c r="D83" s="11" t="s">
        <v>918</v>
      </c>
      <c r="E83" s="11">
        <v>3.9E-2</v>
      </c>
      <c r="F83" s="11" t="s">
        <v>762</v>
      </c>
      <c r="G83" s="11" t="s">
        <v>763</v>
      </c>
      <c r="H83" s="11">
        <v>23</v>
      </c>
      <c r="I83" s="66">
        <v>56</v>
      </c>
      <c r="J83" s="61" t="s">
        <v>67</v>
      </c>
      <c r="K83" s="11">
        <v>67</v>
      </c>
      <c r="L83" s="11">
        <v>56</v>
      </c>
      <c r="M83" s="11"/>
      <c r="N83" s="11" t="b">
        <v>0</v>
      </c>
      <c r="O83" s="11"/>
      <c r="P83" s="11">
        <v>0</v>
      </c>
      <c r="Q83" s="11"/>
      <c r="R83" s="11">
        <v>0</v>
      </c>
      <c r="S83" s="11"/>
      <c r="T83" s="11">
        <v>0</v>
      </c>
      <c r="U83" s="11"/>
      <c r="V83" s="11">
        <v>0</v>
      </c>
      <c r="W83" s="11"/>
      <c r="X83" s="11">
        <v>0</v>
      </c>
      <c r="Y83" s="11"/>
      <c r="Z83" s="11">
        <v>0</v>
      </c>
      <c r="AA83" s="11"/>
      <c r="AB83" s="11"/>
      <c r="AC83" s="11"/>
      <c r="AD83" s="11" t="s">
        <v>919</v>
      </c>
      <c r="AE83" s="11">
        <v>30</v>
      </c>
      <c r="AF83" t="str">
        <f>IFERROR(HYPERLINK("#Technical!A"&amp;MATCH(B83,Technical!A:A,0),"Open Technical"),HYPERLINK("#Technical!A1","Open Technical"))</f>
        <v>Open Technical</v>
      </c>
    </row>
    <row r="84" spans="1:33" ht="30" customHeight="1" x14ac:dyDescent="0.25">
      <c r="A84" s="8" t="s">
        <v>920</v>
      </c>
      <c r="B84" s="59" t="s">
        <v>766</v>
      </c>
      <c r="C84" s="6">
        <v>200</v>
      </c>
      <c r="D84" s="8" t="s">
        <v>918</v>
      </c>
      <c r="E84" s="8">
        <v>4.5999999999999999E-2</v>
      </c>
      <c r="F84" s="8" t="s">
        <v>770</v>
      </c>
      <c r="G84" s="8" t="s">
        <v>771</v>
      </c>
      <c r="H84" s="8">
        <v>23</v>
      </c>
      <c r="I84" s="66">
        <v>56</v>
      </c>
      <c r="J84" s="61" t="s">
        <v>67</v>
      </c>
      <c r="K84" s="8">
        <v>67</v>
      </c>
      <c r="L84" s="8">
        <v>56</v>
      </c>
      <c r="M84" s="8"/>
      <c r="N84" s="8" t="b">
        <v>0</v>
      </c>
      <c r="O84" s="8"/>
      <c r="P84" s="8">
        <v>0</v>
      </c>
      <c r="Q84" s="8"/>
      <c r="R84" s="8">
        <v>0</v>
      </c>
      <c r="S84" s="8"/>
      <c r="T84" s="8">
        <v>0</v>
      </c>
      <c r="U84" s="8"/>
      <c r="V84" s="8">
        <v>0</v>
      </c>
      <c r="W84" s="8"/>
      <c r="X84" s="8">
        <v>0</v>
      </c>
      <c r="Y84" s="8"/>
      <c r="Z84" s="8">
        <v>0</v>
      </c>
      <c r="AA84" s="8"/>
      <c r="AB84" s="8"/>
      <c r="AC84" s="8"/>
      <c r="AD84" s="8" t="s">
        <v>919</v>
      </c>
      <c r="AE84" s="8">
        <v>30</v>
      </c>
      <c r="AF84" s="9" t="str">
        <f>IFERROR(HYPERLINK("#Technical!A"&amp;MATCH(B84,Technical!A:A,0),"Open Technical"),HYPERLINK("#Technical!A1","Open Technical"))</f>
        <v>Open Technical</v>
      </c>
      <c r="AG84" s="9"/>
    </row>
    <row r="85" spans="1:33" ht="30" customHeight="1" x14ac:dyDescent="0.25">
      <c r="A85" s="11" t="s">
        <v>920</v>
      </c>
      <c r="B85" s="58" t="s">
        <v>774</v>
      </c>
      <c r="C85" s="6">
        <v>200</v>
      </c>
      <c r="D85" s="11" t="s">
        <v>918</v>
      </c>
      <c r="E85" s="11">
        <v>0.05</v>
      </c>
      <c r="F85" s="11" t="s">
        <v>778</v>
      </c>
      <c r="G85" s="11" t="s">
        <v>779</v>
      </c>
      <c r="H85" s="11">
        <v>78</v>
      </c>
      <c r="I85" s="66">
        <v>56</v>
      </c>
      <c r="J85" s="61" t="s">
        <v>67</v>
      </c>
      <c r="K85" s="11">
        <v>49</v>
      </c>
      <c r="L85" s="11">
        <v>352</v>
      </c>
      <c r="M85" s="11"/>
      <c r="N85" s="11" t="b">
        <v>0</v>
      </c>
      <c r="O85" s="11"/>
      <c r="P85" s="11">
        <v>0</v>
      </c>
      <c r="Q85" s="11"/>
      <c r="R85" s="11">
        <v>0</v>
      </c>
      <c r="S85" s="11"/>
      <c r="T85" s="11">
        <v>0</v>
      </c>
      <c r="U85" s="11"/>
      <c r="V85" s="11">
        <v>0</v>
      </c>
      <c r="W85" s="11"/>
      <c r="X85" s="11">
        <v>0</v>
      </c>
      <c r="Y85" s="11"/>
      <c r="Z85" s="11">
        <v>0</v>
      </c>
      <c r="AA85" s="11"/>
      <c r="AB85" s="11"/>
      <c r="AC85" s="11"/>
      <c r="AD85" s="11" t="s">
        <v>919</v>
      </c>
      <c r="AE85" s="11">
        <v>30</v>
      </c>
      <c r="AF85" t="str">
        <f>IFERROR(HYPERLINK("#Technical!A"&amp;MATCH(B85,Technical!A:A,0),"Open Technical"),HYPERLINK("#Technical!A1","Open Technical"))</f>
        <v>Open Technical</v>
      </c>
    </row>
    <row r="86" spans="1:33" ht="30" customHeight="1" x14ac:dyDescent="0.25">
      <c r="A86" s="8" t="s">
        <v>920</v>
      </c>
      <c r="B86" s="59" t="s">
        <v>782</v>
      </c>
      <c r="C86" s="6">
        <v>200</v>
      </c>
      <c r="D86" s="8" t="s">
        <v>918</v>
      </c>
      <c r="E86" s="8">
        <v>4.3999999999999997E-2</v>
      </c>
      <c r="F86" s="8" t="s">
        <v>786</v>
      </c>
      <c r="G86" s="8" t="s">
        <v>787</v>
      </c>
      <c r="H86" s="8">
        <v>1725</v>
      </c>
      <c r="I86" s="66">
        <v>59</v>
      </c>
      <c r="J86" s="61" t="s">
        <v>67</v>
      </c>
      <c r="K86" s="8">
        <v>51</v>
      </c>
      <c r="L86" s="8">
        <v>347</v>
      </c>
      <c r="M86" s="8"/>
      <c r="N86" s="8" t="b">
        <v>0</v>
      </c>
      <c r="O86" s="8"/>
      <c r="P86" s="8">
        <v>0</v>
      </c>
      <c r="Q86" s="8"/>
      <c r="R86" s="8">
        <v>0</v>
      </c>
      <c r="S86" s="8"/>
      <c r="T86" s="8">
        <v>0</v>
      </c>
      <c r="U86" s="8"/>
      <c r="V86" s="8">
        <v>0</v>
      </c>
      <c r="W86" s="8"/>
      <c r="X86" s="8">
        <v>0</v>
      </c>
      <c r="Y86" s="8"/>
      <c r="Z86" s="8">
        <v>0</v>
      </c>
      <c r="AA86" s="8"/>
      <c r="AB86" s="8"/>
      <c r="AC86" s="8"/>
      <c r="AD86" s="8" t="s">
        <v>919</v>
      </c>
      <c r="AE86" s="8">
        <v>30</v>
      </c>
      <c r="AF86" s="9" t="str">
        <f>IFERROR(HYPERLINK("#Technical!A"&amp;MATCH(B86,Technical!A:A,0),"Open Technical"),HYPERLINK("#Technical!A1","Open Technical"))</f>
        <v>Open Technical</v>
      </c>
      <c r="AG86" s="9"/>
    </row>
  </sheetData>
  <autoFilter ref="A1:AG86" xr:uid="{00000000-0009-0000-0000-000004000000}"/>
  <conditionalFormatting sqref="C2:C86">
    <cfRule type="cellIs" dxfId="42" priority="1" operator="equal">
      <formula>200</formula>
    </cfRule>
    <cfRule type="cellIs" dxfId="41" priority="2" operator="between">
      <formula>300</formula>
      <formula>399</formula>
    </cfRule>
    <cfRule type="cellIs" dxfId="40" priority="3" operator="greaterThanOrEqual">
      <formula>400</formula>
    </cfRule>
  </conditionalFormatting>
  <conditionalFormatting sqref="E2:E86">
    <cfRule type="colorScale" priority="4">
      <colorScale>
        <cfvo type="min"/>
        <cfvo type="percentile" val="50"/>
        <cfvo type="max"/>
        <color rgb="FF63BE7B"/>
        <color rgb="FFFFEB84"/>
        <color rgb="FFF8696B"/>
      </colorScale>
    </cfRule>
    <cfRule type="dataBar" priority="5">
      <dataBar>
        <cfvo type="min"/>
        <cfvo type="max"/>
        <color rgb="FF638EC6"/>
      </dataBar>
    </cfRule>
  </conditionalFormatting>
  <conditionalFormatting sqref="H2:H86">
    <cfRule type="colorScale" priority="6">
      <colorScale>
        <cfvo type="min"/>
        <cfvo type="percentile" val="50"/>
        <cfvo type="max"/>
        <color rgb="FFF8696B"/>
        <color rgb="FFFFEB84"/>
        <color rgb="FF63BE7B"/>
      </colorScale>
    </cfRule>
    <cfRule type="dataBar" priority="7">
      <dataBar>
        <cfvo type="min"/>
        <cfvo type="max"/>
        <color rgb="FF63BE7B"/>
      </dataBar>
    </cfRule>
  </conditionalFormatting>
  <conditionalFormatting sqref="I2:I86">
    <cfRule type="colorScale" priority="8">
      <colorScale>
        <cfvo type="min"/>
        <cfvo type="percentile" val="50"/>
        <cfvo type="max"/>
        <color rgb="FFF8696B"/>
        <color rgb="FFFFEB84"/>
        <color rgb="FF63BE7B"/>
      </colorScale>
    </cfRule>
  </conditionalFormatting>
  <conditionalFormatting sqref="J2:J86">
    <cfRule type="expression" dxfId="39" priority="9" stopIfTrue="1">
      <formula>LOWER(J2)="critical"</formula>
    </cfRule>
    <cfRule type="expression" dxfId="38" priority="10" stopIfTrue="1">
      <formula>LOWER(J2)="warning"</formula>
    </cfRule>
    <cfRule type="expression" dxfId="37" priority="11" stopIfTrue="1">
      <formula>OR(LOWER(J2)="pass",LOWER(J2)="observation")</formula>
    </cfRule>
  </conditionalFormatting>
  <dataValidations count="35">
    <dataValidation type="custom" allowBlank="1" showInputMessage="1" promptTitle="Health Icon" prompt="Health Icon. Review this metric to identify risk, then use linked tabs for details and remediation." sqref="A1" xr:uid="{00000000-0002-0000-0400-000000000000}">
      <formula1>TRUE</formula1>
    </dataValidation>
    <dataValidation type="custom" allowBlank="1" showInputMessage="1" promptTitle="URL" prompt="URL. Use this URL to inspect the page directly or jump to related tabs." sqref="B1" xr:uid="{00000000-0002-0000-0400-000001000000}">
      <formula1>TRUE</formula1>
    </dataValidation>
    <dataValidation type="custom" allowBlank="1" showInputMessage="1" promptTitle="Status Code" prompt="HTTP response code returned for this page/resource. Fix: Resolve 4xx/5xx errors and reduce unnecessary redirects." sqref="C1" xr:uid="{00000000-0002-0000-0400-000002000000}">
      <formula1>TRUE</formula1>
    </dataValidation>
    <dataValidation type="custom" allowBlank="1" showInputMessage="1" promptTitle="Indexability" prompt="Indexing/canonicalization signal. Fix: ensure indexable pages use correct canonicals and non-conflicting directives." sqref="D1" xr:uid="{00000000-0002-0000-0400-000003000000}">
      <formula1>TRUE</formula1>
    </dataValidation>
    <dataValidation type="custom" allowBlank="1" showInputMessage="1" promptTitle="Load Time (s)" prompt="Page/request speed metric. Fix: optimise assets, server response time, and blocking resources." sqref="E1" xr:uid="{00000000-0002-0000-0400-000004000000}">
      <formula1>TRUE</formula1>
    </dataValidation>
    <dataValidation type="custom" allowBlank="1" showInputMessage="1" promptTitle="Title" prompt="Title. Review this metric to identify risk, then use linked tabs for details and remediation." sqref="F1" xr:uid="{00000000-0002-0000-0400-000005000000}">
      <formula1>TRUE</formula1>
    </dataValidation>
    <dataValidation type="custom" allowBlank="1" showInputMessage="1" promptTitle="Meta Description" prompt="Meta Description. Review this metric to identify risk, then use linked tabs for details and remediation." sqref="G1" xr:uid="{00000000-0002-0000-0400-000006000000}">
      <formula1>TRUE</formula1>
    </dataValidation>
    <dataValidation type="custom" allowBlank="1" showInputMessage="1" promptTitle="Word Count (Body)" prompt="Content quality depth metric. Fix: expand thin content and improve clarity for search intent." sqref="H1" xr:uid="{00000000-0002-0000-0400-000007000000}">
      <formula1>TRUE</formula1>
    </dataValidation>
    <dataValidation type="custom" allowBlank="1" showInputMessage="1" promptTitle="SEO Health Score" prompt="Composite SEO quality score for this URL. Higher is better. Guide: 90+ strong, 70-89 needs tuning, below 70 high priority." sqref="I1" xr:uid="{00000000-0002-0000-0400-000008000000}">
      <formula1>TRUE</formula1>
    </dataValidation>
    <dataValidation type="custom" allowBlank="1" showInputMessage="1" promptTitle="Severity Badge" prompt="Issue impact level. Fix: Resolve Critical first, then Warning, then improvement opportunities." sqref="J1" xr:uid="{00000000-0002-0000-0400-000009000000}">
      <formula1>TRUE</formula1>
    </dataValidation>
    <dataValidation type="custom" allowBlank="1" showInputMessage="1" promptTitle="Title Length" prompt="Title Length. Review this metric to identify risk, then use linked tabs for details and remediation." sqref="K1" xr:uid="{00000000-0002-0000-0400-00000A000000}">
      <formula1>TRUE</formula1>
    </dataValidation>
    <dataValidation type="custom" allowBlank="1" showInputMessage="1" promptTitle="Meta Desc Length" prompt="Meta Desc Length. Review this metric to identify risk, then use linked tabs for details and remediation." sqref="L1" xr:uid="{00000000-0002-0000-0400-00000B000000}">
      <formula1>TRUE</formula1>
    </dataValidation>
    <dataValidation type="custom" allowBlank="1" showInputMessage="1" promptTitle="OG-Image" prompt="OG-Image. Review this metric to identify risk, then use linked tabs for details and remediation." sqref="M1" xr:uid="{00000000-0002-0000-0400-00000C000000}">
      <formula1>TRUE</formula1>
    </dataValidation>
    <dataValidation type="custom" allowBlank="1" showInputMessage="1" promptTitle="Has Valid JSON-LD" prompt="Structured data signal. Fix: add valid schema types and correct parsing/validation errors." sqref="N1" xr:uid="{00000000-0002-0000-0400-00000D000000}">
      <formula1>TRUE</formula1>
    </dataValidation>
    <dataValidation type="custom" allowBlank="1" showInputMessage="1" promptTitle="H1 Content" prompt="H1 Content. Review this metric to identify risk, then use linked tabs for details and remediation." sqref="O1" xr:uid="{00000000-0002-0000-0400-00000E000000}">
      <formula1>TRUE</formula1>
    </dataValidation>
    <dataValidation type="custom" allowBlank="1" showInputMessage="1" promptTitle="H1 Length" prompt="H1 Length. Review this metric to identify risk, then use linked tabs for details and remediation." sqref="P1" xr:uid="{00000000-0002-0000-0400-00000F000000}">
      <formula1>TRUE</formula1>
    </dataValidation>
    <dataValidation type="custom" allowBlank="1" showInputMessage="1" promptTitle="H2 Content" prompt="H2 Content. Review this metric to identify risk, then use linked tabs for details and remediation." sqref="Q1" xr:uid="{00000000-0002-0000-0400-000010000000}">
      <formula1>TRUE</formula1>
    </dataValidation>
    <dataValidation type="custom" allowBlank="1" showInputMessage="1" promptTitle="H2 Length" prompt="H2 Length. Review this metric to identify risk, then use linked tabs for details and remediation." sqref="R1" xr:uid="{00000000-0002-0000-0400-000011000000}">
      <formula1>TRUE</formula1>
    </dataValidation>
    <dataValidation type="custom" allowBlank="1" showInputMessage="1" promptTitle="H3 Content" prompt="H3 Content. Review this metric to identify risk, then use linked tabs for details and remediation." sqref="S1" xr:uid="{00000000-0002-0000-0400-000012000000}">
      <formula1>TRUE</formula1>
    </dataValidation>
    <dataValidation type="custom" allowBlank="1" showInputMessage="1" promptTitle="H3 Length" prompt="H3 Length. Review this metric to identify risk, then use linked tabs for details and remediation." sqref="T1" xr:uid="{00000000-0002-0000-0400-000013000000}">
      <formula1>TRUE</formula1>
    </dataValidation>
    <dataValidation type="custom" allowBlank="1" showInputMessage="1" promptTitle="H4 Content" prompt="H4 Content. Review this metric to identify risk, then use linked tabs for details and remediation." sqref="U1" xr:uid="{00000000-0002-0000-0400-000014000000}">
      <formula1>TRUE</formula1>
    </dataValidation>
    <dataValidation type="custom" allowBlank="1" showInputMessage="1" promptTitle="H4 Length" prompt="H4 Length. Review this metric to identify risk, then use linked tabs for details and remediation." sqref="V1" xr:uid="{00000000-0002-0000-0400-000015000000}">
      <formula1>TRUE</formula1>
    </dataValidation>
    <dataValidation type="custom" allowBlank="1" showInputMessage="1" promptTitle="H5 Content" prompt="H5 Content. Review this metric to identify risk, then use linked tabs for details and remediation." sqref="W1" xr:uid="{00000000-0002-0000-0400-000016000000}">
      <formula1>TRUE</formula1>
    </dataValidation>
    <dataValidation type="custom" allowBlank="1" showInputMessage="1" promptTitle="H5 Length" prompt="H5 Length. Review this metric to identify risk, then use linked tabs for details and remediation." sqref="X1" xr:uid="{00000000-0002-0000-0400-000017000000}">
      <formula1>TRUE</formula1>
    </dataValidation>
    <dataValidation type="custom" allowBlank="1" showInputMessage="1" promptTitle="H6 Content" prompt="H6 Content. Review this metric to identify risk, then use linked tabs for details and remediation." sqref="Y1" xr:uid="{00000000-0002-0000-0400-000018000000}">
      <formula1>TRUE</formula1>
    </dataValidation>
    <dataValidation type="custom" allowBlank="1" showInputMessage="1" promptTitle="H6 Length" prompt="H6 Length. Review this metric to identify risk, then use linked tabs for details and remediation." sqref="Z1" xr:uid="{00000000-0002-0000-0400-000019000000}">
      <formula1>TRUE</formula1>
    </dataValidation>
    <dataValidation type="custom" allowBlank="1" showInputMessage="1" promptTitle="CWV LCP (s)" prompt="CWV LCP (s). Review this metric to identify risk, then use linked tabs for details and remediation." sqref="AA1" xr:uid="{00000000-0002-0000-0400-00001A000000}">
      <formula1>TRUE</formula1>
    </dataValidation>
    <dataValidation type="custom" allowBlank="1" showInputMessage="1" promptTitle="CWV INP (ms)" prompt="CWV INP (ms). Review this metric to identify risk, then use linked tabs for details and remediation." sqref="AB1" xr:uid="{00000000-0002-0000-0400-00001B000000}">
      <formula1>TRUE</formula1>
    </dataValidation>
    <dataValidation type="custom" allowBlank="1" showInputMessage="1" promptTitle="CWV CLS" prompt="CWV CLS. Review this metric to identify risk, then use linked tabs for details and remediation." sqref="AC1" xr:uid="{00000000-0002-0000-0400-00001C000000}">
      <formula1>TRUE</formula1>
    </dataValidation>
    <dataValidation type="custom" allowBlank="1" showInputMessage="1" promptTitle="Field vs Lab" prompt="Field vs Lab. Review this metric to identify risk, then use linked tabs for details and remediation." sqref="AD1" xr:uid="{00000000-0002-0000-0400-00001D000000}">
      <formula1>TRUE</formula1>
    </dataValidation>
    <dataValidation type="custom" allowBlank="1" showInputMessage="1" promptTitle="Regional Authority Score" prompt="Regional Authority Score. Review this metric to identify risk, then use linked tabs for details and remediation." sqref="AE1" xr:uid="{00000000-0002-0000-0400-00001E000000}">
      <formula1>TRUE</formula1>
    </dataValidation>
    <dataValidation type="custom" allowBlank="1" showInputMessage="1" promptTitle="Technical View" prompt="Navigation helper. Click to jump directly to the related record in another tab." sqref="AF1" xr:uid="{00000000-0002-0000-0400-00001F000000}">
      <formula1>TRUE</formula1>
    </dataValidation>
    <dataValidation type="custom" allowBlank="1" showInputMessage="1" promptTitle="BACK TO DASHBOARD" prompt="BACK TO DASHBOARD. Review this metric to identify risk, then use linked tabs for details and remediation." sqref="AG1" xr:uid="{00000000-0002-0000-0400-000020000000}">
      <formula1>TRUE</formula1>
    </dataValidation>
    <dataValidation type="custom" allowBlank="1" showInputMessage="1" promptTitle="Status Code" prompt="HTTP status returned for the URL. Fix: Resolve 4xx/5xx errors and remove unnecessary redirect chains." sqref="C1" xr:uid="{00000000-0002-0000-0400-000021000000}">
      <formula1>TRUE</formula1>
    </dataValidation>
    <dataValidation type="custom" allowBlank="1" showInputMessage="1" promptTitle="SEO Health Score" prompt="Weighted technical SEO quality score for this URL. Fix: Prioritize critical issues and improve warnings in FixPlan." sqref="I1" xr:uid="{00000000-0002-0000-0400-000022000000}">
      <formula1>TRUE</formula1>
    </dataValidation>
  </dataValidations>
  <hyperlinks>
    <hyperlink ref="AG1" location="Dashboard!A1" display="BACK TO DASHBOARD" xr:uid="{00000000-0004-0000-0400-000000000000}"/>
    <hyperlink ref="B2" r:id="rId1" xr:uid="{00000000-0004-0000-0400-000001000000}"/>
    <hyperlink ref="B3" r:id="rId2" xr:uid="{00000000-0004-0000-0400-000002000000}"/>
    <hyperlink ref="B4" r:id="rId3" xr:uid="{00000000-0004-0000-0400-000003000000}"/>
    <hyperlink ref="B5" r:id="rId4" xr:uid="{00000000-0004-0000-0400-000004000000}"/>
    <hyperlink ref="B6" r:id="rId5" xr:uid="{00000000-0004-0000-0400-000005000000}"/>
    <hyperlink ref="B7" r:id="rId6" xr:uid="{00000000-0004-0000-0400-000006000000}"/>
    <hyperlink ref="B8" r:id="rId7" xr:uid="{00000000-0004-0000-0400-000007000000}"/>
    <hyperlink ref="B9" r:id="rId8" xr:uid="{00000000-0004-0000-0400-000008000000}"/>
    <hyperlink ref="B10" r:id="rId9" xr:uid="{00000000-0004-0000-0400-000009000000}"/>
    <hyperlink ref="B11" r:id="rId10" xr:uid="{00000000-0004-0000-0400-00000A000000}"/>
    <hyperlink ref="B12" r:id="rId11" xr:uid="{00000000-0004-0000-0400-00000B000000}"/>
    <hyperlink ref="B13" r:id="rId12" xr:uid="{00000000-0004-0000-0400-00000C000000}"/>
    <hyperlink ref="B14" r:id="rId13" xr:uid="{00000000-0004-0000-0400-00000D000000}"/>
    <hyperlink ref="B15" r:id="rId14" xr:uid="{00000000-0004-0000-0400-00000E000000}"/>
    <hyperlink ref="B16" r:id="rId15" xr:uid="{00000000-0004-0000-0400-00000F000000}"/>
    <hyperlink ref="B17" r:id="rId16" xr:uid="{00000000-0004-0000-0400-000010000000}"/>
    <hyperlink ref="B18" r:id="rId17" xr:uid="{00000000-0004-0000-0400-000011000000}"/>
    <hyperlink ref="B19" r:id="rId18" xr:uid="{00000000-0004-0000-0400-000012000000}"/>
    <hyperlink ref="B20" r:id="rId19" xr:uid="{00000000-0004-0000-0400-000013000000}"/>
    <hyperlink ref="B21" r:id="rId20" xr:uid="{00000000-0004-0000-0400-000014000000}"/>
    <hyperlink ref="B22" r:id="rId21" xr:uid="{00000000-0004-0000-0400-000015000000}"/>
    <hyperlink ref="B23" r:id="rId22" xr:uid="{00000000-0004-0000-0400-000016000000}"/>
    <hyperlink ref="B24" r:id="rId23" xr:uid="{00000000-0004-0000-0400-000017000000}"/>
    <hyperlink ref="B25" r:id="rId24" xr:uid="{00000000-0004-0000-0400-000018000000}"/>
    <hyperlink ref="B26" r:id="rId25" xr:uid="{00000000-0004-0000-0400-000019000000}"/>
    <hyperlink ref="B27" r:id="rId26" xr:uid="{00000000-0004-0000-0400-00001A000000}"/>
    <hyperlink ref="B28" r:id="rId27" xr:uid="{00000000-0004-0000-0400-00001B000000}"/>
    <hyperlink ref="B29" r:id="rId28" xr:uid="{00000000-0004-0000-0400-00001C000000}"/>
    <hyperlink ref="B30" r:id="rId29" xr:uid="{00000000-0004-0000-0400-00001D000000}"/>
    <hyperlink ref="B31" r:id="rId30" xr:uid="{00000000-0004-0000-0400-00001E000000}"/>
    <hyperlink ref="B32" r:id="rId31" xr:uid="{00000000-0004-0000-0400-00001F000000}"/>
    <hyperlink ref="B33" r:id="rId32" xr:uid="{00000000-0004-0000-0400-000020000000}"/>
    <hyperlink ref="B34" r:id="rId33" xr:uid="{00000000-0004-0000-0400-000021000000}"/>
    <hyperlink ref="B35" r:id="rId34" xr:uid="{00000000-0004-0000-0400-000022000000}"/>
    <hyperlink ref="B36" r:id="rId35" xr:uid="{00000000-0004-0000-0400-000023000000}"/>
    <hyperlink ref="B37" r:id="rId36" xr:uid="{00000000-0004-0000-0400-000024000000}"/>
    <hyperlink ref="B38" r:id="rId37" xr:uid="{00000000-0004-0000-0400-000025000000}"/>
    <hyperlink ref="B39" r:id="rId38" xr:uid="{00000000-0004-0000-0400-000026000000}"/>
    <hyperlink ref="B40" r:id="rId39" xr:uid="{00000000-0004-0000-0400-000027000000}"/>
    <hyperlink ref="B41" r:id="rId40" xr:uid="{00000000-0004-0000-0400-000028000000}"/>
    <hyperlink ref="B42" r:id="rId41" xr:uid="{00000000-0004-0000-0400-000029000000}"/>
    <hyperlink ref="B43" r:id="rId42" xr:uid="{00000000-0004-0000-0400-00002A000000}"/>
    <hyperlink ref="B44" r:id="rId43" xr:uid="{00000000-0004-0000-0400-00002B000000}"/>
    <hyperlink ref="B45" r:id="rId44" xr:uid="{00000000-0004-0000-0400-00002C000000}"/>
    <hyperlink ref="B46" r:id="rId45" xr:uid="{00000000-0004-0000-0400-00002D000000}"/>
    <hyperlink ref="B47" r:id="rId46" xr:uid="{00000000-0004-0000-0400-00002E000000}"/>
    <hyperlink ref="B48" r:id="rId47" xr:uid="{00000000-0004-0000-0400-00002F000000}"/>
    <hyperlink ref="B49" r:id="rId48" xr:uid="{00000000-0004-0000-0400-000030000000}"/>
    <hyperlink ref="B50" r:id="rId49" xr:uid="{00000000-0004-0000-0400-000031000000}"/>
    <hyperlink ref="B51" r:id="rId50" xr:uid="{00000000-0004-0000-0400-000032000000}"/>
    <hyperlink ref="B52" r:id="rId51" xr:uid="{00000000-0004-0000-0400-000033000000}"/>
    <hyperlink ref="B53" r:id="rId52" xr:uid="{00000000-0004-0000-0400-000034000000}"/>
    <hyperlink ref="B54" r:id="rId53" xr:uid="{00000000-0004-0000-0400-000035000000}"/>
    <hyperlink ref="B55" r:id="rId54" xr:uid="{00000000-0004-0000-0400-000036000000}"/>
    <hyperlink ref="B56" r:id="rId55" xr:uid="{00000000-0004-0000-0400-000037000000}"/>
    <hyperlink ref="B57" r:id="rId56" xr:uid="{00000000-0004-0000-0400-000038000000}"/>
    <hyperlink ref="B58" r:id="rId57" xr:uid="{00000000-0004-0000-0400-000039000000}"/>
    <hyperlink ref="B59" r:id="rId58" xr:uid="{00000000-0004-0000-0400-00003A000000}"/>
    <hyperlink ref="B60" r:id="rId59" xr:uid="{00000000-0004-0000-0400-00003B000000}"/>
    <hyperlink ref="B61" r:id="rId60" xr:uid="{00000000-0004-0000-0400-00003C000000}"/>
    <hyperlink ref="B62" r:id="rId61" xr:uid="{00000000-0004-0000-0400-00003D000000}"/>
    <hyperlink ref="B63" r:id="rId62" xr:uid="{00000000-0004-0000-0400-00003E000000}"/>
    <hyperlink ref="B64" r:id="rId63" xr:uid="{00000000-0004-0000-0400-00003F000000}"/>
    <hyperlink ref="B65" r:id="rId64" xr:uid="{00000000-0004-0000-0400-000040000000}"/>
    <hyperlink ref="B66" r:id="rId65" xr:uid="{00000000-0004-0000-0400-000041000000}"/>
    <hyperlink ref="B67" r:id="rId66" xr:uid="{00000000-0004-0000-0400-000042000000}"/>
    <hyperlink ref="B68" r:id="rId67" xr:uid="{00000000-0004-0000-0400-000043000000}"/>
    <hyperlink ref="B69" r:id="rId68" xr:uid="{00000000-0004-0000-0400-000044000000}"/>
    <hyperlink ref="B70" r:id="rId69" xr:uid="{00000000-0004-0000-0400-000045000000}"/>
    <hyperlink ref="B71" r:id="rId70" xr:uid="{00000000-0004-0000-0400-000046000000}"/>
    <hyperlink ref="B72" r:id="rId71" xr:uid="{00000000-0004-0000-0400-000047000000}"/>
    <hyperlink ref="B73" r:id="rId72" xr:uid="{00000000-0004-0000-0400-000048000000}"/>
    <hyperlink ref="B74" r:id="rId73" xr:uid="{00000000-0004-0000-0400-000049000000}"/>
    <hyperlink ref="B75" r:id="rId74" xr:uid="{00000000-0004-0000-0400-00004A000000}"/>
    <hyperlink ref="B76" r:id="rId75" xr:uid="{00000000-0004-0000-0400-00004B000000}"/>
    <hyperlink ref="B77" r:id="rId76" xr:uid="{00000000-0004-0000-0400-00004C000000}"/>
    <hyperlink ref="B78" r:id="rId77" xr:uid="{00000000-0004-0000-0400-00004D000000}"/>
    <hyperlink ref="B79" r:id="rId78" xr:uid="{00000000-0004-0000-0400-00004E000000}"/>
    <hyperlink ref="B80" r:id="rId79" xr:uid="{00000000-0004-0000-0400-00004F000000}"/>
    <hyperlink ref="B81" r:id="rId80" xr:uid="{00000000-0004-0000-0400-000050000000}"/>
    <hyperlink ref="B82" r:id="rId81" xr:uid="{00000000-0004-0000-0400-000051000000}"/>
    <hyperlink ref="B83" r:id="rId82" xr:uid="{00000000-0004-0000-0400-000052000000}"/>
    <hyperlink ref="B84" r:id="rId83" xr:uid="{00000000-0004-0000-0400-000053000000}"/>
    <hyperlink ref="B85" r:id="rId84" xr:uid="{00000000-0004-0000-0400-000054000000}"/>
    <hyperlink ref="B86" r:id="rId85" xr:uid="{00000000-0004-0000-0400-000055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86"/>
  <sheetViews>
    <sheetView workbookViewId="0">
      <pane ySplit="1" topLeftCell="A2" activePane="bottomLeft" state="frozen"/>
      <selection pane="bottomLeft"/>
    </sheetView>
  </sheetViews>
  <sheetFormatPr defaultRowHeight="15" outlineLevelCol="1" x14ac:dyDescent="0.25"/>
  <cols>
    <col min="1" max="1" width="36" customWidth="1"/>
    <col min="2" max="2" width="13" customWidth="1"/>
    <col min="3" max="3" width="14" customWidth="1"/>
    <col min="4" max="4" width="18" customWidth="1"/>
    <col min="5" max="5" width="16" customWidth="1"/>
    <col min="6" max="6" width="15" customWidth="1"/>
    <col min="7" max="7" width="21" customWidth="1"/>
    <col min="8" max="8" width="11" customWidth="1"/>
    <col min="9" max="9" width="25" customWidth="1"/>
    <col min="10" max="11" width="36" customWidth="1"/>
    <col min="12" max="12" width="16" customWidth="1"/>
    <col min="13" max="13" width="13" customWidth="1"/>
    <col min="14" max="15" width="8" customWidth="1"/>
    <col min="16" max="16" width="13" customWidth="1"/>
    <col min="17" max="17" width="10" customWidth="1"/>
    <col min="18" max="18" width="23" customWidth="1"/>
    <col min="19" max="19" width="17" customWidth="1"/>
    <col min="20" max="20" width="15" customWidth="1"/>
    <col min="21" max="21" width="22" customWidth="1"/>
    <col min="22" max="22" width="26" customWidth="1"/>
    <col min="23" max="23" width="14" customWidth="1"/>
    <col min="24" max="24" width="16" hidden="1" customWidth="1"/>
    <col min="25" max="25" width="21" customWidth="1"/>
    <col min="26" max="26" width="15" customWidth="1"/>
    <col min="27" max="27" width="6" customWidth="1"/>
    <col min="28" max="28" width="14" customWidth="1"/>
    <col min="29" max="29" width="17" hidden="1" customWidth="1"/>
    <col min="30" max="30" width="29" customWidth="1"/>
    <col min="31" max="31" width="24" customWidth="1"/>
    <col min="32" max="32" width="28" customWidth="1"/>
    <col min="33" max="40" width="18" hidden="1" customWidth="1" outlineLevel="1"/>
    <col min="41" max="41" width="15" customWidth="1"/>
    <col min="42" max="42" width="16" customWidth="1"/>
    <col min="43" max="43" width="15" customWidth="1"/>
    <col min="44" max="44" width="27" customWidth="1"/>
    <col min="45" max="45" width="18" customWidth="1"/>
    <col min="46" max="46" width="10" customWidth="1"/>
    <col min="47" max="47" width="54" hidden="1" customWidth="1"/>
    <col min="48" max="48" width="18" customWidth="1"/>
    <col min="49" max="49" width="13" customWidth="1"/>
    <col min="50" max="50" width="14" customWidth="1"/>
    <col min="51" max="51" width="9" customWidth="1"/>
    <col min="52" max="52" width="17" customWidth="1"/>
    <col min="53" max="53" width="14" customWidth="1"/>
    <col min="54" max="54" width="26" customWidth="1"/>
    <col min="55" max="55" width="22" customWidth="1"/>
    <col min="56" max="56" width="40" customWidth="1"/>
    <col min="57" max="57" width="26" customWidth="1"/>
    <col min="58" max="58" width="23" customWidth="1"/>
    <col min="59" max="59" width="22" customWidth="1"/>
    <col min="60" max="60" width="26" customWidth="1"/>
    <col min="61" max="61" width="16" customWidth="1"/>
    <col min="62" max="62" width="27" customWidth="1"/>
    <col min="63" max="63" width="28" customWidth="1"/>
    <col min="64" max="64" width="27" customWidth="1"/>
    <col min="65" max="65" width="25" customWidth="1"/>
    <col min="66" max="66" width="24" customWidth="1"/>
    <col min="67" max="68" width="60" customWidth="1"/>
    <col min="69" max="69" width="11" customWidth="1"/>
    <col min="70" max="70" width="16" customWidth="1"/>
  </cols>
  <sheetData>
    <row r="1" spans="1:72" ht="45" x14ac:dyDescent="0.25">
      <c r="A1" s="5" t="s">
        <v>118</v>
      </c>
      <c r="B1" s="5" t="s">
        <v>888</v>
      </c>
      <c r="C1" s="5" t="s">
        <v>921</v>
      </c>
      <c r="D1" s="5" t="s">
        <v>893</v>
      </c>
      <c r="E1" s="5" t="s">
        <v>894</v>
      </c>
      <c r="F1" s="5" t="s">
        <v>804</v>
      </c>
      <c r="G1" s="5" t="s">
        <v>922</v>
      </c>
      <c r="H1" s="5" t="s">
        <v>923</v>
      </c>
      <c r="I1" s="5" t="s">
        <v>924</v>
      </c>
      <c r="J1" s="5" t="s">
        <v>925</v>
      </c>
      <c r="K1" s="5" t="s">
        <v>926</v>
      </c>
      <c r="L1" s="5" t="s">
        <v>927</v>
      </c>
      <c r="M1" s="5" t="s">
        <v>63</v>
      </c>
      <c r="N1" s="5" t="s">
        <v>73</v>
      </c>
      <c r="O1" s="5" t="s">
        <v>806</v>
      </c>
      <c r="P1" s="5" t="s">
        <v>887</v>
      </c>
      <c r="Q1" s="5" t="s">
        <v>928</v>
      </c>
      <c r="R1" s="5" t="s">
        <v>929</v>
      </c>
      <c r="S1" s="5" t="s">
        <v>930</v>
      </c>
      <c r="T1" s="5" t="s">
        <v>931</v>
      </c>
      <c r="U1" s="5" t="s">
        <v>932</v>
      </c>
      <c r="V1" s="5" t="s">
        <v>933</v>
      </c>
      <c r="W1" s="5" t="s">
        <v>934</v>
      </c>
      <c r="X1" s="5" t="s">
        <v>935</v>
      </c>
      <c r="Y1" s="5" t="s">
        <v>936</v>
      </c>
      <c r="Z1" s="5" t="s">
        <v>937</v>
      </c>
      <c r="AA1" s="5" t="s">
        <v>938</v>
      </c>
      <c r="AB1" s="5" t="s">
        <v>939</v>
      </c>
      <c r="AC1" s="5" t="s">
        <v>940</v>
      </c>
      <c r="AD1" s="5" t="s">
        <v>941</v>
      </c>
      <c r="AE1" s="5" t="s">
        <v>942</v>
      </c>
      <c r="AF1" s="5" t="s">
        <v>943</v>
      </c>
      <c r="AG1" s="5" t="s">
        <v>944</v>
      </c>
      <c r="AH1" s="5" t="s">
        <v>945</v>
      </c>
      <c r="AI1" s="5" t="s">
        <v>946</v>
      </c>
      <c r="AJ1" s="5" t="s">
        <v>947</v>
      </c>
      <c r="AK1" s="5" t="s">
        <v>948</v>
      </c>
      <c r="AL1" s="5" t="s">
        <v>949</v>
      </c>
      <c r="AM1" s="5" t="s">
        <v>950</v>
      </c>
      <c r="AN1" s="5" t="s">
        <v>951</v>
      </c>
      <c r="AO1" s="5" t="s">
        <v>952</v>
      </c>
      <c r="AP1" s="5" t="s">
        <v>953</v>
      </c>
      <c r="AQ1" s="5" t="s">
        <v>954</v>
      </c>
      <c r="AR1" s="5" t="s">
        <v>955</v>
      </c>
      <c r="AS1" s="5" t="s">
        <v>956</v>
      </c>
      <c r="AT1" s="5" t="s">
        <v>957</v>
      </c>
      <c r="AU1" s="5" t="s">
        <v>958</v>
      </c>
      <c r="AV1" s="5" t="s">
        <v>959</v>
      </c>
      <c r="AW1" s="5" t="s">
        <v>911</v>
      </c>
      <c r="AX1" s="5" t="s">
        <v>912</v>
      </c>
      <c r="AY1" s="5" t="s">
        <v>913</v>
      </c>
      <c r="AZ1" s="5" t="s">
        <v>960</v>
      </c>
      <c r="BA1" s="5" t="s">
        <v>914</v>
      </c>
      <c r="BB1" s="5" t="s">
        <v>915</v>
      </c>
      <c r="BC1" s="5" t="s">
        <v>961</v>
      </c>
      <c r="BD1" s="5" t="s">
        <v>962</v>
      </c>
      <c r="BE1" s="5" t="s">
        <v>963</v>
      </c>
      <c r="BF1" s="5" t="s">
        <v>964</v>
      </c>
      <c r="BG1" s="5" t="s">
        <v>965</v>
      </c>
      <c r="BH1" s="5" t="s">
        <v>966</v>
      </c>
      <c r="BI1" s="5" t="s">
        <v>967</v>
      </c>
      <c r="BJ1" s="5" t="s">
        <v>968</v>
      </c>
      <c r="BK1" s="5" t="s">
        <v>969</v>
      </c>
      <c r="BL1" s="5" t="s">
        <v>970</v>
      </c>
      <c r="BM1" s="5" t="s">
        <v>971</v>
      </c>
      <c r="BN1" s="5" t="s">
        <v>972</v>
      </c>
      <c r="BO1" s="5" t="s">
        <v>973</v>
      </c>
      <c r="BP1" s="5" t="s">
        <v>974</v>
      </c>
      <c r="BQ1" s="5" t="s">
        <v>975</v>
      </c>
      <c r="BR1" s="5" t="s">
        <v>976</v>
      </c>
      <c r="BS1" s="5" t="s">
        <v>135</v>
      </c>
      <c r="BT1" s="39" t="s">
        <v>136</v>
      </c>
    </row>
    <row r="2" spans="1:72" ht="30" customHeight="1" x14ac:dyDescent="0.25">
      <c r="A2" s="59" t="s">
        <v>338</v>
      </c>
      <c r="B2" s="49">
        <v>404</v>
      </c>
      <c r="C2" s="8" t="s">
        <v>977</v>
      </c>
      <c r="D2" s="66">
        <v>6</v>
      </c>
      <c r="E2" s="49" t="s">
        <v>66</v>
      </c>
      <c r="F2" s="8" t="s">
        <v>94</v>
      </c>
      <c r="G2" s="49" t="s">
        <v>978</v>
      </c>
      <c r="H2" s="67">
        <v>4003.69</v>
      </c>
      <c r="I2" s="67"/>
      <c r="J2" s="68" t="s">
        <v>979</v>
      </c>
      <c r="K2" s="68"/>
      <c r="L2" s="8"/>
      <c r="M2" s="57" t="s">
        <v>825</v>
      </c>
      <c r="N2" s="49" t="s">
        <v>2</v>
      </c>
      <c r="O2" s="8"/>
      <c r="P2" s="8" t="s">
        <v>917</v>
      </c>
      <c r="Q2" s="8" t="s">
        <v>980</v>
      </c>
      <c r="R2" s="8">
        <v>1</v>
      </c>
      <c r="S2" s="8"/>
      <c r="T2" s="51"/>
      <c r="U2" s="8" t="b">
        <v>0</v>
      </c>
      <c r="V2" s="8" t="s">
        <v>981</v>
      </c>
      <c r="W2" s="8" t="s">
        <v>982</v>
      </c>
      <c r="X2" s="8"/>
      <c r="Y2" s="63" t="b">
        <v>0</v>
      </c>
      <c r="Z2" s="8"/>
      <c r="AA2" s="8"/>
      <c r="AB2" s="8"/>
      <c r="AC2" s="8"/>
      <c r="AD2" s="68"/>
      <c r="AE2" s="68"/>
      <c r="AF2" s="8"/>
      <c r="AG2" s="63" t="b">
        <v>0</v>
      </c>
      <c r="AH2" s="8">
        <v>0</v>
      </c>
      <c r="AI2" s="8" t="b">
        <v>0</v>
      </c>
      <c r="AJ2" s="8"/>
      <c r="AK2" s="8"/>
      <c r="AL2" s="63" t="b">
        <v>0</v>
      </c>
      <c r="AM2" s="8" t="b">
        <v>0</v>
      </c>
      <c r="AN2" s="8" t="b">
        <v>0</v>
      </c>
      <c r="AO2" s="8"/>
      <c r="AP2" s="54"/>
      <c r="AQ2" s="54"/>
      <c r="AR2" s="54" t="s">
        <v>983</v>
      </c>
      <c r="AS2" s="8" t="s">
        <v>984</v>
      </c>
      <c r="AT2" s="8" t="s">
        <v>985</v>
      </c>
      <c r="AU2" s="8" t="b">
        <v>0</v>
      </c>
      <c r="AV2" s="6" t="b">
        <v>1</v>
      </c>
      <c r="AW2" s="8"/>
      <c r="AX2" s="8"/>
      <c r="AY2" s="8"/>
      <c r="AZ2" s="8" t="s">
        <v>919</v>
      </c>
      <c r="BA2" s="8" t="s">
        <v>919</v>
      </c>
      <c r="BB2" s="8">
        <v>0</v>
      </c>
      <c r="BC2" s="8">
        <v>0</v>
      </c>
      <c r="BD2" s="8" t="b">
        <v>0</v>
      </c>
      <c r="BE2" s="8" t="s">
        <v>96</v>
      </c>
      <c r="BF2" s="8">
        <v>2</v>
      </c>
      <c r="BG2" s="8">
        <v>2</v>
      </c>
      <c r="BH2" s="8">
        <v>8</v>
      </c>
      <c r="BI2" s="8" t="s">
        <v>986</v>
      </c>
      <c r="BJ2" s="8" t="b">
        <v>1</v>
      </c>
      <c r="BK2" s="8" t="b">
        <v>0</v>
      </c>
      <c r="BL2" s="8" t="b">
        <v>0</v>
      </c>
      <c r="BM2" s="8">
        <v>0</v>
      </c>
      <c r="BN2" s="8">
        <v>0</v>
      </c>
      <c r="BO2" s="8"/>
      <c r="BP2" s="8" t="s">
        <v>987</v>
      </c>
      <c r="BQ2" s="68">
        <v>1</v>
      </c>
      <c r="BR2" s="68" t="b">
        <v>0</v>
      </c>
      <c r="BS2" s="9" t="str">
        <f>IFERROR(HYPERLINK("#Main!A"&amp;MATCH(A2,Main!A:A,0),"Open"),HYPERLINK("#Main!A1","Open"))</f>
        <v>Open</v>
      </c>
      <c r="BT2" s="9"/>
    </row>
    <row r="3" spans="1:72" ht="30" customHeight="1" x14ac:dyDescent="0.25">
      <c r="A3" s="58" t="s">
        <v>433</v>
      </c>
      <c r="B3" s="49">
        <v>404</v>
      </c>
      <c r="C3" s="11" t="s">
        <v>977</v>
      </c>
      <c r="D3" s="66">
        <v>6</v>
      </c>
      <c r="E3" s="49" t="s">
        <v>66</v>
      </c>
      <c r="F3" s="11" t="s">
        <v>94</v>
      </c>
      <c r="G3" s="49" t="s">
        <v>978</v>
      </c>
      <c r="H3" s="69">
        <v>3907.51</v>
      </c>
      <c r="I3" s="69"/>
      <c r="J3" s="70" t="s">
        <v>988</v>
      </c>
      <c r="K3" s="70"/>
      <c r="L3" s="11"/>
      <c r="M3" s="57" t="s">
        <v>825</v>
      </c>
      <c r="N3" s="49" t="s">
        <v>2</v>
      </c>
      <c r="O3" s="11"/>
      <c r="P3" s="11" t="s">
        <v>917</v>
      </c>
      <c r="Q3" s="11" t="s">
        <v>980</v>
      </c>
      <c r="R3" s="11">
        <v>1</v>
      </c>
      <c r="S3" s="11"/>
      <c r="T3" s="55"/>
      <c r="U3" s="11" t="b">
        <v>0</v>
      </c>
      <c r="V3" s="11" t="s">
        <v>981</v>
      </c>
      <c r="W3" s="11" t="s">
        <v>982</v>
      </c>
      <c r="X3" s="11"/>
      <c r="Y3" s="63" t="b">
        <v>0</v>
      </c>
      <c r="Z3" s="11"/>
      <c r="AA3" s="11"/>
      <c r="AB3" s="11"/>
      <c r="AC3" s="11"/>
      <c r="AD3" s="70"/>
      <c r="AE3" s="70"/>
      <c r="AF3" s="11"/>
      <c r="AG3" s="63" t="b">
        <v>0</v>
      </c>
      <c r="AH3" s="11">
        <v>0</v>
      </c>
      <c r="AI3" s="11" t="b">
        <v>0</v>
      </c>
      <c r="AJ3" s="11"/>
      <c r="AK3" s="11"/>
      <c r="AL3" s="63" t="b">
        <v>0</v>
      </c>
      <c r="AM3" s="11" t="b">
        <v>0</v>
      </c>
      <c r="AN3" s="11" t="b">
        <v>0</v>
      </c>
      <c r="AO3" s="11"/>
      <c r="AP3" s="56"/>
      <c r="AQ3" s="56"/>
      <c r="AR3" s="56" t="s">
        <v>989</v>
      </c>
      <c r="AS3" s="11" t="s">
        <v>984</v>
      </c>
      <c r="AT3" s="11" t="s">
        <v>985</v>
      </c>
      <c r="AU3" s="11" t="b">
        <v>0</v>
      </c>
      <c r="AV3" s="6" t="b">
        <v>1</v>
      </c>
      <c r="AW3" s="11"/>
      <c r="AX3" s="11"/>
      <c r="AY3" s="11"/>
      <c r="AZ3" s="11" t="s">
        <v>919</v>
      </c>
      <c r="BA3" s="11" t="s">
        <v>919</v>
      </c>
      <c r="BB3" s="11">
        <v>0</v>
      </c>
      <c r="BC3" s="11">
        <v>0</v>
      </c>
      <c r="BD3" s="11" t="b">
        <v>0</v>
      </c>
      <c r="BE3" s="11" t="s">
        <v>96</v>
      </c>
      <c r="BF3" s="11">
        <v>2</v>
      </c>
      <c r="BG3" s="11">
        <v>2</v>
      </c>
      <c r="BH3" s="11">
        <v>8</v>
      </c>
      <c r="BI3" s="11" t="s">
        <v>986</v>
      </c>
      <c r="BJ3" s="11" t="b">
        <v>1</v>
      </c>
      <c r="BK3" s="11" t="b">
        <v>0</v>
      </c>
      <c r="BL3" s="11" t="b">
        <v>0</v>
      </c>
      <c r="BM3" s="11">
        <v>0</v>
      </c>
      <c r="BN3" s="11">
        <v>0</v>
      </c>
      <c r="BO3" s="11"/>
      <c r="BP3" s="11" t="s">
        <v>990</v>
      </c>
      <c r="BQ3" s="70">
        <v>2</v>
      </c>
      <c r="BR3" s="70" t="b">
        <v>0</v>
      </c>
      <c r="BS3" t="str">
        <f>IFERROR(HYPERLINK("#Main!A"&amp;MATCH(A3,Main!A:A,0),"Open"),HYPERLINK("#Main!A1","Open"))</f>
        <v>Open</v>
      </c>
    </row>
    <row r="4" spans="1:72" ht="31.5" x14ac:dyDescent="0.25">
      <c r="A4" s="59" t="s">
        <v>140</v>
      </c>
      <c r="B4" s="6">
        <v>200</v>
      </c>
      <c r="C4" s="8" t="s">
        <v>991</v>
      </c>
      <c r="D4" s="66">
        <v>56</v>
      </c>
      <c r="E4" s="61" t="s">
        <v>67</v>
      </c>
      <c r="F4" s="8" t="s">
        <v>94</v>
      </c>
      <c r="G4" s="6" t="s">
        <v>918</v>
      </c>
      <c r="H4" s="67">
        <v>511.76</v>
      </c>
      <c r="I4" s="67">
        <v>753.62</v>
      </c>
      <c r="J4" s="68" t="s">
        <v>140</v>
      </c>
      <c r="K4" s="68"/>
      <c r="L4" s="8"/>
      <c r="M4" s="60" t="s">
        <v>98</v>
      </c>
      <c r="N4" s="49" t="s">
        <v>2</v>
      </c>
      <c r="O4" s="8"/>
      <c r="P4" s="8" t="s">
        <v>920</v>
      </c>
      <c r="Q4" s="8" t="s">
        <v>980</v>
      </c>
      <c r="R4" s="8">
        <v>0</v>
      </c>
      <c r="S4" s="8"/>
      <c r="T4" s="51"/>
      <c r="U4" s="8" t="b">
        <v>0</v>
      </c>
      <c r="V4" s="8" t="s">
        <v>981</v>
      </c>
      <c r="W4" s="8" t="s">
        <v>982</v>
      </c>
      <c r="X4" s="8">
        <v>530.36</v>
      </c>
      <c r="Y4" s="63" t="b">
        <v>0</v>
      </c>
      <c r="Z4" s="8"/>
      <c r="AA4" s="8"/>
      <c r="AB4" s="8"/>
      <c r="AC4" s="8"/>
      <c r="AD4" s="68"/>
      <c r="AE4" s="68"/>
      <c r="AF4" s="8"/>
      <c r="AG4" s="63" t="b">
        <v>0</v>
      </c>
      <c r="AH4" s="8">
        <v>0</v>
      </c>
      <c r="AI4" s="8" t="b">
        <v>0</v>
      </c>
      <c r="AJ4" s="8"/>
      <c r="AK4" s="8"/>
      <c r="AL4" s="63" t="b">
        <v>0</v>
      </c>
      <c r="AM4" s="8" t="b">
        <v>0</v>
      </c>
      <c r="AN4" s="8" t="b">
        <v>0</v>
      </c>
      <c r="AO4" s="8"/>
      <c r="AP4" s="54"/>
      <c r="AQ4" s="54"/>
      <c r="AR4" s="54" t="s">
        <v>992</v>
      </c>
      <c r="AS4" s="8" t="s">
        <v>993</v>
      </c>
      <c r="AT4" s="8" t="s">
        <v>994</v>
      </c>
      <c r="AU4" s="8" t="b">
        <v>0</v>
      </c>
      <c r="AV4" s="6" t="b">
        <v>1</v>
      </c>
      <c r="AW4" s="8"/>
      <c r="AX4" s="8"/>
      <c r="AY4" s="8"/>
      <c r="AZ4" s="8" t="s">
        <v>919</v>
      </c>
      <c r="BA4" s="8" t="s">
        <v>919</v>
      </c>
      <c r="BB4" s="8">
        <v>100</v>
      </c>
      <c r="BC4" s="8">
        <v>16</v>
      </c>
      <c r="BD4" s="8" t="b">
        <v>0</v>
      </c>
      <c r="BE4" s="8" t="s">
        <v>93</v>
      </c>
      <c r="BF4" s="8">
        <v>0</v>
      </c>
      <c r="BG4" s="8">
        <v>2</v>
      </c>
      <c r="BH4" s="8">
        <v>8</v>
      </c>
      <c r="BI4" s="8" t="s">
        <v>986</v>
      </c>
      <c r="BJ4" s="8" t="b">
        <v>1</v>
      </c>
      <c r="BK4" s="8" t="b">
        <v>0</v>
      </c>
      <c r="BL4" s="8" t="b">
        <v>0</v>
      </c>
      <c r="BM4" s="8">
        <v>475</v>
      </c>
      <c r="BN4" s="8">
        <v>942</v>
      </c>
      <c r="BO4" s="8"/>
      <c r="BP4" s="8" t="s">
        <v>995</v>
      </c>
      <c r="BQ4" s="68">
        <v>0</v>
      </c>
      <c r="BR4" s="68" t="b">
        <v>0</v>
      </c>
      <c r="BS4" s="9" t="str">
        <f>IFERROR(HYPERLINK("#Main!A"&amp;MATCH(A4,Main!A:A,0),"Open"),HYPERLINK("#Main!A1","Open"))</f>
        <v>Open</v>
      </c>
      <c r="BT4" s="9"/>
    </row>
    <row r="5" spans="1:72" ht="30" customHeight="1" x14ac:dyDescent="0.25">
      <c r="A5" s="58" t="s">
        <v>148</v>
      </c>
      <c r="B5" s="6">
        <v>200</v>
      </c>
      <c r="C5" s="11" t="s">
        <v>991</v>
      </c>
      <c r="D5" s="66">
        <v>66</v>
      </c>
      <c r="E5" s="61" t="s">
        <v>67</v>
      </c>
      <c r="F5" s="11" t="s">
        <v>94</v>
      </c>
      <c r="G5" s="6" t="s">
        <v>918</v>
      </c>
      <c r="H5" s="69">
        <v>51.68</v>
      </c>
      <c r="I5" s="69">
        <v>64.319999999999993</v>
      </c>
      <c r="J5" s="70" t="s">
        <v>148</v>
      </c>
      <c r="K5" s="70"/>
      <c r="L5" s="11"/>
      <c r="M5" s="60" t="s">
        <v>98</v>
      </c>
      <c r="N5" s="49" t="s">
        <v>2</v>
      </c>
      <c r="O5" s="11"/>
      <c r="P5" s="11" t="s">
        <v>920</v>
      </c>
      <c r="Q5" s="11" t="s">
        <v>980</v>
      </c>
      <c r="R5" s="11">
        <v>0</v>
      </c>
      <c r="S5" s="11"/>
      <c r="T5" s="55"/>
      <c r="U5" s="11" t="b">
        <v>0</v>
      </c>
      <c r="V5" s="11" t="s">
        <v>981</v>
      </c>
      <c r="W5" s="11" t="s">
        <v>982</v>
      </c>
      <c r="X5" s="11">
        <v>306.73</v>
      </c>
      <c r="Y5" s="63" t="b">
        <v>0</v>
      </c>
      <c r="Z5" s="11"/>
      <c r="AA5" s="11"/>
      <c r="AB5" s="11"/>
      <c r="AC5" s="11"/>
      <c r="AD5" s="70"/>
      <c r="AE5" s="70"/>
      <c r="AF5" s="11"/>
      <c r="AG5" s="63" t="b">
        <v>0</v>
      </c>
      <c r="AH5" s="11">
        <v>0</v>
      </c>
      <c r="AI5" s="11" t="b">
        <v>0</v>
      </c>
      <c r="AJ5" s="11"/>
      <c r="AK5" s="11"/>
      <c r="AL5" s="63" t="b">
        <v>0</v>
      </c>
      <c r="AM5" s="11" t="b">
        <v>0</v>
      </c>
      <c r="AN5" s="11" t="b">
        <v>0</v>
      </c>
      <c r="AO5" s="11"/>
      <c r="AP5" s="56"/>
      <c r="AQ5" s="56"/>
      <c r="AR5" s="56" t="s">
        <v>996</v>
      </c>
      <c r="AS5" s="11" t="s">
        <v>984</v>
      </c>
      <c r="AT5" s="11" t="s">
        <v>985</v>
      </c>
      <c r="AU5" s="11" t="b">
        <v>0</v>
      </c>
      <c r="AV5" s="6" t="b">
        <v>1</v>
      </c>
      <c r="AW5" s="11"/>
      <c r="AX5" s="11"/>
      <c r="AY5" s="11"/>
      <c r="AZ5" s="11" t="s">
        <v>919</v>
      </c>
      <c r="BA5" s="11" t="s">
        <v>919</v>
      </c>
      <c r="BB5" s="11">
        <v>70</v>
      </c>
      <c r="BC5" s="11">
        <v>5</v>
      </c>
      <c r="BD5" s="11" t="b">
        <v>0</v>
      </c>
      <c r="BE5" s="11" t="s">
        <v>93</v>
      </c>
      <c r="BF5" s="11">
        <v>0</v>
      </c>
      <c r="BG5" s="11">
        <v>1</v>
      </c>
      <c r="BH5" s="11">
        <v>8</v>
      </c>
      <c r="BI5" s="11" t="s">
        <v>986</v>
      </c>
      <c r="BJ5" s="11" t="b">
        <v>1</v>
      </c>
      <c r="BK5" s="11" t="b">
        <v>0</v>
      </c>
      <c r="BL5" s="11" t="b">
        <v>0</v>
      </c>
      <c r="BM5" s="11">
        <v>770</v>
      </c>
      <c r="BN5" s="11">
        <v>2511</v>
      </c>
      <c r="BO5" s="11"/>
      <c r="BP5" s="11" t="s">
        <v>997</v>
      </c>
      <c r="BQ5" s="70">
        <v>1</v>
      </c>
      <c r="BR5" s="70" t="b">
        <v>0</v>
      </c>
      <c r="BS5" t="str">
        <f>IFERROR(HYPERLINK("#Main!A"&amp;MATCH(A5,Main!A:A,0),"Open"),HYPERLINK("#Main!A1","Open"))</f>
        <v>Open</v>
      </c>
    </row>
    <row r="6" spans="1:72" ht="30" customHeight="1" x14ac:dyDescent="0.25">
      <c r="A6" s="59" t="s">
        <v>156</v>
      </c>
      <c r="B6" s="6">
        <v>200</v>
      </c>
      <c r="C6" s="8" t="s">
        <v>991</v>
      </c>
      <c r="D6" s="66">
        <v>59</v>
      </c>
      <c r="E6" s="61" t="s">
        <v>67</v>
      </c>
      <c r="F6" s="8" t="s">
        <v>94</v>
      </c>
      <c r="G6" s="6" t="s">
        <v>918</v>
      </c>
      <c r="H6" s="67">
        <v>120.78</v>
      </c>
      <c r="I6" s="67">
        <v>132.78</v>
      </c>
      <c r="J6" s="68" t="s">
        <v>156</v>
      </c>
      <c r="K6" s="68"/>
      <c r="L6" s="8"/>
      <c r="M6" s="60" t="s">
        <v>98</v>
      </c>
      <c r="N6" s="49" t="s">
        <v>2</v>
      </c>
      <c r="O6" s="8"/>
      <c r="P6" s="8" t="s">
        <v>920</v>
      </c>
      <c r="Q6" s="8" t="s">
        <v>980</v>
      </c>
      <c r="R6" s="8">
        <v>0</v>
      </c>
      <c r="S6" s="8"/>
      <c r="T6" s="51"/>
      <c r="U6" s="8" t="b">
        <v>0</v>
      </c>
      <c r="V6" s="8" t="s">
        <v>981</v>
      </c>
      <c r="W6" s="8" t="s">
        <v>982</v>
      </c>
      <c r="X6" s="8">
        <v>318.06</v>
      </c>
      <c r="Y6" s="63" t="b">
        <v>0</v>
      </c>
      <c r="Z6" s="8"/>
      <c r="AA6" s="8"/>
      <c r="AB6" s="8"/>
      <c r="AC6" s="8"/>
      <c r="AD6" s="68"/>
      <c r="AE6" s="68"/>
      <c r="AF6" s="8"/>
      <c r="AG6" s="63" t="b">
        <v>0</v>
      </c>
      <c r="AH6" s="8">
        <v>0</v>
      </c>
      <c r="AI6" s="8" t="b">
        <v>0</v>
      </c>
      <c r="AJ6" s="8"/>
      <c r="AK6" s="8"/>
      <c r="AL6" s="63" t="b">
        <v>0</v>
      </c>
      <c r="AM6" s="8" t="b">
        <v>0</v>
      </c>
      <c r="AN6" s="8" t="b">
        <v>0</v>
      </c>
      <c r="AO6" s="8"/>
      <c r="AP6" s="54"/>
      <c r="AQ6" s="54"/>
      <c r="AR6" s="54" t="s">
        <v>998</v>
      </c>
      <c r="AS6" s="8" t="s">
        <v>984</v>
      </c>
      <c r="AT6" s="8" t="s">
        <v>985</v>
      </c>
      <c r="AU6" s="8" t="b">
        <v>0</v>
      </c>
      <c r="AV6" s="6" t="b">
        <v>1</v>
      </c>
      <c r="AW6" s="8"/>
      <c r="AX6" s="8"/>
      <c r="AY6" s="8"/>
      <c r="AZ6" s="8" t="s">
        <v>919</v>
      </c>
      <c r="BA6" s="8" t="s">
        <v>919</v>
      </c>
      <c r="BB6" s="8">
        <v>60</v>
      </c>
      <c r="BC6" s="8">
        <v>4</v>
      </c>
      <c r="BD6" s="8" t="b">
        <v>0</v>
      </c>
      <c r="BE6" s="8" t="s">
        <v>93</v>
      </c>
      <c r="BF6" s="8">
        <v>0</v>
      </c>
      <c r="BG6" s="8">
        <v>2</v>
      </c>
      <c r="BH6" s="8">
        <v>7</v>
      </c>
      <c r="BI6" s="8" t="s">
        <v>986</v>
      </c>
      <c r="BJ6" s="8" t="b">
        <v>1</v>
      </c>
      <c r="BK6" s="8" t="b">
        <v>0</v>
      </c>
      <c r="BL6" s="8" t="b">
        <v>0</v>
      </c>
      <c r="BM6" s="8">
        <v>583</v>
      </c>
      <c r="BN6" s="8">
        <v>2622</v>
      </c>
      <c r="BO6" s="8"/>
      <c r="BP6" s="8" t="s">
        <v>999</v>
      </c>
      <c r="BQ6" s="68">
        <v>1</v>
      </c>
      <c r="BR6" s="68" t="b">
        <v>0</v>
      </c>
      <c r="BS6" s="9" t="str">
        <f>IFERROR(HYPERLINK("#Main!A"&amp;MATCH(A6,Main!A:A,0),"Open"),HYPERLINK("#Main!A1","Open"))</f>
        <v>Open</v>
      </c>
      <c r="BT6" s="9"/>
    </row>
    <row r="7" spans="1:72" ht="30" customHeight="1" x14ac:dyDescent="0.25">
      <c r="A7" s="58" t="s">
        <v>164</v>
      </c>
      <c r="B7" s="6">
        <v>200</v>
      </c>
      <c r="C7" s="11" t="s">
        <v>991</v>
      </c>
      <c r="D7" s="66">
        <v>59</v>
      </c>
      <c r="E7" s="61" t="s">
        <v>67</v>
      </c>
      <c r="F7" s="11" t="s">
        <v>94</v>
      </c>
      <c r="G7" s="6" t="s">
        <v>918</v>
      </c>
      <c r="H7" s="69">
        <v>50.59</v>
      </c>
      <c r="I7" s="69">
        <v>115.56</v>
      </c>
      <c r="J7" s="70" t="s">
        <v>164</v>
      </c>
      <c r="K7" s="70"/>
      <c r="L7" s="11"/>
      <c r="M7" s="60" t="s">
        <v>98</v>
      </c>
      <c r="N7" s="49" t="s">
        <v>2</v>
      </c>
      <c r="O7" s="11"/>
      <c r="P7" s="11" t="s">
        <v>920</v>
      </c>
      <c r="Q7" s="11" t="s">
        <v>980</v>
      </c>
      <c r="R7" s="11">
        <v>0</v>
      </c>
      <c r="S7" s="11"/>
      <c r="T7" s="55"/>
      <c r="U7" s="11" t="b">
        <v>0</v>
      </c>
      <c r="V7" s="11" t="s">
        <v>981</v>
      </c>
      <c r="W7" s="11" t="s">
        <v>982</v>
      </c>
      <c r="X7" s="11">
        <v>481.16</v>
      </c>
      <c r="Y7" s="63" t="b">
        <v>0</v>
      </c>
      <c r="Z7" s="11"/>
      <c r="AA7" s="11"/>
      <c r="AB7" s="11"/>
      <c r="AC7" s="11"/>
      <c r="AD7" s="70"/>
      <c r="AE7" s="70"/>
      <c r="AF7" s="11"/>
      <c r="AG7" s="63" t="b">
        <v>0</v>
      </c>
      <c r="AH7" s="11">
        <v>0</v>
      </c>
      <c r="AI7" s="11" t="b">
        <v>0</v>
      </c>
      <c r="AJ7" s="11"/>
      <c r="AK7" s="11"/>
      <c r="AL7" s="63" t="b">
        <v>0</v>
      </c>
      <c r="AM7" s="11" t="b">
        <v>0</v>
      </c>
      <c r="AN7" s="11" t="b">
        <v>0</v>
      </c>
      <c r="AO7" s="11"/>
      <c r="AP7" s="56"/>
      <c r="AQ7" s="56"/>
      <c r="AR7" s="56" t="s">
        <v>1000</v>
      </c>
      <c r="AS7" s="11" t="s">
        <v>984</v>
      </c>
      <c r="AT7" s="11" t="s">
        <v>985</v>
      </c>
      <c r="AU7" s="11" t="b">
        <v>0</v>
      </c>
      <c r="AV7" s="6" t="b">
        <v>1</v>
      </c>
      <c r="AW7" s="11"/>
      <c r="AX7" s="11"/>
      <c r="AY7" s="11"/>
      <c r="AZ7" s="11" t="s">
        <v>919</v>
      </c>
      <c r="BA7" s="11" t="s">
        <v>919</v>
      </c>
      <c r="BB7" s="11">
        <v>100</v>
      </c>
      <c r="BC7" s="11">
        <v>16</v>
      </c>
      <c r="BD7" s="11" t="b">
        <v>1</v>
      </c>
      <c r="BE7" s="11" t="s">
        <v>93</v>
      </c>
      <c r="BF7" s="11">
        <v>0</v>
      </c>
      <c r="BG7" s="11">
        <v>2</v>
      </c>
      <c r="BH7" s="11">
        <v>7</v>
      </c>
      <c r="BI7" s="11" t="s">
        <v>986</v>
      </c>
      <c r="BJ7" s="11" t="b">
        <v>1</v>
      </c>
      <c r="BK7" s="11" t="b">
        <v>0</v>
      </c>
      <c r="BL7" s="11" t="b">
        <v>0</v>
      </c>
      <c r="BM7" s="11">
        <v>352</v>
      </c>
      <c r="BN7" s="11">
        <v>2517</v>
      </c>
      <c r="BO7" s="11"/>
      <c r="BP7" s="11" t="s">
        <v>1001</v>
      </c>
      <c r="BQ7" s="70">
        <v>1</v>
      </c>
      <c r="BR7" s="70" t="b">
        <v>0</v>
      </c>
      <c r="BS7" t="str">
        <f>IFERROR(HYPERLINK("#Main!A"&amp;MATCH(A7,Main!A:A,0),"Open"),HYPERLINK("#Main!A1","Open"))</f>
        <v>Open</v>
      </c>
    </row>
    <row r="8" spans="1:72" ht="30" customHeight="1" x14ac:dyDescent="0.25">
      <c r="A8" s="59" t="s">
        <v>172</v>
      </c>
      <c r="B8" s="6">
        <v>200</v>
      </c>
      <c r="C8" s="8" t="s">
        <v>991</v>
      </c>
      <c r="D8" s="66">
        <v>56</v>
      </c>
      <c r="E8" s="61" t="s">
        <v>67</v>
      </c>
      <c r="F8" s="8" t="s">
        <v>94</v>
      </c>
      <c r="G8" s="6" t="s">
        <v>918</v>
      </c>
      <c r="H8" s="67">
        <v>34.659999999999997</v>
      </c>
      <c r="I8" s="67">
        <v>46.66</v>
      </c>
      <c r="J8" s="68" t="s">
        <v>172</v>
      </c>
      <c r="K8" s="68"/>
      <c r="L8" s="8"/>
      <c r="M8" s="60" t="s">
        <v>98</v>
      </c>
      <c r="N8" s="49" t="s">
        <v>2</v>
      </c>
      <c r="O8" s="8"/>
      <c r="P8" s="8" t="s">
        <v>920</v>
      </c>
      <c r="Q8" s="8" t="s">
        <v>980</v>
      </c>
      <c r="R8" s="8">
        <v>0</v>
      </c>
      <c r="S8" s="8"/>
      <c r="T8" s="51"/>
      <c r="U8" s="8" t="b">
        <v>0</v>
      </c>
      <c r="V8" s="8" t="s">
        <v>981</v>
      </c>
      <c r="W8" s="8" t="s">
        <v>982</v>
      </c>
      <c r="X8" s="8">
        <v>264.52999999999997</v>
      </c>
      <c r="Y8" s="63" t="b">
        <v>0</v>
      </c>
      <c r="Z8" s="8"/>
      <c r="AA8" s="8"/>
      <c r="AB8" s="8"/>
      <c r="AC8" s="8"/>
      <c r="AD8" s="68"/>
      <c r="AE8" s="68"/>
      <c r="AF8" s="8"/>
      <c r="AG8" s="63" t="b">
        <v>0</v>
      </c>
      <c r="AH8" s="8">
        <v>0</v>
      </c>
      <c r="AI8" s="8" t="b">
        <v>0</v>
      </c>
      <c r="AJ8" s="8"/>
      <c r="AK8" s="8"/>
      <c r="AL8" s="63" t="b">
        <v>0</v>
      </c>
      <c r="AM8" s="8" t="b">
        <v>0</v>
      </c>
      <c r="AN8" s="8" t="b">
        <v>0</v>
      </c>
      <c r="AO8" s="8"/>
      <c r="AP8" s="54"/>
      <c r="AQ8" s="54"/>
      <c r="AR8" s="54" t="s">
        <v>1002</v>
      </c>
      <c r="AS8" s="8" t="s">
        <v>984</v>
      </c>
      <c r="AT8" s="8" t="s">
        <v>985</v>
      </c>
      <c r="AU8" s="8" t="b">
        <v>0</v>
      </c>
      <c r="AV8" s="6" t="b">
        <v>1</v>
      </c>
      <c r="AW8" s="8"/>
      <c r="AX8" s="8"/>
      <c r="AY8" s="8"/>
      <c r="AZ8" s="8" t="s">
        <v>919</v>
      </c>
      <c r="BA8" s="8" t="s">
        <v>919</v>
      </c>
      <c r="BB8" s="8">
        <v>30</v>
      </c>
      <c r="BC8" s="8">
        <v>3</v>
      </c>
      <c r="BD8" s="8" t="b">
        <v>0</v>
      </c>
      <c r="BE8" s="8" t="s">
        <v>93</v>
      </c>
      <c r="BF8" s="8">
        <v>0</v>
      </c>
      <c r="BG8" s="8">
        <v>2</v>
      </c>
      <c r="BH8" s="8">
        <v>8</v>
      </c>
      <c r="BI8" s="8" t="s">
        <v>986</v>
      </c>
      <c r="BJ8" s="8" t="b">
        <v>1</v>
      </c>
      <c r="BK8" s="8" t="b">
        <v>0</v>
      </c>
      <c r="BL8" s="8" t="b">
        <v>0</v>
      </c>
      <c r="BM8" s="8">
        <v>475</v>
      </c>
      <c r="BN8" s="8">
        <v>2077</v>
      </c>
      <c r="BO8" s="8"/>
      <c r="BP8" s="8" t="s">
        <v>1003</v>
      </c>
      <c r="BQ8" s="68">
        <v>1</v>
      </c>
      <c r="BR8" s="68" t="b">
        <v>0</v>
      </c>
      <c r="BS8" s="9" t="str">
        <f>IFERROR(HYPERLINK("#Main!A"&amp;MATCH(A8,Main!A:A,0),"Open"),HYPERLINK("#Main!A1","Open"))</f>
        <v>Open</v>
      </c>
      <c r="BT8" s="9"/>
    </row>
    <row r="9" spans="1:72" ht="30" customHeight="1" x14ac:dyDescent="0.25">
      <c r="A9" s="58" t="s">
        <v>180</v>
      </c>
      <c r="B9" s="6">
        <v>200</v>
      </c>
      <c r="C9" s="11" t="s">
        <v>991</v>
      </c>
      <c r="D9" s="66">
        <v>59</v>
      </c>
      <c r="E9" s="61" t="s">
        <v>67</v>
      </c>
      <c r="F9" s="11" t="s">
        <v>94</v>
      </c>
      <c r="G9" s="6" t="s">
        <v>918</v>
      </c>
      <c r="H9" s="69">
        <v>40.130000000000003</v>
      </c>
      <c r="I9" s="69">
        <v>55.8</v>
      </c>
      <c r="J9" s="70" t="s">
        <v>180</v>
      </c>
      <c r="K9" s="70"/>
      <c r="L9" s="11"/>
      <c r="M9" s="60" t="s">
        <v>98</v>
      </c>
      <c r="N9" s="49" t="s">
        <v>2</v>
      </c>
      <c r="O9" s="11"/>
      <c r="P9" s="11" t="s">
        <v>920</v>
      </c>
      <c r="Q9" s="11" t="s">
        <v>980</v>
      </c>
      <c r="R9" s="11">
        <v>0</v>
      </c>
      <c r="S9" s="11"/>
      <c r="T9" s="55"/>
      <c r="U9" s="11" t="b">
        <v>0</v>
      </c>
      <c r="V9" s="11" t="s">
        <v>981</v>
      </c>
      <c r="W9" s="11" t="s">
        <v>982</v>
      </c>
      <c r="X9" s="11">
        <v>329.21</v>
      </c>
      <c r="Y9" s="63" t="b">
        <v>0</v>
      </c>
      <c r="Z9" s="11"/>
      <c r="AA9" s="11"/>
      <c r="AB9" s="11"/>
      <c r="AC9" s="11"/>
      <c r="AD9" s="70"/>
      <c r="AE9" s="70"/>
      <c r="AF9" s="11"/>
      <c r="AG9" s="63" t="b">
        <v>0</v>
      </c>
      <c r="AH9" s="11">
        <v>0</v>
      </c>
      <c r="AI9" s="11" t="b">
        <v>0</v>
      </c>
      <c r="AJ9" s="11"/>
      <c r="AK9" s="11"/>
      <c r="AL9" s="63" t="b">
        <v>0</v>
      </c>
      <c r="AM9" s="11" t="b">
        <v>0</v>
      </c>
      <c r="AN9" s="11" t="b">
        <v>0</v>
      </c>
      <c r="AO9" s="11"/>
      <c r="AP9" s="56"/>
      <c r="AQ9" s="56"/>
      <c r="AR9" s="56" t="s">
        <v>1004</v>
      </c>
      <c r="AS9" s="11" t="s">
        <v>984</v>
      </c>
      <c r="AT9" s="11" t="s">
        <v>985</v>
      </c>
      <c r="AU9" s="11" t="b">
        <v>0</v>
      </c>
      <c r="AV9" s="6" t="b">
        <v>1</v>
      </c>
      <c r="AW9" s="11"/>
      <c r="AX9" s="11"/>
      <c r="AY9" s="11"/>
      <c r="AZ9" s="11" t="s">
        <v>919</v>
      </c>
      <c r="BA9" s="11" t="s">
        <v>919</v>
      </c>
      <c r="BB9" s="11">
        <v>100</v>
      </c>
      <c r="BC9" s="11">
        <v>8</v>
      </c>
      <c r="BD9" s="11" t="b">
        <v>0</v>
      </c>
      <c r="BE9" s="11" t="s">
        <v>93</v>
      </c>
      <c r="BF9" s="11">
        <v>0</v>
      </c>
      <c r="BG9" s="11">
        <v>2</v>
      </c>
      <c r="BH9" s="11">
        <v>7</v>
      </c>
      <c r="BI9" s="11" t="s">
        <v>986</v>
      </c>
      <c r="BJ9" s="11" t="b">
        <v>1</v>
      </c>
      <c r="BK9" s="11" t="b">
        <v>0</v>
      </c>
      <c r="BL9" s="11" t="b">
        <v>0</v>
      </c>
      <c r="BM9" s="11">
        <v>468</v>
      </c>
      <c r="BN9" s="11">
        <v>2089</v>
      </c>
      <c r="BO9" s="11"/>
      <c r="BP9" s="11" t="s">
        <v>1005</v>
      </c>
      <c r="BQ9" s="70">
        <v>1</v>
      </c>
      <c r="BR9" s="70" t="b">
        <v>0</v>
      </c>
      <c r="BS9" t="str">
        <f>IFERROR(HYPERLINK("#Main!A"&amp;MATCH(A9,Main!A:A,0),"Open"),HYPERLINK("#Main!A1","Open"))</f>
        <v>Open</v>
      </c>
    </row>
    <row r="10" spans="1:72" ht="30" customHeight="1" x14ac:dyDescent="0.25">
      <c r="A10" s="59" t="s">
        <v>188</v>
      </c>
      <c r="B10" s="6">
        <v>200</v>
      </c>
      <c r="C10" s="8" t="s">
        <v>991</v>
      </c>
      <c r="D10" s="66">
        <v>56</v>
      </c>
      <c r="E10" s="61" t="s">
        <v>67</v>
      </c>
      <c r="F10" s="8" t="s">
        <v>94</v>
      </c>
      <c r="G10" s="6" t="s">
        <v>918</v>
      </c>
      <c r="H10" s="67">
        <v>40</v>
      </c>
      <c r="I10" s="67">
        <v>52</v>
      </c>
      <c r="J10" s="68" t="s">
        <v>188</v>
      </c>
      <c r="K10" s="68"/>
      <c r="L10" s="8"/>
      <c r="M10" s="60" t="s">
        <v>98</v>
      </c>
      <c r="N10" s="49" t="s">
        <v>2</v>
      </c>
      <c r="O10" s="8"/>
      <c r="P10" s="8" t="s">
        <v>920</v>
      </c>
      <c r="Q10" s="8" t="s">
        <v>980</v>
      </c>
      <c r="R10" s="8">
        <v>0</v>
      </c>
      <c r="S10" s="8"/>
      <c r="T10" s="51"/>
      <c r="U10" s="8" t="b">
        <v>0</v>
      </c>
      <c r="V10" s="8" t="s">
        <v>981</v>
      </c>
      <c r="W10" s="8" t="s">
        <v>982</v>
      </c>
      <c r="X10" s="8">
        <v>324.66000000000003</v>
      </c>
      <c r="Y10" s="63" t="b">
        <v>0</v>
      </c>
      <c r="Z10" s="8"/>
      <c r="AA10" s="8"/>
      <c r="AB10" s="8"/>
      <c r="AC10" s="8"/>
      <c r="AD10" s="68"/>
      <c r="AE10" s="68"/>
      <c r="AF10" s="8"/>
      <c r="AG10" s="63" t="b">
        <v>0</v>
      </c>
      <c r="AH10" s="8">
        <v>0</v>
      </c>
      <c r="AI10" s="8" t="b">
        <v>0</v>
      </c>
      <c r="AJ10" s="8"/>
      <c r="AK10" s="8"/>
      <c r="AL10" s="63" t="b">
        <v>0</v>
      </c>
      <c r="AM10" s="8" t="b">
        <v>0</v>
      </c>
      <c r="AN10" s="8" t="b">
        <v>0</v>
      </c>
      <c r="AO10" s="8"/>
      <c r="AP10" s="54"/>
      <c r="AQ10" s="54"/>
      <c r="AR10" s="54" t="s">
        <v>1006</v>
      </c>
      <c r="AS10" s="8" t="s">
        <v>984</v>
      </c>
      <c r="AT10" s="8" t="s">
        <v>985</v>
      </c>
      <c r="AU10" s="8" t="b">
        <v>0</v>
      </c>
      <c r="AV10" s="6" t="b">
        <v>1</v>
      </c>
      <c r="AW10" s="8"/>
      <c r="AX10" s="8"/>
      <c r="AY10" s="8"/>
      <c r="AZ10" s="8" t="s">
        <v>919</v>
      </c>
      <c r="BA10" s="8" t="s">
        <v>919</v>
      </c>
      <c r="BB10" s="8">
        <v>100</v>
      </c>
      <c r="BC10" s="8">
        <v>9</v>
      </c>
      <c r="BD10" s="8" t="b">
        <v>0</v>
      </c>
      <c r="BE10" s="8" t="s">
        <v>93</v>
      </c>
      <c r="BF10" s="8">
        <v>0</v>
      </c>
      <c r="BG10" s="8">
        <v>2</v>
      </c>
      <c r="BH10" s="8">
        <v>8</v>
      </c>
      <c r="BI10" s="8" t="s">
        <v>986</v>
      </c>
      <c r="BJ10" s="8" t="b">
        <v>1</v>
      </c>
      <c r="BK10" s="8" t="b">
        <v>0</v>
      </c>
      <c r="BL10" s="8" t="b">
        <v>0</v>
      </c>
      <c r="BM10" s="8">
        <v>381</v>
      </c>
      <c r="BN10" s="8">
        <v>2399</v>
      </c>
      <c r="BO10" s="8"/>
      <c r="BP10" s="8" t="s">
        <v>1007</v>
      </c>
      <c r="BQ10" s="68">
        <v>1</v>
      </c>
      <c r="BR10" s="68" t="b">
        <v>0</v>
      </c>
      <c r="BS10" s="9" t="str">
        <f>IFERROR(HYPERLINK("#Main!A"&amp;MATCH(A10,Main!A:A,0),"Open"),HYPERLINK("#Main!A1","Open"))</f>
        <v>Open</v>
      </c>
      <c r="BT10" s="9"/>
    </row>
    <row r="11" spans="1:72" ht="30" customHeight="1" x14ac:dyDescent="0.25">
      <c r="A11" s="58" t="s">
        <v>196</v>
      </c>
      <c r="B11" s="6">
        <v>200</v>
      </c>
      <c r="C11" s="11" t="s">
        <v>991</v>
      </c>
      <c r="D11" s="66">
        <v>69</v>
      </c>
      <c r="E11" s="61" t="s">
        <v>67</v>
      </c>
      <c r="F11" s="11" t="s">
        <v>94</v>
      </c>
      <c r="G11" s="6" t="s">
        <v>918</v>
      </c>
      <c r="H11" s="69">
        <v>53.43</v>
      </c>
      <c r="I11" s="69">
        <v>74.47</v>
      </c>
      <c r="J11" s="70" t="s">
        <v>196</v>
      </c>
      <c r="K11" s="70"/>
      <c r="L11" s="11"/>
      <c r="M11" s="60" t="s">
        <v>98</v>
      </c>
      <c r="N11" s="49" t="s">
        <v>2</v>
      </c>
      <c r="O11" s="11"/>
      <c r="P11" s="11" t="s">
        <v>920</v>
      </c>
      <c r="Q11" s="11" t="s">
        <v>980</v>
      </c>
      <c r="R11" s="11">
        <v>0</v>
      </c>
      <c r="S11" s="11"/>
      <c r="T11" s="55"/>
      <c r="U11" s="11" t="b">
        <v>0</v>
      </c>
      <c r="V11" s="11" t="s">
        <v>981</v>
      </c>
      <c r="W11" s="11" t="s">
        <v>982</v>
      </c>
      <c r="X11" s="11">
        <v>360.09</v>
      </c>
      <c r="Y11" s="63" t="b">
        <v>0</v>
      </c>
      <c r="Z11" s="11"/>
      <c r="AA11" s="11"/>
      <c r="AB11" s="11"/>
      <c r="AC11" s="11"/>
      <c r="AD11" s="70"/>
      <c r="AE11" s="70"/>
      <c r="AF11" s="11"/>
      <c r="AG11" s="63" t="b">
        <v>0</v>
      </c>
      <c r="AH11" s="11">
        <v>0</v>
      </c>
      <c r="AI11" s="11" t="b">
        <v>0</v>
      </c>
      <c r="AJ11" s="11"/>
      <c r="AK11" s="11"/>
      <c r="AL11" s="63" t="b">
        <v>0</v>
      </c>
      <c r="AM11" s="11" t="b">
        <v>0</v>
      </c>
      <c r="AN11" s="11" t="b">
        <v>0</v>
      </c>
      <c r="AO11" s="11"/>
      <c r="AP11" s="56"/>
      <c r="AQ11" s="56"/>
      <c r="AR11" s="56" t="s">
        <v>1008</v>
      </c>
      <c r="AS11" s="11" t="s">
        <v>984</v>
      </c>
      <c r="AT11" s="11" t="s">
        <v>985</v>
      </c>
      <c r="AU11" s="11" t="b">
        <v>0</v>
      </c>
      <c r="AV11" s="6" t="b">
        <v>1</v>
      </c>
      <c r="AW11" s="11"/>
      <c r="AX11" s="11"/>
      <c r="AY11" s="11"/>
      <c r="AZ11" s="11" t="s">
        <v>919</v>
      </c>
      <c r="BA11" s="11" t="s">
        <v>919</v>
      </c>
      <c r="BB11" s="11">
        <v>80</v>
      </c>
      <c r="BC11" s="11">
        <v>6</v>
      </c>
      <c r="BD11" s="11" t="b">
        <v>0</v>
      </c>
      <c r="BE11" s="11" t="s">
        <v>93</v>
      </c>
      <c r="BF11" s="11">
        <v>0</v>
      </c>
      <c r="BG11" s="11">
        <v>1</v>
      </c>
      <c r="BH11" s="11">
        <v>7</v>
      </c>
      <c r="BI11" s="11" t="s">
        <v>986</v>
      </c>
      <c r="BJ11" s="11" t="b">
        <v>1</v>
      </c>
      <c r="BK11" s="11" t="b">
        <v>0</v>
      </c>
      <c r="BL11" s="11" t="b">
        <v>0</v>
      </c>
      <c r="BM11" s="11">
        <v>381</v>
      </c>
      <c r="BN11" s="11">
        <v>2467</v>
      </c>
      <c r="BO11" s="11"/>
      <c r="BP11" s="11" t="s">
        <v>1009</v>
      </c>
      <c r="BQ11" s="70">
        <v>1</v>
      </c>
      <c r="BR11" s="70" t="b">
        <v>0</v>
      </c>
      <c r="BS11" t="str">
        <f>IFERROR(HYPERLINK("#Main!A"&amp;MATCH(A11,Main!A:A,0),"Open"),HYPERLINK("#Main!A1","Open"))</f>
        <v>Open</v>
      </c>
    </row>
    <row r="12" spans="1:72" ht="30" customHeight="1" x14ac:dyDescent="0.25">
      <c r="A12" s="59" t="s">
        <v>99</v>
      </c>
      <c r="B12" s="6">
        <v>200</v>
      </c>
      <c r="C12" s="8" t="s">
        <v>991</v>
      </c>
      <c r="D12" s="66">
        <v>46</v>
      </c>
      <c r="E12" s="61" t="s">
        <v>67</v>
      </c>
      <c r="F12" s="8" t="s">
        <v>94</v>
      </c>
      <c r="G12" s="6" t="s">
        <v>918</v>
      </c>
      <c r="H12" s="67">
        <v>37.19</v>
      </c>
      <c r="I12" s="67">
        <v>47.48</v>
      </c>
      <c r="J12" s="68" t="s">
        <v>99</v>
      </c>
      <c r="K12" s="68"/>
      <c r="L12" s="8"/>
      <c r="M12" s="60" t="s">
        <v>98</v>
      </c>
      <c r="N12" s="49" t="s">
        <v>2</v>
      </c>
      <c r="O12" s="8"/>
      <c r="P12" s="8" t="s">
        <v>920</v>
      </c>
      <c r="Q12" s="8" t="s">
        <v>980</v>
      </c>
      <c r="R12" s="8">
        <v>0</v>
      </c>
      <c r="S12" s="8"/>
      <c r="T12" s="51"/>
      <c r="U12" s="8" t="b">
        <v>0</v>
      </c>
      <c r="V12" s="8" t="s">
        <v>981</v>
      </c>
      <c r="W12" s="8" t="s">
        <v>982</v>
      </c>
      <c r="X12" s="8">
        <v>228.69</v>
      </c>
      <c r="Y12" s="63" t="b">
        <v>0</v>
      </c>
      <c r="Z12" s="8"/>
      <c r="AA12" s="8"/>
      <c r="AB12" s="8"/>
      <c r="AC12" s="8"/>
      <c r="AD12" s="68"/>
      <c r="AE12" s="68"/>
      <c r="AF12" s="8"/>
      <c r="AG12" s="63" t="b">
        <v>0</v>
      </c>
      <c r="AH12" s="8">
        <v>0</v>
      </c>
      <c r="AI12" s="8" t="b">
        <v>0</v>
      </c>
      <c r="AJ12" s="8"/>
      <c r="AK12" s="8"/>
      <c r="AL12" s="63" t="b">
        <v>0</v>
      </c>
      <c r="AM12" s="8" t="b">
        <v>0</v>
      </c>
      <c r="AN12" s="8" t="b">
        <v>0</v>
      </c>
      <c r="AO12" s="8"/>
      <c r="AP12" s="54"/>
      <c r="AQ12" s="54"/>
      <c r="AR12" s="54" t="s">
        <v>1010</v>
      </c>
      <c r="AS12" s="8" t="s">
        <v>984</v>
      </c>
      <c r="AT12" s="8" t="s">
        <v>985</v>
      </c>
      <c r="AU12" s="8" t="b">
        <v>0</v>
      </c>
      <c r="AV12" s="6" t="b">
        <v>1</v>
      </c>
      <c r="AW12" s="8"/>
      <c r="AX12" s="8"/>
      <c r="AY12" s="8"/>
      <c r="AZ12" s="8" t="s">
        <v>919</v>
      </c>
      <c r="BA12" s="8" t="s">
        <v>919</v>
      </c>
      <c r="BB12" s="8">
        <v>30</v>
      </c>
      <c r="BC12" s="8">
        <v>3</v>
      </c>
      <c r="BD12" s="8" t="b">
        <v>0</v>
      </c>
      <c r="BE12" s="8" t="s">
        <v>93</v>
      </c>
      <c r="BF12" s="8">
        <v>0</v>
      </c>
      <c r="BG12" s="8">
        <v>3</v>
      </c>
      <c r="BH12" s="8">
        <v>8</v>
      </c>
      <c r="BI12" s="8" t="s">
        <v>986</v>
      </c>
      <c r="BJ12" s="8" t="b">
        <v>1</v>
      </c>
      <c r="BK12" s="8" t="b">
        <v>0</v>
      </c>
      <c r="BL12" s="8" t="b">
        <v>0</v>
      </c>
      <c r="BM12" s="8">
        <v>396</v>
      </c>
      <c r="BN12" s="8">
        <v>0</v>
      </c>
      <c r="BO12" s="8"/>
      <c r="BP12" s="8" t="s">
        <v>1011</v>
      </c>
      <c r="BQ12" s="68">
        <v>2</v>
      </c>
      <c r="BR12" s="68" t="b">
        <v>0</v>
      </c>
      <c r="BS12" s="9" t="str">
        <f>IFERROR(HYPERLINK("#Main!A"&amp;MATCH(A12,Main!A:A,0),"Open"),HYPERLINK("#Main!A1","Open"))</f>
        <v>Open</v>
      </c>
      <c r="BT12" s="9"/>
    </row>
    <row r="13" spans="1:72" ht="30" customHeight="1" x14ac:dyDescent="0.25">
      <c r="A13" s="58" t="s">
        <v>210</v>
      </c>
      <c r="B13" s="6">
        <v>200</v>
      </c>
      <c r="C13" s="11" t="s">
        <v>991</v>
      </c>
      <c r="D13" s="66">
        <v>69</v>
      </c>
      <c r="E13" s="61" t="s">
        <v>67</v>
      </c>
      <c r="F13" s="11" t="s">
        <v>94</v>
      </c>
      <c r="G13" s="6" t="s">
        <v>918</v>
      </c>
      <c r="H13" s="69">
        <v>52.08</v>
      </c>
      <c r="I13" s="69">
        <v>63.76</v>
      </c>
      <c r="J13" s="70" t="s">
        <v>210</v>
      </c>
      <c r="K13" s="70"/>
      <c r="L13" s="11"/>
      <c r="M13" s="60" t="s">
        <v>98</v>
      </c>
      <c r="N13" s="49" t="s">
        <v>2</v>
      </c>
      <c r="O13" s="11"/>
      <c r="P13" s="11" t="s">
        <v>920</v>
      </c>
      <c r="Q13" s="11" t="s">
        <v>980</v>
      </c>
      <c r="R13" s="11">
        <v>0</v>
      </c>
      <c r="S13" s="11"/>
      <c r="T13" s="55"/>
      <c r="U13" s="11" t="b">
        <v>0</v>
      </c>
      <c r="V13" s="11" t="s">
        <v>981</v>
      </c>
      <c r="W13" s="11" t="s">
        <v>982</v>
      </c>
      <c r="X13" s="11">
        <v>261.62</v>
      </c>
      <c r="Y13" s="63" t="b">
        <v>0</v>
      </c>
      <c r="Z13" s="11"/>
      <c r="AA13" s="11"/>
      <c r="AB13" s="11"/>
      <c r="AC13" s="11"/>
      <c r="AD13" s="70"/>
      <c r="AE13" s="70"/>
      <c r="AF13" s="11"/>
      <c r="AG13" s="63" t="b">
        <v>0</v>
      </c>
      <c r="AH13" s="11">
        <v>0</v>
      </c>
      <c r="AI13" s="11" t="b">
        <v>0</v>
      </c>
      <c r="AJ13" s="11"/>
      <c r="AK13" s="11"/>
      <c r="AL13" s="63" t="b">
        <v>0</v>
      </c>
      <c r="AM13" s="11" t="b">
        <v>0</v>
      </c>
      <c r="AN13" s="11" t="b">
        <v>0</v>
      </c>
      <c r="AO13" s="11"/>
      <c r="AP13" s="56"/>
      <c r="AQ13" s="56"/>
      <c r="AR13" s="56" t="s">
        <v>1012</v>
      </c>
      <c r="AS13" s="11" t="s">
        <v>984</v>
      </c>
      <c r="AT13" s="11" t="s">
        <v>985</v>
      </c>
      <c r="AU13" s="11" t="b">
        <v>0</v>
      </c>
      <c r="AV13" s="6" t="b">
        <v>1</v>
      </c>
      <c r="AW13" s="11"/>
      <c r="AX13" s="11"/>
      <c r="AY13" s="11"/>
      <c r="AZ13" s="11" t="s">
        <v>919</v>
      </c>
      <c r="BA13" s="11" t="s">
        <v>919</v>
      </c>
      <c r="BB13" s="11">
        <v>40</v>
      </c>
      <c r="BC13" s="11">
        <v>4</v>
      </c>
      <c r="BD13" s="11" t="b">
        <v>0</v>
      </c>
      <c r="BE13" s="11" t="s">
        <v>93</v>
      </c>
      <c r="BF13" s="11">
        <v>0</v>
      </c>
      <c r="BG13" s="11">
        <v>1</v>
      </c>
      <c r="BH13" s="11">
        <v>7</v>
      </c>
      <c r="BI13" s="11" t="s">
        <v>986</v>
      </c>
      <c r="BJ13" s="11" t="b">
        <v>1</v>
      </c>
      <c r="BK13" s="11" t="b">
        <v>0</v>
      </c>
      <c r="BL13" s="11" t="b">
        <v>0</v>
      </c>
      <c r="BM13" s="11">
        <v>316</v>
      </c>
      <c r="BN13" s="11">
        <v>2678</v>
      </c>
      <c r="BO13" s="11"/>
      <c r="BP13" s="11" t="s">
        <v>1013</v>
      </c>
      <c r="BQ13" s="70">
        <v>2</v>
      </c>
      <c r="BR13" s="70" t="b">
        <v>0</v>
      </c>
      <c r="BS13" t="str">
        <f>IFERROR(HYPERLINK("#Main!A"&amp;MATCH(A13,Main!A:A,0),"Open"),HYPERLINK("#Main!A1","Open"))</f>
        <v>Open</v>
      </c>
    </row>
    <row r="14" spans="1:72" ht="30" customHeight="1" x14ac:dyDescent="0.25">
      <c r="A14" s="59" t="s">
        <v>218</v>
      </c>
      <c r="B14" s="6">
        <v>200</v>
      </c>
      <c r="C14" s="8" t="s">
        <v>991</v>
      </c>
      <c r="D14" s="66">
        <v>56</v>
      </c>
      <c r="E14" s="61" t="s">
        <v>67</v>
      </c>
      <c r="F14" s="8" t="s">
        <v>94</v>
      </c>
      <c r="G14" s="6" t="s">
        <v>918</v>
      </c>
      <c r="H14" s="67">
        <v>53.05</v>
      </c>
      <c r="I14" s="67">
        <v>65.040000000000006</v>
      </c>
      <c r="J14" s="68" t="s">
        <v>218</v>
      </c>
      <c r="K14" s="68"/>
      <c r="L14" s="8"/>
      <c r="M14" s="60" t="s">
        <v>98</v>
      </c>
      <c r="N14" s="49" t="s">
        <v>2</v>
      </c>
      <c r="O14" s="8"/>
      <c r="P14" s="8" t="s">
        <v>920</v>
      </c>
      <c r="Q14" s="8" t="s">
        <v>980</v>
      </c>
      <c r="R14" s="8">
        <v>0</v>
      </c>
      <c r="S14" s="8"/>
      <c r="T14" s="51"/>
      <c r="U14" s="8" t="b">
        <v>0</v>
      </c>
      <c r="V14" s="8" t="s">
        <v>981</v>
      </c>
      <c r="W14" s="8" t="s">
        <v>982</v>
      </c>
      <c r="X14" s="8">
        <v>191.78</v>
      </c>
      <c r="Y14" s="63" t="b">
        <v>0</v>
      </c>
      <c r="Z14" s="8"/>
      <c r="AA14" s="8"/>
      <c r="AB14" s="8"/>
      <c r="AC14" s="8"/>
      <c r="AD14" s="68"/>
      <c r="AE14" s="68"/>
      <c r="AF14" s="8"/>
      <c r="AG14" s="63" t="b">
        <v>0</v>
      </c>
      <c r="AH14" s="8">
        <v>0</v>
      </c>
      <c r="AI14" s="8" t="b">
        <v>0</v>
      </c>
      <c r="AJ14" s="8"/>
      <c r="AK14" s="8"/>
      <c r="AL14" s="63" t="b">
        <v>0</v>
      </c>
      <c r="AM14" s="8" t="b">
        <v>0</v>
      </c>
      <c r="AN14" s="8" t="b">
        <v>0</v>
      </c>
      <c r="AO14" s="8"/>
      <c r="AP14" s="54"/>
      <c r="AQ14" s="54"/>
      <c r="AR14" s="54" t="s">
        <v>1014</v>
      </c>
      <c r="AS14" s="8" t="s">
        <v>984</v>
      </c>
      <c r="AT14" s="8" t="s">
        <v>985</v>
      </c>
      <c r="AU14" s="8" t="b">
        <v>0</v>
      </c>
      <c r="AV14" s="6" t="b">
        <v>1</v>
      </c>
      <c r="AW14" s="8"/>
      <c r="AX14" s="8"/>
      <c r="AY14" s="8"/>
      <c r="AZ14" s="8" t="s">
        <v>919</v>
      </c>
      <c r="BA14" s="8" t="s">
        <v>919</v>
      </c>
      <c r="BB14" s="8">
        <v>30</v>
      </c>
      <c r="BC14" s="8">
        <v>3</v>
      </c>
      <c r="BD14" s="8" t="b">
        <v>0</v>
      </c>
      <c r="BE14" s="8" t="s">
        <v>93</v>
      </c>
      <c r="BF14" s="8">
        <v>0</v>
      </c>
      <c r="BG14" s="8">
        <v>2</v>
      </c>
      <c r="BH14" s="8">
        <v>8</v>
      </c>
      <c r="BI14" s="8" t="s">
        <v>986</v>
      </c>
      <c r="BJ14" s="8" t="b">
        <v>1</v>
      </c>
      <c r="BK14" s="8" t="b">
        <v>0</v>
      </c>
      <c r="BL14" s="8" t="b">
        <v>0</v>
      </c>
      <c r="BM14" s="8">
        <v>388</v>
      </c>
      <c r="BN14" s="8">
        <v>2349</v>
      </c>
      <c r="BO14" s="8"/>
      <c r="BP14" s="8" t="s">
        <v>1015</v>
      </c>
      <c r="BQ14" s="68">
        <v>2</v>
      </c>
      <c r="BR14" s="68" t="b">
        <v>0</v>
      </c>
      <c r="BS14" s="9" t="str">
        <f>IFERROR(HYPERLINK("#Main!A"&amp;MATCH(A14,Main!A:A,0),"Open"),HYPERLINK("#Main!A1","Open"))</f>
        <v>Open</v>
      </c>
      <c r="BT14" s="9"/>
    </row>
    <row r="15" spans="1:72" ht="30" customHeight="1" x14ac:dyDescent="0.25">
      <c r="A15" s="58" t="s">
        <v>226</v>
      </c>
      <c r="B15" s="6">
        <v>200</v>
      </c>
      <c r="C15" s="11" t="s">
        <v>991</v>
      </c>
      <c r="D15" s="66">
        <v>66</v>
      </c>
      <c r="E15" s="61" t="s">
        <v>67</v>
      </c>
      <c r="F15" s="11" t="s">
        <v>94</v>
      </c>
      <c r="G15" s="6" t="s">
        <v>918</v>
      </c>
      <c r="H15" s="69">
        <v>57.02</v>
      </c>
      <c r="I15" s="69">
        <v>70.75</v>
      </c>
      <c r="J15" s="70" t="s">
        <v>226</v>
      </c>
      <c r="K15" s="70"/>
      <c r="L15" s="11"/>
      <c r="M15" s="60" t="s">
        <v>98</v>
      </c>
      <c r="N15" s="49" t="s">
        <v>2</v>
      </c>
      <c r="O15" s="11"/>
      <c r="P15" s="11" t="s">
        <v>920</v>
      </c>
      <c r="Q15" s="11" t="s">
        <v>980</v>
      </c>
      <c r="R15" s="11">
        <v>0</v>
      </c>
      <c r="S15" s="11"/>
      <c r="T15" s="55"/>
      <c r="U15" s="11" t="b">
        <v>0</v>
      </c>
      <c r="V15" s="11" t="s">
        <v>981</v>
      </c>
      <c r="W15" s="11" t="s">
        <v>982</v>
      </c>
      <c r="X15" s="11">
        <v>265.02</v>
      </c>
      <c r="Y15" s="63" t="b">
        <v>0</v>
      </c>
      <c r="Z15" s="11"/>
      <c r="AA15" s="11"/>
      <c r="AB15" s="11"/>
      <c r="AC15" s="11"/>
      <c r="AD15" s="70"/>
      <c r="AE15" s="70"/>
      <c r="AF15" s="11"/>
      <c r="AG15" s="63" t="b">
        <v>0</v>
      </c>
      <c r="AH15" s="11">
        <v>0</v>
      </c>
      <c r="AI15" s="11" t="b">
        <v>0</v>
      </c>
      <c r="AJ15" s="11"/>
      <c r="AK15" s="11"/>
      <c r="AL15" s="63" t="b">
        <v>0</v>
      </c>
      <c r="AM15" s="11" t="b">
        <v>0</v>
      </c>
      <c r="AN15" s="11" t="b">
        <v>0</v>
      </c>
      <c r="AO15" s="11"/>
      <c r="AP15" s="56"/>
      <c r="AQ15" s="56"/>
      <c r="AR15" s="56" t="s">
        <v>1016</v>
      </c>
      <c r="AS15" s="11" t="s">
        <v>984</v>
      </c>
      <c r="AT15" s="11" t="s">
        <v>985</v>
      </c>
      <c r="AU15" s="11" t="b">
        <v>0</v>
      </c>
      <c r="AV15" s="6" t="b">
        <v>1</v>
      </c>
      <c r="AW15" s="11"/>
      <c r="AX15" s="11"/>
      <c r="AY15" s="11"/>
      <c r="AZ15" s="11" t="s">
        <v>919</v>
      </c>
      <c r="BA15" s="11" t="s">
        <v>919</v>
      </c>
      <c r="BB15" s="11">
        <v>30</v>
      </c>
      <c r="BC15" s="11">
        <v>3</v>
      </c>
      <c r="BD15" s="11" t="b">
        <v>0</v>
      </c>
      <c r="BE15" s="11" t="s">
        <v>93</v>
      </c>
      <c r="BF15" s="11">
        <v>0</v>
      </c>
      <c r="BG15" s="11">
        <v>1</v>
      </c>
      <c r="BH15" s="11">
        <v>8</v>
      </c>
      <c r="BI15" s="11" t="s">
        <v>986</v>
      </c>
      <c r="BJ15" s="11" t="b">
        <v>1</v>
      </c>
      <c r="BK15" s="11" t="b">
        <v>0</v>
      </c>
      <c r="BL15" s="11" t="b">
        <v>0</v>
      </c>
      <c r="BM15" s="11">
        <v>302</v>
      </c>
      <c r="BN15" s="11">
        <v>1959</v>
      </c>
      <c r="BO15" s="11"/>
      <c r="BP15" s="11" t="s">
        <v>1017</v>
      </c>
      <c r="BQ15" s="70">
        <v>2</v>
      </c>
      <c r="BR15" s="70" t="b">
        <v>0</v>
      </c>
      <c r="BS15" t="str">
        <f>IFERROR(HYPERLINK("#Main!A"&amp;MATCH(A15,Main!A:A,0),"Open"),HYPERLINK("#Main!A1","Open"))</f>
        <v>Open</v>
      </c>
    </row>
    <row r="16" spans="1:72" ht="30" customHeight="1" x14ac:dyDescent="0.25">
      <c r="A16" s="59" t="s">
        <v>234</v>
      </c>
      <c r="B16" s="6">
        <v>200</v>
      </c>
      <c r="C16" s="8" t="s">
        <v>991</v>
      </c>
      <c r="D16" s="66">
        <v>66</v>
      </c>
      <c r="E16" s="61" t="s">
        <v>67</v>
      </c>
      <c r="F16" s="8" t="s">
        <v>94</v>
      </c>
      <c r="G16" s="6" t="s">
        <v>918</v>
      </c>
      <c r="H16" s="67">
        <v>47.99</v>
      </c>
      <c r="I16" s="67">
        <v>61</v>
      </c>
      <c r="J16" s="68" t="s">
        <v>234</v>
      </c>
      <c r="K16" s="68"/>
      <c r="L16" s="8"/>
      <c r="M16" s="60" t="s">
        <v>98</v>
      </c>
      <c r="N16" s="49" t="s">
        <v>2</v>
      </c>
      <c r="O16" s="8"/>
      <c r="P16" s="8" t="s">
        <v>920</v>
      </c>
      <c r="Q16" s="8" t="s">
        <v>980</v>
      </c>
      <c r="R16" s="8">
        <v>0</v>
      </c>
      <c r="S16" s="8"/>
      <c r="T16" s="51"/>
      <c r="U16" s="8" t="b">
        <v>0</v>
      </c>
      <c r="V16" s="8" t="s">
        <v>981</v>
      </c>
      <c r="W16" s="8" t="s">
        <v>982</v>
      </c>
      <c r="X16" s="8">
        <v>252.12</v>
      </c>
      <c r="Y16" s="63" t="b">
        <v>0</v>
      </c>
      <c r="Z16" s="8"/>
      <c r="AA16" s="8"/>
      <c r="AB16" s="8"/>
      <c r="AC16" s="8"/>
      <c r="AD16" s="68"/>
      <c r="AE16" s="68"/>
      <c r="AF16" s="8"/>
      <c r="AG16" s="63" t="b">
        <v>0</v>
      </c>
      <c r="AH16" s="8">
        <v>0</v>
      </c>
      <c r="AI16" s="8" t="b">
        <v>0</v>
      </c>
      <c r="AJ16" s="8"/>
      <c r="AK16" s="8"/>
      <c r="AL16" s="63" t="b">
        <v>0</v>
      </c>
      <c r="AM16" s="8" t="b">
        <v>0</v>
      </c>
      <c r="AN16" s="8" t="b">
        <v>0</v>
      </c>
      <c r="AO16" s="8"/>
      <c r="AP16" s="54"/>
      <c r="AQ16" s="54"/>
      <c r="AR16" s="54" t="s">
        <v>1018</v>
      </c>
      <c r="AS16" s="8" t="s">
        <v>984</v>
      </c>
      <c r="AT16" s="8" t="s">
        <v>985</v>
      </c>
      <c r="AU16" s="8" t="b">
        <v>0</v>
      </c>
      <c r="AV16" s="6" t="b">
        <v>1</v>
      </c>
      <c r="AW16" s="8"/>
      <c r="AX16" s="8"/>
      <c r="AY16" s="8"/>
      <c r="AZ16" s="8" t="s">
        <v>919</v>
      </c>
      <c r="BA16" s="8" t="s">
        <v>919</v>
      </c>
      <c r="BB16" s="8">
        <v>30</v>
      </c>
      <c r="BC16" s="8">
        <v>3</v>
      </c>
      <c r="BD16" s="8" t="b">
        <v>0</v>
      </c>
      <c r="BE16" s="8" t="s">
        <v>93</v>
      </c>
      <c r="BF16" s="8">
        <v>0</v>
      </c>
      <c r="BG16" s="8">
        <v>1</v>
      </c>
      <c r="BH16" s="8">
        <v>8</v>
      </c>
      <c r="BI16" s="8" t="s">
        <v>986</v>
      </c>
      <c r="BJ16" s="8" t="b">
        <v>1</v>
      </c>
      <c r="BK16" s="8" t="b">
        <v>0</v>
      </c>
      <c r="BL16" s="8" t="b">
        <v>0</v>
      </c>
      <c r="BM16" s="8">
        <v>381</v>
      </c>
      <c r="BN16" s="8">
        <v>2108</v>
      </c>
      <c r="BO16" s="8"/>
      <c r="BP16" s="8" t="s">
        <v>1019</v>
      </c>
      <c r="BQ16" s="68">
        <v>2</v>
      </c>
      <c r="BR16" s="68" t="b">
        <v>0</v>
      </c>
      <c r="BS16" s="9" t="str">
        <f>IFERROR(HYPERLINK("#Main!A"&amp;MATCH(A16,Main!A:A,0),"Open"),HYPERLINK("#Main!A1","Open"))</f>
        <v>Open</v>
      </c>
      <c r="BT16" s="9"/>
    </row>
    <row r="17" spans="1:72" ht="30" customHeight="1" x14ac:dyDescent="0.25">
      <c r="A17" s="58" t="s">
        <v>242</v>
      </c>
      <c r="B17" s="6">
        <v>200</v>
      </c>
      <c r="C17" s="11" t="s">
        <v>991</v>
      </c>
      <c r="D17" s="66">
        <v>66</v>
      </c>
      <c r="E17" s="61" t="s">
        <v>67</v>
      </c>
      <c r="F17" s="11" t="s">
        <v>94</v>
      </c>
      <c r="G17" s="6" t="s">
        <v>918</v>
      </c>
      <c r="H17" s="69">
        <v>56.32</v>
      </c>
      <c r="I17" s="69">
        <v>73.319999999999993</v>
      </c>
      <c r="J17" s="70" t="s">
        <v>242</v>
      </c>
      <c r="K17" s="70"/>
      <c r="L17" s="11"/>
      <c r="M17" s="60" t="s">
        <v>98</v>
      </c>
      <c r="N17" s="49" t="s">
        <v>2</v>
      </c>
      <c r="O17" s="11"/>
      <c r="P17" s="11" t="s">
        <v>920</v>
      </c>
      <c r="Q17" s="11" t="s">
        <v>980</v>
      </c>
      <c r="R17" s="11">
        <v>0</v>
      </c>
      <c r="S17" s="11"/>
      <c r="T17" s="55"/>
      <c r="U17" s="11" t="b">
        <v>0</v>
      </c>
      <c r="V17" s="11" t="s">
        <v>981</v>
      </c>
      <c r="W17" s="11" t="s">
        <v>982</v>
      </c>
      <c r="X17" s="11">
        <v>777.15</v>
      </c>
      <c r="Y17" s="63" t="b">
        <v>0</v>
      </c>
      <c r="Z17" s="11"/>
      <c r="AA17" s="11"/>
      <c r="AB17" s="11"/>
      <c r="AC17" s="11"/>
      <c r="AD17" s="70"/>
      <c r="AE17" s="70"/>
      <c r="AF17" s="11"/>
      <c r="AG17" s="63" t="b">
        <v>0</v>
      </c>
      <c r="AH17" s="11">
        <v>0</v>
      </c>
      <c r="AI17" s="11" t="b">
        <v>0</v>
      </c>
      <c r="AJ17" s="11"/>
      <c r="AK17" s="11"/>
      <c r="AL17" s="63" t="b">
        <v>0</v>
      </c>
      <c r="AM17" s="11" t="b">
        <v>0</v>
      </c>
      <c r="AN17" s="11" t="b">
        <v>0</v>
      </c>
      <c r="AO17" s="11"/>
      <c r="AP17" s="56"/>
      <c r="AQ17" s="56"/>
      <c r="AR17" s="56" t="s">
        <v>1020</v>
      </c>
      <c r="AS17" s="11" t="s">
        <v>984</v>
      </c>
      <c r="AT17" s="11" t="s">
        <v>985</v>
      </c>
      <c r="AU17" s="11" t="b">
        <v>0</v>
      </c>
      <c r="AV17" s="6" t="b">
        <v>1</v>
      </c>
      <c r="AW17" s="11"/>
      <c r="AX17" s="11"/>
      <c r="AY17" s="11"/>
      <c r="AZ17" s="11" t="s">
        <v>919</v>
      </c>
      <c r="BA17" s="11" t="s">
        <v>919</v>
      </c>
      <c r="BB17" s="11">
        <v>30</v>
      </c>
      <c r="BC17" s="11">
        <v>3</v>
      </c>
      <c r="BD17" s="11" t="b">
        <v>0</v>
      </c>
      <c r="BE17" s="11" t="s">
        <v>93</v>
      </c>
      <c r="BF17" s="11">
        <v>0</v>
      </c>
      <c r="BG17" s="11">
        <v>1</v>
      </c>
      <c r="BH17" s="11">
        <v>8</v>
      </c>
      <c r="BI17" s="11" t="s">
        <v>986</v>
      </c>
      <c r="BJ17" s="11" t="b">
        <v>1</v>
      </c>
      <c r="BK17" s="11" t="b">
        <v>0</v>
      </c>
      <c r="BL17" s="11" t="b">
        <v>0</v>
      </c>
      <c r="BM17" s="11">
        <v>295</v>
      </c>
      <c r="BN17" s="11">
        <v>545</v>
      </c>
      <c r="BO17" s="11"/>
      <c r="BP17" s="11" t="s">
        <v>1021</v>
      </c>
      <c r="BQ17" s="70">
        <v>2</v>
      </c>
      <c r="BR17" s="70" t="b">
        <v>0</v>
      </c>
      <c r="BS17" t="str">
        <f>IFERROR(HYPERLINK("#Main!A"&amp;MATCH(A17,Main!A:A,0),"Open"),HYPERLINK("#Main!A1","Open"))</f>
        <v>Open</v>
      </c>
    </row>
    <row r="18" spans="1:72" ht="30" customHeight="1" x14ac:dyDescent="0.25">
      <c r="A18" s="59" t="s">
        <v>250</v>
      </c>
      <c r="B18" s="6">
        <v>200</v>
      </c>
      <c r="C18" s="8" t="s">
        <v>991</v>
      </c>
      <c r="D18" s="66">
        <v>66</v>
      </c>
      <c r="E18" s="61" t="s">
        <v>67</v>
      </c>
      <c r="F18" s="8" t="s">
        <v>94</v>
      </c>
      <c r="G18" s="6" t="s">
        <v>918</v>
      </c>
      <c r="H18" s="67">
        <v>55.53</v>
      </c>
      <c r="I18" s="67">
        <v>67.540000000000006</v>
      </c>
      <c r="J18" s="68" t="s">
        <v>250</v>
      </c>
      <c r="K18" s="68"/>
      <c r="L18" s="8"/>
      <c r="M18" s="60" t="s">
        <v>98</v>
      </c>
      <c r="N18" s="49" t="s">
        <v>2</v>
      </c>
      <c r="O18" s="8"/>
      <c r="P18" s="8" t="s">
        <v>920</v>
      </c>
      <c r="Q18" s="8" t="s">
        <v>980</v>
      </c>
      <c r="R18" s="8">
        <v>0</v>
      </c>
      <c r="S18" s="8"/>
      <c r="T18" s="51"/>
      <c r="U18" s="8" t="b">
        <v>0</v>
      </c>
      <c r="V18" s="8" t="s">
        <v>981</v>
      </c>
      <c r="W18" s="8" t="s">
        <v>982</v>
      </c>
      <c r="X18" s="8">
        <v>275.86</v>
      </c>
      <c r="Y18" s="63" t="b">
        <v>0</v>
      </c>
      <c r="Z18" s="8"/>
      <c r="AA18" s="8"/>
      <c r="AB18" s="8"/>
      <c r="AC18" s="8"/>
      <c r="AD18" s="68"/>
      <c r="AE18" s="68"/>
      <c r="AF18" s="8"/>
      <c r="AG18" s="63" t="b">
        <v>0</v>
      </c>
      <c r="AH18" s="8">
        <v>0</v>
      </c>
      <c r="AI18" s="8" t="b">
        <v>0</v>
      </c>
      <c r="AJ18" s="8"/>
      <c r="AK18" s="8"/>
      <c r="AL18" s="63" t="b">
        <v>0</v>
      </c>
      <c r="AM18" s="8" t="b">
        <v>0</v>
      </c>
      <c r="AN18" s="8" t="b">
        <v>0</v>
      </c>
      <c r="AO18" s="8"/>
      <c r="AP18" s="54"/>
      <c r="AQ18" s="54"/>
      <c r="AR18" s="54" t="s">
        <v>1022</v>
      </c>
      <c r="AS18" s="8" t="s">
        <v>984</v>
      </c>
      <c r="AT18" s="8" t="s">
        <v>985</v>
      </c>
      <c r="AU18" s="8" t="b">
        <v>0</v>
      </c>
      <c r="AV18" s="6" t="b">
        <v>1</v>
      </c>
      <c r="AW18" s="8"/>
      <c r="AX18" s="8"/>
      <c r="AY18" s="8"/>
      <c r="AZ18" s="8" t="s">
        <v>919</v>
      </c>
      <c r="BA18" s="8" t="s">
        <v>919</v>
      </c>
      <c r="BB18" s="8">
        <v>30</v>
      </c>
      <c r="BC18" s="8">
        <v>3</v>
      </c>
      <c r="BD18" s="8" t="b">
        <v>0</v>
      </c>
      <c r="BE18" s="8" t="s">
        <v>93</v>
      </c>
      <c r="BF18" s="8">
        <v>0</v>
      </c>
      <c r="BG18" s="8">
        <v>1</v>
      </c>
      <c r="BH18" s="8">
        <v>8</v>
      </c>
      <c r="BI18" s="8" t="s">
        <v>986</v>
      </c>
      <c r="BJ18" s="8" t="b">
        <v>1</v>
      </c>
      <c r="BK18" s="8" t="b">
        <v>0</v>
      </c>
      <c r="BL18" s="8" t="b">
        <v>0</v>
      </c>
      <c r="BM18" s="8">
        <v>302</v>
      </c>
      <c r="BN18" s="8">
        <v>229</v>
      </c>
      <c r="BO18" s="8"/>
      <c r="BP18" s="8" t="s">
        <v>1023</v>
      </c>
      <c r="BQ18" s="68">
        <v>2</v>
      </c>
      <c r="BR18" s="68" t="b">
        <v>0</v>
      </c>
      <c r="BS18" s="9" t="str">
        <f>IFERROR(HYPERLINK("#Main!A"&amp;MATCH(A18,Main!A:A,0),"Open"),HYPERLINK("#Main!A1","Open"))</f>
        <v>Open</v>
      </c>
      <c r="BT18" s="9"/>
    </row>
    <row r="19" spans="1:72" ht="30" customHeight="1" x14ac:dyDescent="0.25">
      <c r="A19" s="58" t="s">
        <v>258</v>
      </c>
      <c r="B19" s="6">
        <v>200</v>
      </c>
      <c r="C19" s="11" t="s">
        <v>991</v>
      </c>
      <c r="D19" s="66">
        <v>69</v>
      </c>
      <c r="E19" s="61" t="s">
        <v>67</v>
      </c>
      <c r="F19" s="11" t="s">
        <v>94</v>
      </c>
      <c r="G19" s="6" t="s">
        <v>918</v>
      </c>
      <c r="H19" s="69">
        <v>52.57</v>
      </c>
      <c r="I19" s="69">
        <v>66.900000000000006</v>
      </c>
      <c r="J19" s="70" t="s">
        <v>258</v>
      </c>
      <c r="K19" s="70"/>
      <c r="L19" s="11"/>
      <c r="M19" s="60" t="s">
        <v>98</v>
      </c>
      <c r="N19" s="49" t="s">
        <v>2</v>
      </c>
      <c r="O19" s="11"/>
      <c r="P19" s="11" t="s">
        <v>920</v>
      </c>
      <c r="Q19" s="11" t="s">
        <v>980</v>
      </c>
      <c r="R19" s="11">
        <v>0</v>
      </c>
      <c r="S19" s="11"/>
      <c r="T19" s="55"/>
      <c r="U19" s="11" t="b">
        <v>0</v>
      </c>
      <c r="V19" s="11" t="s">
        <v>981</v>
      </c>
      <c r="W19" s="11" t="s">
        <v>982</v>
      </c>
      <c r="X19" s="11">
        <v>369.66</v>
      </c>
      <c r="Y19" s="63" t="b">
        <v>0</v>
      </c>
      <c r="Z19" s="11"/>
      <c r="AA19" s="11"/>
      <c r="AB19" s="11"/>
      <c r="AC19" s="11"/>
      <c r="AD19" s="70"/>
      <c r="AE19" s="70"/>
      <c r="AF19" s="11"/>
      <c r="AG19" s="63" t="b">
        <v>0</v>
      </c>
      <c r="AH19" s="11">
        <v>0</v>
      </c>
      <c r="AI19" s="11" t="b">
        <v>0</v>
      </c>
      <c r="AJ19" s="11"/>
      <c r="AK19" s="11"/>
      <c r="AL19" s="63" t="b">
        <v>0</v>
      </c>
      <c r="AM19" s="11" t="b">
        <v>0</v>
      </c>
      <c r="AN19" s="11" t="b">
        <v>0</v>
      </c>
      <c r="AO19" s="11"/>
      <c r="AP19" s="56"/>
      <c r="AQ19" s="56"/>
      <c r="AR19" s="56" t="s">
        <v>1024</v>
      </c>
      <c r="AS19" s="11" t="s">
        <v>984</v>
      </c>
      <c r="AT19" s="11" t="s">
        <v>985</v>
      </c>
      <c r="AU19" s="11" t="b">
        <v>0</v>
      </c>
      <c r="AV19" s="6" t="b">
        <v>1</v>
      </c>
      <c r="AW19" s="11"/>
      <c r="AX19" s="11"/>
      <c r="AY19" s="11"/>
      <c r="AZ19" s="11" t="s">
        <v>919</v>
      </c>
      <c r="BA19" s="11" t="s">
        <v>919</v>
      </c>
      <c r="BB19" s="11">
        <v>90</v>
      </c>
      <c r="BC19" s="11">
        <v>9</v>
      </c>
      <c r="BD19" s="11" t="b">
        <v>1</v>
      </c>
      <c r="BE19" s="11" t="s">
        <v>93</v>
      </c>
      <c r="BF19" s="11">
        <v>0</v>
      </c>
      <c r="BG19" s="11">
        <v>1</v>
      </c>
      <c r="BH19" s="11">
        <v>7</v>
      </c>
      <c r="BI19" s="11" t="s">
        <v>986</v>
      </c>
      <c r="BJ19" s="11" t="b">
        <v>1</v>
      </c>
      <c r="BK19" s="11" t="b">
        <v>0</v>
      </c>
      <c r="BL19" s="11" t="b">
        <v>0</v>
      </c>
      <c r="BM19" s="11">
        <v>309</v>
      </c>
      <c r="BN19" s="11">
        <v>2244</v>
      </c>
      <c r="BO19" s="11"/>
      <c r="BP19" s="11" t="s">
        <v>1025</v>
      </c>
      <c r="BQ19" s="70">
        <v>2</v>
      </c>
      <c r="BR19" s="70" t="b">
        <v>0</v>
      </c>
      <c r="BS19" t="str">
        <f>IFERROR(HYPERLINK("#Main!A"&amp;MATCH(A19,Main!A:A,0),"Open"),HYPERLINK("#Main!A1","Open"))</f>
        <v>Open</v>
      </c>
    </row>
    <row r="20" spans="1:72" ht="30" customHeight="1" x14ac:dyDescent="0.25">
      <c r="A20" s="59" t="s">
        <v>266</v>
      </c>
      <c r="B20" s="6">
        <v>200</v>
      </c>
      <c r="C20" s="8" t="s">
        <v>991</v>
      </c>
      <c r="D20" s="66">
        <v>69</v>
      </c>
      <c r="E20" s="61" t="s">
        <v>67</v>
      </c>
      <c r="F20" s="8" t="s">
        <v>94</v>
      </c>
      <c r="G20" s="6" t="s">
        <v>918</v>
      </c>
      <c r="H20" s="67">
        <v>35.090000000000003</v>
      </c>
      <c r="I20" s="67">
        <v>49.4</v>
      </c>
      <c r="J20" s="68" t="s">
        <v>266</v>
      </c>
      <c r="K20" s="68"/>
      <c r="L20" s="8"/>
      <c r="M20" s="60" t="s">
        <v>98</v>
      </c>
      <c r="N20" s="49" t="s">
        <v>2</v>
      </c>
      <c r="O20" s="8"/>
      <c r="P20" s="8" t="s">
        <v>920</v>
      </c>
      <c r="Q20" s="8" t="s">
        <v>980</v>
      </c>
      <c r="R20" s="8">
        <v>0</v>
      </c>
      <c r="S20" s="8"/>
      <c r="T20" s="51"/>
      <c r="U20" s="8" t="b">
        <v>0</v>
      </c>
      <c r="V20" s="8" t="s">
        <v>981</v>
      </c>
      <c r="W20" s="8" t="s">
        <v>982</v>
      </c>
      <c r="X20" s="8">
        <v>447.06</v>
      </c>
      <c r="Y20" s="63" t="b">
        <v>0</v>
      </c>
      <c r="Z20" s="8"/>
      <c r="AA20" s="8"/>
      <c r="AB20" s="8"/>
      <c r="AC20" s="8"/>
      <c r="AD20" s="68"/>
      <c r="AE20" s="68"/>
      <c r="AF20" s="8"/>
      <c r="AG20" s="63" t="b">
        <v>0</v>
      </c>
      <c r="AH20" s="8">
        <v>0</v>
      </c>
      <c r="AI20" s="8" t="b">
        <v>0</v>
      </c>
      <c r="AJ20" s="8"/>
      <c r="AK20" s="8"/>
      <c r="AL20" s="63" t="b">
        <v>0</v>
      </c>
      <c r="AM20" s="8" t="b">
        <v>0</v>
      </c>
      <c r="AN20" s="8" t="b">
        <v>0</v>
      </c>
      <c r="AO20" s="8"/>
      <c r="AP20" s="54"/>
      <c r="AQ20" s="54"/>
      <c r="AR20" s="54" t="s">
        <v>1026</v>
      </c>
      <c r="AS20" s="8" t="s">
        <v>984</v>
      </c>
      <c r="AT20" s="8" t="s">
        <v>985</v>
      </c>
      <c r="AU20" s="8" t="b">
        <v>0</v>
      </c>
      <c r="AV20" s="6" t="b">
        <v>1</v>
      </c>
      <c r="AW20" s="8"/>
      <c r="AX20" s="8"/>
      <c r="AY20" s="8"/>
      <c r="AZ20" s="8" t="s">
        <v>919</v>
      </c>
      <c r="BA20" s="8" t="s">
        <v>919</v>
      </c>
      <c r="BB20" s="8">
        <v>100</v>
      </c>
      <c r="BC20" s="8">
        <v>10</v>
      </c>
      <c r="BD20" s="8" t="b">
        <v>0</v>
      </c>
      <c r="BE20" s="8" t="s">
        <v>93</v>
      </c>
      <c r="BF20" s="8">
        <v>0</v>
      </c>
      <c r="BG20" s="8">
        <v>1</v>
      </c>
      <c r="BH20" s="8">
        <v>7</v>
      </c>
      <c r="BI20" s="8" t="s">
        <v>986</v>
      </c>
      <c r="BJ20" s="8" t="b">
        <v>1</v>
      </c>
      <c r="BK20" s="8" t="b">
        <v>0</v>
      </c>
      <c r="BL20" s="8" t="b">
        <v>0</v>
      </c>
      <c r="BM20" s="8">
        <v>302</v>
      </c>
      <c r="BN20" s="8">
        <v>2194</v>
      </c>
      <c r="BO20" s="8" t="s">
        <v>1027</v>
      </c>
      <c r="BP20" s="8" t="s">
        <v>1028</v>
      </c>
      <c r="BQ20" s="68">
        <v>2</v>
      </c>
      <c r="BR20" s="68" t="b">
        <v>0</v>
      </c>
      <c r="BS20" s="9" t="str">
        <f>IFERROR(HYPERLINK("#Main!A"&amp;MATCH(A20,Main!A:A,0),"Open"),HYPERLINK("#Main!A1","Open"))</f>
        <v>Open</v>
      </c>
      <c r="BT20" s="9"/>
    </row>
    <row r="21" spans="1:72" ht="30" customHeight="1" x14ac:dyDescent="0.25">
      <c r="A21" s="58" t="s">
        <v>274</v>
      </c>
      <c r="B21" s="6">
        <v>200</v>
      </c>
      <c r="C21" s="11" t="s">
        <v>991</v>
      </c>
      <c r="D21" s="66">
        <v>59</v>
      </c>
      <c r="E21" s="61" t="s">
        <v>67</v>
      </c>
      <c r="F21" s="11" t="s">
        <v>94</v>
      </c>
      <c r="G21" s="6" t="s">
        <v>918</v>
      </c>
      <c r="H21" s="69">
        <v>38.869999999999997</v>
      </c>
      <c r="I21" s="69">
        <v>57.87</v>
      </c>
      <c r="J21" s="70" t="s">
        <v>274</v>
      </c>
      <c r="K21" s="70"/>
      <c r="L21" s="11"/>
      <c r="M21" s="60" t="s">
        <v>98</v>
      </c>
      <c r="N21" s="49" t="s">
        <v>2</v>
      </c>
      <c r="O21" s="11"/>
      <c r="P21" s="11" t="s">
        <v>920</v>
      </c>
      <c r="Q21" s="11" t="s">
        <v>980</v>
      </c>
      <c r="R21" s="11">
        <v>0</v>
      </c>
      <c r="S21" s="11"/>
      <c r="T21" s="55"/>
      <c r="U21" s="11" t="b">
        <v>0</v>
      </c>
      <c r="V21" s="11" t="s">
        <v>981</v>
      </c>
      <c r="W21" s="11" t="s">
        <v>982</v>
      </c>
      <c r="X21" s="11">
        <v>543.09</v>
      </c>
      <c r="Y21" s="63" t="b">
        <v>0</v>
      </c>
      <c r="Z21" s="11"/>
      <c r="AA21" s="11"/>
      <c r="AB21" s="11"/>
      <c r="AC21" s="11"/>
      <c r="AD21" s="70"/>
      <c r="AE21" s="70"/>
      <c r="AF21" s="11"/>
      <c r="AG21" s="63" t="b">
        <v>0</v>
      </c>
      <c r="AH21" s="11">
        <v>0</v>
      </c>
      <c r="AI21" s="11" t="b">
        <v>0</v>
      </c>
      <c r="AJ21" s="11"/>
      <c r="AK21" s="11"/>
      <c r="AL21" s="63" t="b">
        <v>0</v>
      </c>
      <c r="AM21" s="11" t="b">
        <v>0</v>
      </c>
      <c r="AN21" s="11" t="b">
        <v>0</v>
      </c>
      <c r="AO21" s="11"/>
      <c r="AP21" s="56"/>
      <c r="AQ21" s="56"/>
      <c r="AR21" s="56" t="s">
        <v>1029</v>
      </c>
      <c r="AS21" s="11" t="s">
        <v>984</v>
      </c>
      <c r="AT21" s="11" t="s">
        <v>985</v>
      </c>
      <c r="AU21" s="11" t="b">
        <v>0</v>
      </c>
      <c r="AV21" s="6" t="b">
        <v>1</v>
      </c>
      <c r="AW21" s="11"/>
      <c r="AX21" s="11"/>
      <c r="AY21" s="11"/>
      <c r="AZ21" s="11" t="s">
        <v>919</v>
      </c>
      <c r="BA21" s="11" t="s">
        <v>919</v>
      </c>
      <c r="BB21" s="11">
        <v>100</v>
      </c>
      <c r="BC21" s="11">
        <v>16</v>
      </c>
      <c r="BD21" s="11" t="b">
        <v>0</v>
      </c>
      <c r="BE21" s="11" t="s">
        <v>93</v>
      </c>
      <c r="BF21" s="11">
        <v>0</v>
      </c>
      <c r="BG21" s="11">
        <v>2</v>
      </c>
      <c r="BH21" s="11">
        <v>7</v>
      </c>
      <c r="BI21" s="11" t="s">
        <v>986</v>
      </c>
      <c r="BJ21" s="11" t="b">
        <v>1</v>
      </c>
      <c r="BK21" s="11" t="b">
        <v>0</v>
      </c>
      <c r="BL21" s="11" t="b">
        <v>0</v>
      </c>
      <c r="BM21" s="11">
        <v>424</v>
      </c>
      <c r="BN21" s="11">
        <v>2337</v>
      </c>
      <c r="BO21" s="11"/>
      <c r="BP21" s="11" t="s">
        <v>1030</v>
      </c>
      <c r="BQ21" s="70">
        <v>1</v>
      </c>
      <c r="BR21" s="70" t="b">
        <v>0</v>
      </c>
      <c r="BS21" t="str">
        <f>IFERROR(HYPERLINK("#Main!A"&amp;MATCH(A21,Main!A:A,0),"Open"),HYPERLINK("#Main!A1","Open"))</f>
        <v>Open</v>
      </c>
    </row>
    <row r="22" spans="1:72" ht="30" customHeight="1" x14ac:dyDescent="0.25">
      <c r="A22" s="59" t="s">
        <v>282</v>
      </c>
      <c r="B22" s="6">
        <v>200</v>
      </c>
      <c r="C22" s="8" t="s">
        <v>991</v>
      </c>
      <c r="D22" s="66">
        <v>66</v>
      </c>
      <c r="E22" s="61" t="s">
        <v>67</v>
      </c>
      <c r="F22" s="8" t="s">
        <v>94</v>
      </c>
      <c r="G22" s="6" t="s">
        <v>918</v>
      </c>
      <c r="H22" s="67">
        <v>47.68</v>
      </c>
      <c r="I22" s="67">
        <v>66.92</v>
      </c>
      <c r="J22" s="68" t="s">
        <v>282</v>
      </c>
      <c r="K22" s="68"/>
      <c r="L22" s="8"/>
      <c r="M22" s="60" t="s">
        <v>98</v>
      </c>
      <c r="N22" s="49" t="s">
        <v>2</v>
      </c>
      <c r="O22" s="8"/>
      <c r="P22" s="8" t="s">
        <v>920</v>
      </c>
      <c r="Q22" s="8" t="s">
        <v>980</v>
      </c>
      <c r="R22" s="8">
        <v>0</v>
      </c>
      <c r="S22" s="8"/>
      <c r="T22" s="51"/>
      <c r="U22" s="8" t="b">
        <v>0</v>
      </c>
      <c r="V22" s="8" t="s">
        <v>981</v>
      </c>
      <c r="W22" s="8" t="s">
        <v>982</v>
      </c>
      <c r="X22" s="8">
        <v>414.5</v>
      </c>
      <c r="Y22" s="63" t="b">
        <v>0</v>
      </c>
      <c r="Z22" s="8"/>
      <c r="AA22" s="8"/>
      <c r="AB22" s="8"/>
      <c r="AC22" s="8"/>
      <c r="AD22" s="68"/>
      <c r="AE22" s="68"/>
      <c r="AF22" s="8"/>
      <c r="AG22" s="63" t="b">
        <v>0</v>
      </c>
      <c r="AH22" s="8">
        <v>0</v>
      </c>
      <c r="AI22" s="8" t="b">
        <v>0</v>
      </c>
      <c r="AJ22" s="8"/>
      <c r="AK22" s="8"/>
      <c r="AL22" s="63" t="b">
        <v>0</v>
      </c>
      <c r="AM22" s="8" t="b">
        <v>0</v>
      </c>
      <c r="AN22" s="8" t="b">
        <v>0</v>
      </c>
      <c r="AO22" s="8"/>
      <c r="AP22" s="54"/>
      <c r="AQ22" s="54"/>
      <c r="AR22" s="54" t="s">
        <v>1031</v>
      </c>
      <c r="AS22" s="8" t="s">
        <v>984</v>
      </c>
      <c r="AT22" s="8" t="s">
        <v>985</v>
      </c>
      <c r="AU22" s="8" t="b">
        <v>0</v>
      </c>
      <c r="AV22" s="6" t="b">
        <v>1</v>
      </c>
      <c r="AW22" s="8"/>
      <c r="AX22" s="8"/>
      <c r="AY22" s="8"/>
      <c r="AZ22" s="8" t="s">
        <v>919</v>
      </c>
      <c r="BA22" s="8" t="s">
        <v>919</v>
      </c>
      <c r="BB22" s="8">
        <v>40</v>
      </c>
      <c r="BC22" s="8">
        <v>4</v>
      </c>
      <c r="BD22" s="8" t="b">
        <v>0</v>
      </c>
      <c r="BE22" s="8" t="s">
        <v>93</v>
      </c>
      <c r="BF22" s="8">
        <v>0</v>
      </c>
      <c r="BG22" s="8">
        <v>1</v>
      </c>
      <c r="BH22" s="8">
        <v>8</v>
      </c>
      <c r="BI22" s="8" t="s">
        <v>986</v>
      </c>
      <c r="BJ22" s="8" t="b">
        <v>1</v>
      </c>
      <c r="BK22" s="8" t="b">
        <v>0</v>
      </c>
      <c r="BL22" s="8" t="b">
        <v>0</v>
      </c>
      <c r="BM22" s="8">
        <v>367</v>
      </c>
      <c r="BN22" s="8">
        <v>2101</v>
      </c>
      <c r="BO22" s="8"/>
      <c r="BP22" s="8" t="s">
        <v>1032</v>
      </c>
      <c r="BQ22" s="68">
        <v>1</v>
      </c>
      <c r="BR22" s="68" t="b">
        <v>0</v>
      </c>
      <c r="BS22" s="9" t="str">
        <f>IFERROR(HYPERLINK("#Main!A"&amp;MATCH(A22,Main!A:A,0),"Open"),HYPERLINK("#Main!A1","Open"))</f>
        <v>Open</v>
      </c>
      <c r="BT22" s="9"/>
    </row>
    <row r="23" spans="1:72" ht="30" customHeight="1" x14ac:dyDescent="0.25">
      <c r="A23" s="58" t="s">
        <v>290</v>
      </c>
      <c r="B23" s="6">
        <v>200</v>
      </c>
      <c r="C23" s="11" t="s">
        <v>991</v>
      </c>
      <c r="D23" s="66">
        <v>56</v>
      </c>
      <c r="E23" s="61" t="s">
        <v>67</v>
      </c>
      <c r="F23" s="11" t="s">
        <v>94</v>
      </c>
      <c r="G23" s="6" t="s">
        <v>918</v>
      </c>
      <c r="H23" s="69">
        <v>234.75</v>
      </c>
      <c r="I23" s="69">
        <v>253.2</v>
      </c>
      <c r="J23" s="70" t="s">
        <v>290</v>
      </c>
      <c r="K23" s="70"/>
      <c r="L23" s="11"/>
      <c r="M23" s="60" t="s">
        <v>98</v>
      </c>
      <c r="N23" s="49" t="s">
        <v>2</v>
      </c>
      <c r="O23" s="11"/>
      <c r="P23" s="11" t="s">
        <v>920</v>
      </c>
      <c r="Q23" s="11" t="s">
        <v>980</v>
      </c>
      <c r="R23" s="11">
        <v>0</v>
      </c>
      <c r="S23" s="11"/>
      <c r="T23" s="55"/>
      <c r="U23" s="11" t="b">
        <v>0</v>
      </c>
      <c r="V23" s="11" t="s">
        <v>981</v>
      </c>
      <c r="W23" s="11" t="s">
        <v>982</v>
      </c>
      <c r="X23" s="11">
        <v>596.01</v>
      </c>
      <c r="Y23" s="63" t="b">
        <v>0</v>
      </c>
      <c r="Z23" s="11"/>
      <c r="AA23" s="11"/>
      <c r="AB23" s="11"/>
      <c r="AC23" s="11"/>
      <c r="AD23" s="70"/>
      <c r="AE23" s="70"/>
      <c r="AF23" s="11"/>
      <c r="AG23" s="63" t="b">
        <v>0</v>
      </c>
      <c r="AH23" s="11">
        <v>0</v>
      </c>
      <c r="AI23" s="11" t="b">
        <v>0</v>
      </c>
      <c r="AJ23" s="11"/>
      <c r="AK23" s="11"/>
      <c r="AL23" s="63" t="b">
        <v>0</v>
      </c>
      <c r="AM23" s="11" t="b">
        <v>0</v>
      </c>
      <c r="AN23" s="11" t="b">
        <v>0</v>
      </c>
      <c r="AO23" s="11"/>
      <c r="AP23" s="56"/>
      <c r="AQ23" s="56"/>
      <c r="AR23" s="56" t="s">
        <v>1033</v>
      </c>
      <c r="AS23" s="11" t="s">
        <v>984</v>
      </c>
      <c r="AT23" s="11" t="s">
        <v>985</v>
      </c>
      <c r="AU23" s="11" t="b">
        <v>0</v>
      </c>
      <c r="AV23" s="6" t="b">
        <v>1</v>
      </c>
      <c r="AW23" s="11"/>
      <c r="AX23" s="11"/>
      <c r="AY23" s="11"/>
      <c r="AZ23" s="11" t="s">
        <v>919</v>
      </c>
      <c r="BA23" s="11" t="s">
        <v>919</v>
      </c>
      <c r="BB23" s="11">
        <v>90</v>
      </c>
      <c r="BC23" s="11">
        <v>7</v>
      </c>
      <c r="BD23" s="11" t="b">
        <v>0</v>
      </c>
      <c r="BE23" s="11" t="s">
        <v>93</v>
      </c>
      <c r="BF23" s="11">
        <v>0</v>
      </c>
      <c r="BG23" s="11">
        <v>2</v>
      </c>
      <c r="BH23" s="11">
        <v>8</v>
      </c>
      <c r="BI23" s="11" t="s">
        <v>986</v>
      </c>
      <c r="BJ23" s="11" t="b">
        <v>1</v>
      </c>
      <c r="BK23" s="11" t="b">
        <v>0</v>
      </c>
      <c r="BL23" s="11" t="b">
        <v>0</v>
      </c>
      <c r="BM23" s="11">
        <v>460</v>
      </c>
      <c r="BN23" s="11">
        <v>2709</v>
      </c>
      <c r="BO23" s="11"/>
      <c r="BP23" s="11" t="s">
        <v>1034</v>
      </c>
      <c r="BQ23" s="70">
        <v>1</v>
      </c>
      <c r="BR23" s="70" t="b">
        <v>0</v>
      </c>
      <c r="BS23" t="str">
        <f>IFERROR(HYPERLINK("#Main!A"&amp;MATCH(A23,Main!A:A,0),"Open"),HYPERLINK("#Main!A1","Open"))</f>
        <v>Open</v>
      </c>
    </row>
    <row r="24" spans="1:72" ht="30" customHeight="1" x14ac:dyDescent="0.25">
      <c r="A24" s="59" t="s">
        <v>298</v>
      </c>
      <c r="B24" s="6">
        <v>200</v>
      </c>
      <c r="C24" s="8" t="s">
        <v>991</v>
      </c>
      <c r="D24" s="66">
        <v>59</v>
      </c>
      <c r="E24" s="61" t="s">
        <v>67</v>
      </c>
      <c r="F24" s="8" t="s">
        <v>94</v>
      </c>
      <c r="G24" s="6" t="s">
        <v>918</v>
      </c>
      <c r="H24" s="67">
        <v>40.06</v>
      </c>
      <c r="I24" s="67">
        <v>58.31</v>
      </c>
      <c r="J24" s="68" t="s">
        <v>298</v>
      </c>
      <c r="K24" s="68"/>
      <c r="L24" s="8"/>
      <c r="M24" s="60" t="s">
        <v>98</v>
      </c>
      <c r="N24" s="49" t="s">
        <v>2</v>
      </c>
      <c r="O24" s="8"/>
      <c r="P24" s="8" t="s">
        <v>920</v>
      </c>
      <c r="Q24" s="8" t="s">
        <v>980</v>
      </c>
      <c r="R24" s="8">
        <v>0</v>
      </c>
      <c r="S24" s="8"/>
      <c r="T24" s="51"/>
      <c r="U24" s="8" t="b">
        <v>0</v>
      </c>
      <c r="V24" s="8" t="s">
        <v>981</v>
      </c>
      <c r="W24" s="8" t="s">
        <v>982</v>
      </c>
      <c r="X24" s="8">
        <v>547.03</v>
      </c>
      <c r="Y24" s="63" t="b">
        <v>0</v>
      </c>
      <c r="Z24" s="8"/>
      <c r="AA24" s="8"/>
      <c r="AB24" s="8"/>
      <c r="AC24" s="8"/>
      <c r="AD24" s="68"/>
      <c r="AE24" s="68"/>
      <c r="AF24" s="8"/>
      <c r="AG24" s="63" t="b">
        <v>0</v>
      </c>
      <c r="AH24" s="8">
        <v>0</v>
      </c>
      <c r="AI24" s="8" t="b">
        <v>0</v>
      </c>
      <c r="AJ24" s="8"/>
      <c r="AK24" s="8"/>
      <c r="AL24" s="63" t="b">
        <v>0</v>
      </c>
      <c r="AM24" s="8" t="b">
        <v>0</v>
      </c>
      <c r="AN24" s="8" t="b">
        <v>0</v>
      </c>
      <c r="AO24" s="8"/>
      <c r="AP24" s="54"/>
      <c r="AQ24" s="54"/>
      <c r="AR24" s="54" t="s">
        <v>1035</v>
      </c>
      <c r="AS24" s="8" t="s">
        <v>984</v>
      </c>
      <c r="AT24" s="8" t="s">
        <v>985</v>
      </c>
      <c r="AU24" s="8" t="b">
        <v>0</v>
      </c>
      <c r="AV24" s="6" t="b">
        <v>1</v>
      </c>
      <c r="AW24" s="8"/>
      <c r="AX24" s="8"/>
      <c r="AY24" s="8"/>
      <c r="AZ24" s="8" t="s">
        <v>919</v>
      </c>
      <c r="BA24" s="8" t="s">
        <v>919</v>
      </c>
      <c r="BB24" s="8">
        <v>100</v>
      </c>
      <c r="BC24" s="8">
        <v>17</v>
      </c>
      <c r="BD24" s="8" t="b">
        <v>0</v>
      </c>
      <c r="BE24" s="8" t="s">
        <v>93</v>
      </c>
      <c r="BF24" s="8">
        <v>0</v>
      </c>
      <c r="BG24" s="8">
        <v>2</v>
      </c>
      <c r="BH24" s="8">
        <v>7</v>
      </c>
      <c r="BI24" s="8" t="s">
        <v>986</v>
      </c>
      <c r="BJ24" s="8" t="b">
        <v>1</v>
      </c>
      <c r="BK24" s="8" t="b">
        <v>0</v>
      </c>
      <c r="BL24" s="8" t="b">
        <v>0</v>
      </c>
      <c r="BM24" s="8">
        <v>136</v>
      </c>
      <c r="BN24" s="8">
        <v>905</v>
      </c>
      <c r="BO24" s="8"/>
      <c r="BP24" s="8" t="s">
        <v>1036</v>
      </c>
      <c r="BQ24" s="68">
        <v>1</v>
      </c>
      <c r="BR24" s="68" t="b">
        <v>0</v>
      </c>
      <c r="BS24" s="9" t="str">
        <f>IFERROR(HYPERLINK("#Main!A"&amp;MATCH(A24,Main!A:A,0),"Open"),HYPERLINK("#Main!A1","Open"))</f>
        <v>Open</v>
      </c>
      <c r="BT24" s="9"/>
    </row>
    <row r="25" spans="1:72" ht="30" customHeight="1" x14ac:dyDescent="0.25">
      <c r="A25" s="58" t="s">
        <v>306</v>
      </c>
      <c r="B25" s="6">
        <v>200</v>
      </c>
      <c r="C25" s="11" t="s">
        <v>991</v>
      </c>
      <c r="D25" s="66">
        <v>56</v>
      </c>
      <c r="E25" s="61" t="s">
        <v>67</v>
      </c>
      <c r="F25" s="11" t="s">
        <v>94</v>
      </c>
      <c r="G25" s="6" t="s">
        <v>918</v>
      </c>
      <c r="H25" s="69">
        <v>63.51</v>
      </c>
      <c r="I25" s="69">
        <v>74.84</v>
      </c>
      <c r="J25" s="70" t="s">
        <v>306</v>
      </c>
      <c r="K25" s="70"/>
      <c r="L25" s="11"/>
      <c r="M25" s="60" t="s">
        <v>98</v>
      </c>
      <c r="N25" s="49" t="s">
        <v>2</v>
      </c>
      <c r="O25" s="11"/>
      <c r="P25" s="11" t="s">
        <v>920</v>
      </c>
      <c r="Q25" s="11" t="s">
        <v>980</v>
      </c>
      <c r="R25" s="11">
        <v>0</v>
      </c>
      <c r="S25" s="11"/>
      <c r="T25" s="55"/>
      <c r="U25" s="11" t="b">
        <v>0</v>
      </c>
      <c r="V25" s="11" t="s">
        <v>981</v>
      </c>
      <c r="W25" s="11" t="s">
        <v>982</v>
      </c>
      <c r="X25" s="11">
        <v>309.63</v>
      </c>
      <c r="Y25" s="63" t="b">
        <v>0</v>
      </c>
      <c r="Z25" s="11"/>
      <c r="AA25" s="11"/>
      <c r="AB25" s="11"/>
      <c r="AC25" s="11"/>
      <c r="AD25" s="70"/>
      <c r="AE25" s="70"/>
      <c r="AF25" s="11"/>
      <c r="AG25" s="63" t="b">
        <v>0</v>
      </c>
      <c r="AH25" s="11">
        <v>0</v>
      </c>
      <c r="AI25" s="11" t="b">
        <v>0</v>
      </c>
      <c r="AJ25" s="11"/>
      <c r="AK25" s="11"/>
      <c r="AL25" s="63" t="b">
        <v>0</v>
      </c>
      <c r="AM25" s="11" t="b">
        <v>0</v>
      </c>
      <c r="AN25" s="11" t="b">
        <v>0</v>
      </c>
      <c r="AO25" s="11"/>
      <c r="AP25" s="56"/>
      <c r="AQ25" s="56"/>
      <c r="AR25" s="56" t="s">
        <v>1037</v>
      </c>
      <c r="AS25" s="11" t="s">
        <v>984</v>
      </c>
      <c r="AT25" s="11" t="s">
        <v>985</v>
      </c>
      <c r="AU25" s="11" t="b">
        <v>0</v>
      </c>
      <c r="AV25" s="6" t="b">
        <v>1</v>
      </c>
      <c r="AW25" s="11"/>
      <c r="AX25" s="11"/>
      <c r="AY25" s="11"/>
      <c r="AZ25" s="11" t="s">
        <v>919</v>
      </c>
      <c r="BA25" s="11" t="s">
        <v>919</v>
      </c>
      <c r="BB25" s="11">
        <v>30</v>
      </c>
      <c r="BC25" s="11">
        <v>3</v>
      </c>
      <c r="BD25" s="11" t="b">
        <v>0</v>
      </c>
      <c r="BE25" s="11" t="s">
        <v>93</v>
      </c>
      <c r="BF25" s="11">
        <v>0</v>
      </c>
      <c r="BG25" s="11">
        <v>2</v>
      </c>
      <c r="BH25" s="11">
        <v>8</v>
      </c>
      <c r="BI25" s="11" t="s">
        <v>986</v>
      </c>
      <c r="BJ25" s="11" t="b">
        <v>1</v>
      </c>
      <c r="BK25" s="11" t="b">
        <v>0</v>
      </c>
      <c r="BL25" s="11" t="b">
        <v>0</v>
      </c>
      <c r="BM25" s="11">
        <v>590</v>
      </c>
      <c r="BN25" s="11">
        <v>2188</v>
      </c>
      <c r="BO25" s="11"/>
      <c r="BP25" s="11" t="s">
        <v>1038</v>
      </c>
      <c r="BQ25" s="70">
        <v>1</v>
      </c>
      <c r="BR25" s="70" t="b">
        <v>0</v>
      </c>
      <c r="BS25" t="str">
        <f>IFERROR(HYPERLINK("#Main!A"&amp;MATCH(A25,Main!A:A,0),"Open"),HYPERLINK("#Main!A1","Open"))</f>
        <v>Open</v>
      </c>
    </row>
    <row r="26" spans="1:72" ht="30" customHeight="1" x14ac:dyDescent="0.25">
      <c r="A26" s="59" t="s">
        <v>314</v>
      </c>
      <c r="B26" s="6">
        <v>200</v>
      </c>
      <c r="C26" s="8" t="s">
        <v>991</v>
      </c>
      <c r="D26" s="66">
        <v>56</v>
      </c>
      <c r="E26" s="61" t="s">
        <v>67</v>
      </c>
      <c r="F26" s="8" t="s">
        <v>94</v>
      </c>
      <c r="G26" s="6" t="s">
        <v>918</v>
      </c>
      <c r="H26" s="67">
        <v>629.53</v>
      </c>
      <c r="I26" s="67">
        <v>643.33000000000004</v>
      </c>
      <c r="J26" s="68" t="s">
        <v>314</v>
      </c>
      <c r="K26" s="68"/>
      <c r="L26" s="8"/>
      <c r="M26" s="60" t="s">
        <v>98</v>
      </c>
      <c r="N26" s="49" t="s">
        <v>2</v>
      </c>
      <c r="O26" s="8"/>
      <c r="P26" s="8" t="s">
        <v>920</v>
      </c>
      <c r="Q26" s="8" t="s">
        <v>980</v>
      </c>
      <c r="R26" s="8">
        <v>0</v>
      </c>
      <c r="S26" s="8"/>
      <c r="T26" s="51"/>
      <c r="U26" s="8" t="b">
        <v>0</v>
      </c>
      <c r="V26" s="8" t="s">
        <v>981</v>
      </c>
      <c r="W26" s="8" t="s">
        <v>982</v>
      </c>
      <c r="X26" s="8">
        <v>309.38</v>
      </c>
      <c r="Y26" s="63" t="b">
        <v>0</v>
      </c>
      <c r="Z26" s="8"/>
      <c r="AA26" s="8"/>
      <c r="AB26" s="8"/>
      <c r="AC26" s="8"/>
      <c r="AD26" s="68"/>
      <c r="AE26" s="68"/>
      <c r="AF26" s="8"/>
      <c r="AG26" s="63" t="b">
        <v>0</v>
      </c>
      <c r="AH26" s="8">
        <v>0</v>
      </c>
      <c r="AI26" s="8" t="b">
        <v>0</v>
      </c>
      <c r="AJ26" s="8"/>
      <c r="AK26" s="8"/>
      <c r="AL26" s="63" t="b">
        <v>0</v>
      </c>
      <c r="AM26" s="8" t="b">
        <v>0</v>
      </c>
      <c r="AN26" s="8" t="b">
        <v>0</v>
      </c>
      <c r="AO26" s="8"/>
      <c r="AP26" s="54"/>
      <c r="AQ26" s="54"/>
      <c r="AR26" s="54" t="s">
        <v>1039</v>
      </c>
      <c r="AS26" s="8" t="s">
        <v>984</v>
      </c>
      <c r="AT26" s="8" t="s">
        <v>985</v>
      </c>
      <c r="AU26" s="8" t="b">
        <v>0</v>
      </c>
      <c r="AV26" s="6" t="b">
        <v>1</v>
      </c>
      <c r="AW26" s="8"/>
      <c r="AX26" s="8"/>
      <c r="AY26" s="8"/>
      <c r="AZ26" s="8" t="s">
        <v>919</v>
      </c>
      <c r="BA26" s="8" t="s">
        <v>919</v>
      </c>
      <c r="BB26" s="8">
        <v>40</v>
      </c>
      <c r="BC26" s="8">
        <v>4</v>
      </c>
      <c r="BD26" s="8" t="b">
        <v>0</v>
      </c>
      <c r="BE26" s="8" t="s">
        <v>93</v>
      </c>
      <c r="BF26" s="8">
        <v>0</v>
      </c>
      <c r="BG26" s="8">
        <v>2</v>
      </c>
      <c r="BH26" s="8">
        <v>8</v>
      </c>
      <c r="BI26" s="8" t="s">
        <v>986</v>
      </c>
      <c r="BJ26" s="8" t="b">
        <v>1</v>
      </c>
      <c r="BK26" s="8" t="b">
        <v>0</v>
      </c>
      <c r="BL26" s="8" t="b">
        <v>0</v>
      </c>
      <c r="BM26" s="8">
        <v>504</v>
      </c>
      <c r="BN26" s="8">
        <v>2548</v>
      </c>
      <c r="BO26" s="8"/>
      <c r="BP26" s="8" t="s">
        <v>1040</v>
      </c>
      <c r="BQ26" s="68">
        <v>1</v>
      </c>
      <c r="BR26" s="68" t="b">
        <v>0</v>
      </c>
      <c r="BS26" s="9" t="str">
        <f>IFERROR(HYPERLINK("#Main!A"&amp;MATCH(A26,Main!A:A,0),"Open"),HYPERLINK("#Main!A1","Open"))</f>
        <v>Open</v>
      </c>
      <c r="BT26" s="9"/>
    </row>
    <row r="27" spans="1:72" ht="30" customHeight="1" x14ac:dyDescent="0.25">
      <c r="A27" s="58" t="s">
        <v>322</v>
      </c>
      <c r="B27" s="6">
        <v>200</v>
      </c>
      <c r="C27" s="11" t="s">
        <v>991</v>
      </c>
      <c r="D27" s="66">
        <v>66</v>
      </c>
      <c r="E27" s="61" t="s">
        <v>67</v>
      </c>
      <c r="F27" s="11" t="s">
        <v>94</v>
      </c>
      <c r="G27" s="6" t="s">
        <v>918</v>
      </c>
      <c r="H27" s="69">
        <v>65.91</v>
      </c>
      <c r="I27" s="69">
        <v>98.91</v>
      </c>
      <c r="J27" s="70" t="s">
        <v>322</v>
      </c>
      <c r="K27" s="70"/>
      <c r="L27" s="11"/>
      <c r="M27" s="60" t="s">
        <v>98</v>
      </c>
      <c r="N27" s="49" t="s">
        <v>2</v>
      </c>
      <c r="O27" s="11"/>
      <c r="P27" s="11" t="s">
        <v>920</v>
      </c>
      <c r="Q27" s="11" t="s">
        <v>980</v>
      </c>
      <c r="R27" s="11">
        <v>0</v>
      </c>
      <c r="S27" s="11"/>
      <c r="T27" s="55"/>
      <c r="U27" s="11" t="b">
        <v>0</v>
      </c>
      <c r="V27" s="11" t="s">
        <v>981</v>
      </c>
      <c r="W27" s="11" t="s">
        <v>982</v>
      </c>
      <c r="X27" s="11">
        <v>528.39</v>
      </c>
      <c r="Y27" s="63" t="b">
        <v>0</v>
      </c>
      <c r="Z27" s="11"/>
      <c r="AA27" s="11"/>
      <c r="AB27" s="11"/>
      <c r="AC27" s="11"/>
      <c r="AD27" s="70"/>
      <c r="AE27" s="70"/>
      <c r="AF27" s="11"/>
      <c r="AG27" s="63" t="b">
        <v>0</v>
      </c>
      <c r="AH27" s="11">
        <v>0</v>
      </c>
      <c r="AI27" s="11" t="b">
        <v>0</v>
      </c>
      <c r="AJ27" s="11"/>
      <c r="AK27" s="11"/>
      <c r="AL27" s="63" t="b">
        <v>0</v>
      </c>
      <c r="AM27" s="11" t="b">
        <v>0</v>
      </c>
      <c r="AN27" s="11" t="b">
        <v>0</v>
      </c>
      <c r="AO27" s="11"/>
      <c r="AP27" s="56"/>
      <c r="AQ27" s="56"/>
      <c r="AR27" s="56" t="s">
        <v>1041</v>
      </c>
      <c r="AS27" s="11" t="s">
        <v>984</v>
      </c>
      <c r="AT27" s="11" t="s">
        <v>985</v>
      </c>
      <c r="AU27" s="11" t="b">
        <v>0</v>
      </c>
      <c r="AV27" s="6" t="b">
        <v>1</v>
      </c>
      <c r="AW27" s="11"/>
      <c r="AX27" s="11"/>
      <c r="AY27" s="11"/>
      <c r="AZ27" s="11" t="s">
        <v>919</v>
      </c>
      <c r="BA27" s="11" t="s">
        <v>919</v>
      </c>
      <c r="BB27" s="11">
        <v>100</v>
      </c>
      <c r="BC27" s="11">
        <v>16</v>
      </c>
      <c r="BD27" s="11" t="b">
        <v>0</v>
      </c>
      <c r="BE27" s="11" t="s">
        <v>93</v>
      </c>
      <c r="BF27" s="11">
        <v>0</v>
      </c>
      <c r="BG27" s="11">
        <v>1</v>
      </c>
      <c r="BH27" s="11">
        <v>8</v>
      </c>
      <c r="BI27" s="11" t="s">
        <v>986</v>
      </c>
      <c r="BJ27" s="11" t="b">
        <v>1</v>
      </c>
      <c r="BK27" s="11" t="b">
        <v>0</v>
      </c>
      <c r="BL27" s="11" t="b">
        <v>0</v>
      </c>
      <c r="BM27" s="11">
        <v>381</v>
      </c>
      <c r="BN27" s="11">
        <v>2213</v>
      </c>
      <c r="BO27" s="11"/>
      <c r="BP27" s="11" t="s">
        <v>1042</v>
      </c>
      <c r="BQ27" s="70">
        <v>1</v>
      </c>
      <c r="BR27" s="70" t="b">
        <v>0</v>
      </c>
      <c r="BS27" t="str">
        <f>IFERROR(HYPERLINK("#Main!A"&amp;MATCH(A27,Main!A:A,0),"Open"),HYPERLINK("#Main!A1","Open"))</f>
        <v>Open</v>
      </c>
    </row>
    <row r="28" spans="1:72" ht="30" customHeight="1" x14ac:dyDescent="0.25">
      <c r="A28" s="59" t="s">
        <v>330</v>
      </c>
      <c r="B28" s="6">
        <v>200</v>
      </c>
      <c r="C28" s="8" t="s">
        <v>991</v>
      </c>
      <c r="D28" s="66">
        <v>59</v>
      </c>
      <c r="E28" s="61" t="s">
        <v>67</v>
      </c>
      <c r="F28" s="8" t="s">
        <v>94</v>
      </c>
      <c r="G28" s="6" t="s">
        <v>918</v>
      </c>
      <c r="H28" s="67">
        <v>41.01</v>
      </c>
      <c r="I28" s="67">
        <v>54.02</v>
      </c>
      <c r="J28" s="68" t="s">
        <v>330</v>
      </c>
      <c r="K28" s="68"/>
      <c r="L28" s="8"/>
      <c r="M28" s="60" t="s">
        <v>98</v>
      </c>
      <c r="N28" s="49" t="s">
        <v>2</v>
      </c>
      <c r="O28" s="8"/>
      <c r="P28" s="8" t="s">
        <v>920</v>
      </c>
      <c r="Q28" s="8" t="s">
        <v>980</v>
      </c>
      <c r="R28" s="8">
        <v>0</v>
      </c>
      <c r="S28" s="8"/>
      <c r="T28" s="51"/>
      <c r="U28" s="8" t="b">
        <v>0</v>
      </c>
      <c r="V28" s="8" t="s">
        <v>981</v>
      </c>
      <c r="W28" s="8" t="s">
        <v>982</v>
      </c>
      <c r="X28" s="8">
        <v>367.68</v>
      </c>
      <c r="Y28" s="63" t="b">
        <v>0</v>
      </c>
      <c r="Z28" s="8"/>
      <c r="AA28" s="8"/>
      <c r="AB28" s="8"/>
      <c r="AC28" s="8"/>
      <c r="AD28" s="68"/>
      <c r="AE28" s="68"/>
      <c r="AF28" s="8"/>
      <c r="AG28" s="63" t="b">
        <v>0</v>
      </c>
      <c r="AH28" s="8">
        <v>0</v>
      </c>
      <c r="AI28" s="8" t="b">
        <v>0</v>
      </c>
      <c r="AJ28" s="8"/>
      <c r="AK28" s="8"/>
      <c r="AL28" s="63" t="b">
        <v>0</v>
      </c>
      <c r="AM28" s="8" t="b">
        <v>0</v>
      </c>
      <c r="AN28" s="8" t="b">
        <v>0</v>
      </c>
      <c r="AO28" s="8"/>
      <c r="AP28" s="54"/>
      <c r="AQ28" s="54"/>
      <c r="AR28" s="54" t="s">
        <v>1043</v>
      </c>
      <c r="AS28" s="8" t="s">
        <v>984</v>
      </c>
      <c r="AT28" s="8" t="s">
        <v>985</v>
      </c>
      <c r="AU28" s="8" t="b">
        <v>0</v>
      </c>
      <c r="AV28" s="6" t="b">
        <v>1</v>
      </c>
      <c r="AW28" s="8"/>
      <c r="AX28" s="8"/>
      <c r="AY28" s="8"/>
      <c r="AZ28" s="8" t="s">
        <v>919</v>
      </c>
      <c r="BA28" s="8" t="s">
        <v>919</v>
      </c>
      <c r="BB28" s="8">
        <v>30</v>
      </c>
      <c r="BC28" s="8">
        <v>3</v>
      </c>
      <c r="BD28" s="8" t="b">
        <v>0</v>
      </c>
      <c r="BE28" s="8" t="s">
        <v>93</v>
      </c>
      <c r="BF28" s="8">
        <v>0</v>
      </c>
      <c r="BG28" s="8">
        <v>2</v>
      </c>
      <c r="BH28" s="8">
        <v>7</v>
      </c>
      <c r="BI28" s="8" t="s">
        <v>986</v>
      </c>
      <c r="BJ28" s="8" t="b">
        <v>1</v>
      </c>
      <c r="BK28" s="8" t="b">
        <v>0</v>
      </c>
      <c r="BL28" s="8" t="b">
        <v>0</v>
      </c>
      <c r="BM28" s="8">
        <v>367</v>
      </c>
      <c r="BN28" s="8">
        <v>2151</v>
      </c>
      <c r="BO28" s="8"/>
      <c r="BP28" s="8" t="s">
        <v>1044</v>
      </c>
      <c r="BQ28" s="68">
        <v>1</v>
      </c>
      <c r="BR28" s="68" t="b">
        <v>0</v>
      </c>
      <c r="BS28" s="9" t="str">
        <f>IFERROR(HYPERLINK("#Main!A"&amp;MATCH(A28,Main!A:A,0),"Open"),HYPERLINK("#Main!A1","Open"))</f>
        <v>Open</v>
      </c>
      <c r="BT28" s="9"/>
    </row>
    <row r="29" spans="1:72" ht="30" customHeight="1" x14ac:dyDescent="0.25">
      <c r="A29" s="58" t="s">
        <v>342</v>
      </c>
      <c r="B29" s="6">
        <v>200</v>
      </c>
      <c r="C29" s="11" t="s">
        <v>991</v>
      </c>
      <c r="D29" s="66">
        <v>69</v>
      </c>
      <c r="E29" s="61" t="s">
        <v>67</v>
      </c>
      <c r="F29" s="11" t="s">
        <v>94</v>
      </c>
      <c r="G29" s="6" t="s">
        <v>918</v>
      </c>
      <c r="H29" s="69">
        <v>58.23</v>
      </c>
      <c r="I29" s="69">
        <v>71.760000000000005</v>
      </c>
      <c r="J29" s="70" t="s">
        <v>342</v>
      </c>
      <c r="K29" s="70"/>
      <c r="L29" s="11"/>
      <c r="M29" s="60" t="s">
        <v>98</v>
      </c>
      <c r="N29" s="49" t="s">
        <v>2</v>
      </c>
      <c r="O29" s="11"/>
      <c r="P29" s="11" t="s">
        <v>920</v>
      </c>
      <c r="Q29" s="11" t="s">
        <v>980</v>
      </c>
      <c r="R29" s="11">
        <v>0</v>
      </c>
      <c r="S29" s="11"/>
      <c r="T29" s="55"/>
      <c r="U29" s="11" t="b">
        <v>0</v>
      </c>
      <c r="V29" s="11" t="s">
        <v>981</v>
      </c>
      <c r="W29" s="11" t="s">
        <v>982</v>
      </c>
      <c r="X29" s="11">
        <v>302.48</v>
      </c>
      <c r="Y29" s="63" t="b">
        <v>0</v>
      </c>
      <c r="Z29" s="11"/>
      <c r="AA29" s="11"/>
      <c r="AB29" s="11"/>
      <c r="AC29" s="11"/>
      <c r="AD29" s="70"/>
      <c r="AE29" s="70"/>
      <c r="AF29" s="11"/>
      <c r="AG29" s="63" t="b">
        <v>0</v>
      </c>
      <c r="AH29" s="11">
        <v>0</v>
      </c>
      <c r="AI29" s="11" t="b">
        <v>0</v>
      </c>
      <c r="AJ29" s="11"/>
      <c r="AK29" s="11"/>
      <c r="AL29" s="63" t="b">
        <v>0</v>
      </c>
      <c r="AM29" s="11" t="b">
        <v>0</v>
      </c>
      <c r="AN29" s="11" t="b">
        <v>0</v>
      </c>
      <c r="AO29" s="11"/>
      <c r="AP29" s="56"/>
      <c r="AQ29" s="56"/>
      <c r="AR29" s="56" t="s">
        <v>1045</v>
      </c>
      <c r="AS29" s="11" t="s">
        <v>984</v>
      </c>
      <c r="AT29" s="11" t="s">
        <v>985</v>
      </c>
      <c r="AU29" s="11" t="b">
        <v>0</v>
      </c>
      <c r="AV29" s="6" t="b">
        <v>1</v>
      </c>
      <c r="AW29" s="11"/>
      <c r="AX29" s="11"/>
      <c r="AY29" s="11"/>
      <c r="AZ29" s="11" t="s">
        <v>919</v>
      </c>
      <c r="BA29" s="11" t="s">
        <v>919</v>
      </c>
      <c r="BB29" s="11">
        <v>60</v>
      </c>
      <c r="BC29" s="11">
        <v>4</v>
      </c>
      <c r="BD29" s="11" t="b">
        <v>0</v>
      </c>
      <c r="BE29" s="11" t="s">
        <v>93</v>
      </c>
      <c r="BF29" s="11">
        <v>0</v>
      </c>
      <c r="BG29" s="11">
        <v>1</v>
      </c>
      <c r="BH29" s="11">
        <v>7</v>
      </c>
      <c r="BI29" s="11" t="s">
        <v>986</v>
      </c>
      <c r="BJ29" s="11" t="b">
        <v>1</v>
      </c>
      <c r="BK29" s="11" t="b">
        <v>0</v>
      </c>
      <c r="BL29" s="11" t="b">
        <v>0</v>
      </c>
      <c r="BM29" s="11">
        <v>432</v>
      </c>
      <c r="BN29" s="11">
        <v>2349</v>
      </c>
      <c r="BO29" s="11"/>
      <c r="BP29" s="11" t="s">
        <v>1046</v>
      </c>
      <c r="BQ29" s="70">
        <v>1</v>
      </c>
      <c r="BR29" s="70" t="b">
        <v>0</v>
      </c>
      <c r="BS29" t="str">
        <f>IFERROR(HYPERLINK("#Main!A"&amp;MATCH(A29,Main!A:A,0),"Open"),HYPERLINK("#Main!A1","Open"))</f>
        <v>Open</v>
      </c>
    </row>
    <row r="30" spans="1:72" ht="30" customHeight="1" x14ac:dyDescent="0.25">
      <c r="A30" s="59" t="s">
        <v>350</v>
      </c>
      <c r="B30" s="6">
        <v>200</v>
      </c>
      <c r="C30" s="8" t="s">
        <v>991</v>
      </c>
      <c r="D30" s="66">
        <v>69</v>
      </c>
      <c r="E30" s="61" t="s">
        <v>67</v>
      </c>
      <c r="F30" s="8" t="s">
        <v>94</v>
      </c>
      <c r="G30" s="6" t="s">
        <v>918</v>
      </c>
      <c r="H30" s="67">
        <v>48.35</v>
      </c>
      <c r="I30" s="67">
        <v>85.71</v>
      </c>
      <c r="J30" s="68" t="s">
        <v>350</v>
      </c>
      <c r="K30" s="68"/>
      <c r="L30" s="8"/>
      <c r="M30" s="60" t="s">
        <v>98</v>
      </c>
      <c r="N30" s="49" t="s">
        <v>2</v>
      </c>
      <c r="O30" s="8"/>
      <c r="P30" s="8" t="s">
        <v>920</v>
      </c>
      <c r="Q30" s="8" t="s">
        <v>980</v>
      </c>
      <c r="R30" s="8">
        <v>0</v>
      </c>
      <c r="S30" s="8"/>
      <c r="T30" s="51"/>
      <c r="U30" s="8" t="b">
        <v>0</v>
      </c>
      <c r="V30" s="8" t="s">
        <v>981</v>
      </c>
      <c r="W30" s="8" t="s">
        <v>982</v>
      </c>
      <c r="X30" s="8">
        <v>629.88</v>
      </c>
      <c r="Y30" s="63" t="b">
        <v>0</v>
      </c>
      <c r="Z30" s="8"/>
      <c r="AA30" s="8"/>
      <c r="AB30" s="8"/>
      <c r="AC30" s="8"/>
      <c r="AD30" s="68"/>
      <c r="AE30" s="68"/>
      <c r="AF30" s="8"/>
      <c r="AG30" s="63" t="b">
        <v>0</v>
      </c>
      <c r="AH30" s="8">
        <v>0</v>
      </c>
      <c r="AI30" s="8" t="b">
        <v>0</v>
      </c>
      <c r="AJ30" s="8"/>
      <c r="AK30" s="8"/>
      <c r="AL30" s="63" t="b">
        <v>0</v>
      </c>
      <c r="AM30" s="8" t="b">
        <v>0</v>
      </c>
      <c r="AN30" s="8" t="b">
        <v>0</v>
      </c>
      <c r="AO30" s="8"/>
      <c r="AP30" s="54"/>
      <c r="AQ30" s="54"/>
      <c r="AR30" s="54" t="s">
        <v>1047</v>
      </c>
      <c r="AS30" s="8" t="s">
        <v>984</v>
      </c>
      <c r="AT30" s="8" t="s">
        <v>985</v>
      </c>
      <c r="AU30" s="8" t="b">
        <v>0</v>
      </c>
      <c r="AV30" s="6" t="b">
        <v>1</v>
      </c>
      <c r="AW30" s="8"/>
      <c r="AX30" s="8"/>
      <c r="AY30" s="8"/>
      <c r="AZ30" s="8" t="s">
        <v>919</v>
      </c>
      <c r="BA30" s="8" t="s">
        <v>919</v>
      </c>
      <c r="BB30" s="8">
        <v>100</v>
      </c>
      <c r="BC30" s="8">
        <v>16</v>
      </c>
      <c r="BD30" s="8" t="b">
        <v>0</v>
      </c>
      <c r="BE30" s="8" t="s">
        <v>93</v>
      </c>
      <c r="BF30" s="8">
        <v>0</v>
      </c>
      <c r="BG30" s="8">
        <v>1</v>
      </c>
      <c r="BH30" s="8">
        <v>7</v>
      </c>
      <c r="BI30" s="8" t="s">
        <v>986</v>
      </c>
      <c r="BJ30" s="8" t="b">
        <v>1</v>
      </c>
      <c r="BK30" s="8" t="b">
        <v>0</v>
      </c>
      <c r="BL30" s="8" t="b">
        <v>0</v>
      </c>
      <c r="BM30" s="8">
        <v>367</v>
      </c>
      <c r="BN30" s="8">
        <v>2356</v>
      </c>
      <c r="BO30" s="8" t="s">
        <v>1048</v>
      </c>
      <c r="BP30" s="8" t="s">
        <v>1049</v>
      </c>
      <c r="BQ30" s="68">
        <v>1</v>
      </c>
      <c r="BR30" s="68" t="b">
        <v>0</v>
      </c>
      <c r="BS30" s="9" t="str">
        <f>IFERROR(HYPERLINK("#Main!A"&amp;MATCH(A30,Main!A:A,0),"Open"),HYPERLINK("#Main!A1","Open"))</f>
        <v>Open</v>
      </c>
      <c r="BT30" s="9"/>
    </row>
    <row r="31" spans="1:72" ht="30" customHeight="1" x14ac:dyDescent="0.25">
      <c r="A31" s="58" t="s">
        <v>358</v>
      </c>
      <c r="B31" s="6">
        <v>200</v>
      </c>
      <c r="C31" s="11" t="s">
        <v>991</v>
      </c>
      <c r="D31" s="66">
        <v>56</v>
      </c>
      <c r="E31" s="61" t="s">
        <v>67</v>
      </c>
      <c r="F31" s="11" t="s">
        <v>94</v>
      </c>
      <c r="G31" s="6" t="s">
        <v>918</v>
      </c>
      <c r="H31" s="69">
        <v>43.97</v>
      </c>
      <c r="I31" s="69">
        <v>363.86</v>
      </c>
      <c r="J31" s="70" t="s">
        <v>358</v>
      </c>
      <c r="K31" s="70"/>
      <c r="L31" s="11"/>
      <c r="M31" s="60" t="s">
        <v>98</v>
      </c>
      <c r="N31" s="49" t="s">
        <v>2</v>
      </c>
      <c r="O31" s="11"/>
      <c r="P31" s="11" t="s">
        <v>920</v>
      </c>
      <c r="Q31" s="11" t="s">
        <v>980</v>
      </c>
      <c r="R31" s="11">
        <v>0</v>
      </c>
      <c r="S31" s="11"/>
      <c r="T31" s="55"/>
      <c r="U31" s="11" t="b">
        <v>0</v>
      </c>
      <c r="V31" s="11" t="s">
        <v>981</v>
      </c>
      <c r="W31" s="11" t="s">
        <v>982</v>
      </c>
      <c r="X31" s="11">
        <v>393.95</v>
      </c>
      <c r="Y31" s="63" t="b">
        <v>0</v>
      </c>
      <c r="Z31" s="11"/>
      <c r="AA31" s="11"/>
      <c r="AB31" s="11"/>
      <c r="AC31" s="11"/>
      <c r="AD31" s="70"/>
      <c r="AE31" s="70"/>
      <c r="AF31" s="11"/>
      <c r="AG31" s="63" t="b">
        <v>0</v>
      </c>
      <c r="AH31" s="11">
        <v>0</v>
      </c>
      <c r="AI31" s="11" t="b">
        <v>0</v>
      </c>
      <c r="AJ31" s="11"/>
      <c r="AK31" s="11"/>
      <c r="AL31" s="63" t="b">
        <v>0</v>
      </c>
      <c r="AM31" s="11" t="b">
        <v>0</v>
      </c>
      <c r="AN31" s="11" t="b">
        <v>0</v>
      </c>
      <c r="AO31" s="11"/>
      <c r="AP31" s="56"/>
      <c r="AQ31" s="56"/>
      <c r="AR31" s="56" t="s">
        <v>1050</v>
      </c>
      <c r="AS31" s="11" t="s">
        <v>984</v>
      </c>
      <c r="AT31" s="11" t="s">
        <v>985</v>
      </c>
      <c r="AU31" s="11" t="b">
        <v>0</v>
      </c>
      <c r="AV31" s="6" t="b">
        <v>1</v>
      </c>
      <c r="AW31" s="11"/>
      <c r="AX31" s="11"/>
      <c r="AY31" s="11"/>
      <c r="AZ31" s="11" t="s">
        <v>919</v>
      </c>
      <c r="BA31" s="11" t="s">
        <v>919</v>
      </c>
      <c r="BB31" s="11">
        <v>40</v>
      </c>
      <c r="BC31" s="11">
        <v>4</v>
      </c>
      <c r="BD31" s="11" t="b">
        <v>0</v>
      </c>
      <c r="BE31" s="11" t="s">
        <v>93</v>
      </c>
      <c r="BF31" s="11">
        <v>0</v>
      </c>
      <c r="BG31" s="11">
        <v>2</v>
      </c>
      <c r="BH31" s="11">
        <v>8</v>
      </c>
      <c r="BI31" s="11" t="s">
        <v>986</v>
      </c>
      <c r="BJ31" s="11" t="b">
        <v>1</v>
      </c>
      <c r="BK31" s="11" t="b">
        <v>0</v>
      </c>
      <c r="BL31" s="11" t="b">
        <v>0</v>
      </c>
      <c r="BM31" s="11">
        <v>374</v>
      </c>
      <c r="BN31" s="11">
        <v>1698</v>
      </c>
      <c r="BO31" s="11"/>
      <c r="BP31" s="11" t="s">
        <v>1051</v>
      </c>
      <c r="BQ31" s="70">
        <v>1</v>
      </c>
      <c r="BR31" s="70" t="b">
        <v>0</v>
      </c>
      <c r="BS31" t="str">
        <f>IFERROR(HYPERLINK("#Main!A"&amp;MATCH(A31,Main!A:A,0),"Open"),HYPERLINK("#Main!A1","Open"))</f>
        <v>Open</v>
      </c>
    </row>
    <row r="32" spans="1:72" ht="30" customHeight="1" x14ac:dyDescent="0.25">
      <c r="A32" s="59" t="s">
        <v>366</v>
      </c>
      <c r="B32" s="6">
        <v>200</v>
      </c>
      <c r="C32" s="8" t="s">
        <v>991</v>
      </c>
      <c r="D32" s="66">
        <v>56</v>
      </c>
      <c r="E32" s="61" t="s">
        <v>67</v>
      </c>
      <c r="F32" s="8" t="s">
        <v>94</v>
      </c>
      <c r="G32" s="6" t="s">
        <v>918</v>
      </c>
      <c r="H32" s="67">
        <v>43.02</v>
      </c>
      <c r="I32" s="67">
        <v>57.53</v>
      </c>
      <c r="J32" s="68" t="s">
        <v>366</v>
      </c>
      <c r="K32" s="68"/>
      <c r="L32" s="8"/>
      <c r="M32" s="60" t="s">
        <v>98</v>
      </c>
      <c r="N32" s="49" t="s">
        <v>2</v>
      </c>
      <c r="O32" s="8"/>
      <c r="P32" s="8" t="s">
        <v>920</v>
      </c>
      <c r="Q32" s="8" t="s">
        <v>980</v>
      </c>
      <c r="R32" s="8">
        <v>0</v>
      </c>
      <c r="S32" s="8"/>
      <c r="T32" s="51"/>
      <c r="U32" s="8" t="b">
        <v>0</v>
      </c>
      <c r="V32" s="8" t="s">
        <v>981</v>
      </c>
      <c r="W32" s="8" t="s">
        <v>982</v>
      </c>
      <c r="X32" s="8">
        <v>309.25</v>
      </c>
      <c r="Y32" s="63" t="b">
        <v>0</v>
      </c>
      <c r="Z32" s="8"/>
      <c r="AA32" s="8"/>
      <c r="AB32" s="8"/>
      <c r="AC32" s="8"/>
      <c r="AD32" s="68"/>
      <c r="AE32" s="68"/>
      <c r="AF32" s="8"/>
      <c r="AG32" s="63" t="b">
        <v>0</v>
      </c>
      <c r="AH32" s="8">
        <v>0</v>
      </c>
      <c r="AI32" s="8" t="b">
        <v>0</v>
      </c>
      <c r="AJ32" s="8"/>
      <c r="AK32" s="8"/>
      <c r="AL32" s="63" t="b">
        <v>0</v>
      </c>
      <c r="AM32" s="8" t="b">
        <v>0</v>
      </c>
      <c r="AN32" s="8" t="b">
        <v>0</v>
      </c>
      <c r="AO32" s="8"/>
      <c r="AP32" s="54"/>
      <c r="AQ32" s="54"/>
      <c r="AR32" s="54" t="s">
        <v>1052</v>
      </c>
      <c r="AS32" s="8" t="s">
        <v>984</v>
      </c>
      <c r="AT32" s="8" t="s">
        <v>985</v>
      </c>
      <c r="AU32" s="8" t="b">
        <v>0</v>
      </c>
      <c r="AV32" s="6" t="b">
        <v>1</v>
      </c>
      <c r="AW32" s="8"/>
      <c r="AX32" s="8"/>
      <c r="AY32" s="8"/>
      <c r="AZ32" s="8" t="s">
        <v>919</v>
      </c>
      <c r="BA32" s="8" t="s">
        <v>919</v>
      </c>
      <c r="BB32" s="8">
        <v>40</v>
      </c>
      <c r="BC32" s="8">
        <v>4</v>
      </c>
      <c r="BD32" s="8" t="b">
        <v>0</v>
      </c>
      <c r="BE32" s="8" t="s">
        <v>93</v>
      </c>
      <c r="BF32" s="8">
        <v>0</v>
      </c>
      <c r="BG32" s="8">
        <v>2</v>
      </c>
      <c r="BH32" s="8">
        <v>8</v>
      </c>
      <c r="BI32" s="8" t="s">
        <v>986</v>
      </c>
      <c r="BJ32" s="8" t="b">
        <v>1</v>
      </c>
      <c r="BK32" s="8" t="b">
        <v>0</v>
      </c>
      <c r="BL32" s="8" t="b">
        <v>0</v>
      </c>
      <c r="BM32" s="8">
        <v>518</v>
      </c>
      <c r="BN32" s="8">
        <v>2151</v>
      </c>
      <c r="BO32" s="8"/>
      <c r="BP32" s="8" t="s">
        <v>1053</v>
      </c>
      <c r="BQ32" s="68">
        <v>1</v>
      </c>
      <c r="BR32" s="68" t="b">
        <v>0</v>
      </c>
      <c r="BS32" s="9" t="str">
        <f>IFERROR(HYPERLINK("#Main!A"&amp;MATCH(A32,Main!A:A,0),"Open"),HYPERLINK("#Main!A1","Open"))</f>
        <v>Open</v>
      </c>
      <c r="BT32" s="9"/>
    </row>
    <row r="33" spans="1:72" ht="30" customHeight="1" x14ac:dyDescent="0.25">
      <c r="A33" s="58" t="s">
        <v>374</v>
      </c>
      <c r="B33" s="6">
        <v>200</v>
      </c>
      <c r="C33" s="11" t="s">
        <v>991</v>
      </c>
      <c r="D33" s="66">
        <v>69</v>
      </c>
      <c r="E33" s="61" t="s">
        <v>67</v>
      </c>
      <c r="F33" s="11" t="s">
        <v>94</v>
      </c>
      <c r="G33" s="6" t="s">
        <v>918</v>
      </c>
      <c r="H33" s="69">
        <v>1556.66</v>
      </c>
      <c r="I33" s="69">
        <v>1585.33</v>
      </c>
      <c r="J33" s="70" t="s">
        <v>350</v>
      </c>
      <c r="K33" s="70"/>
      <c r="L33" s="11"/>
      <c r="M33" s="60" t="s">
        <v>98</v>
      </c>
      <c r="N33" s="49" t="s">
        <v>2</v>
      </c>
      <c r="O33" s="11"/>
      <c r="P33" s="11" t="s">
        <v>920</v>
      </c>
      <c r="Q33" s="11" t="s">
        <v>980</v>
      </c>
      <c r="R33" s="11">
        <v>1</v>
      </c>
      <c r="S33" s="11"/>
      <c r="T33" s="55"/>
      <c r="U33" s="11" t="b">
        <v>0</v>
      </c>
      <c r="V33" s="11" t="s">
        <v>981</v>
      </c>
      <c r="W33" s="11" t="s">
        <v>982</v>
      </c>
      <c r="X33" s="11">
        <v>629.88</v>
      </c>
      <c r="Y33" s="63" t="b">
        <v>0</v>
      </c>
      <c r="Z33" s="11"/>
      <c r="AA33" s="11"/>
      <c r="AB33" s="11"/>
      <c r="AC33" s="11"/>
      <c r="AD33" s="70"/>
      <c r="AE33" s="70"/>
      <c r="AF33" s="11"/>
      <c r="AG33" s="63" t="b">
        <v>0</v>
      </c>
      <c r="AH33" s="11">
        <v>0</v>
      </c>
      <c r="AI33" s="11" t="b">
        <v>0</v>
      </c>
      <c r="AJ33" s="11"/>
      <c r="AK33" s="11"/>
      <c r="AL33" s="63" t="b">
        <v>0</v>
      </c>
      <c r="AM33" s="11" t="b">
        <v>0</v>
      </c>
      <c r="AN33" s="11" t="b">
        <v>0</v>
      </c>
      <c r="AO33" s="11"/>
      <c r="AP33" s="56"/>
      <c r="AQ33" s="56"/>
      <c r="AR33" s="56" t="s">
        <v>1054</v>
      </c>
      <c r="AS33" s="11" t="s">
        <v>984</v>
      </c>
      <c r="AT33" s="11" t="s">
        <v>985</v>
      </c>
      <c r="AU33" s="11" t="b">
        <v>0</v>
      </c>
      <c r="AV33" s="6" t="b">
        <v>1</v>
      </c>
      <c r="AW33" s="11"/>
      <c r="AX33" s="11"/>
      <c r="AY33" s="11"/>
      <c r="AZ33" s="11" t="s">
        <v>919</v>
      </c>
      <c r="BA33" s="11" t="s">
        <v>919</v>
      </c>
      <c r="BB33" s="11">
        <v>100</v>
      </c>
      <c r="BC33" s="11">
        <v>16</v>
      </c>
      <c r="BD33" s="11" t="b">
        <v>0</v>
      </c>
      <c r="BE33" s="11" t="s">
        <v>93</v>
      </c>
      <c r="BF33" s="11">
        <v>0</v>
      </c>
      <c r="BG33" s="11">
        <v>1</v>
      </c>
      <c r="BH33" s="11">
        <v>7</v>
      </c>
      <c r="BI33" s="11" t="s">
        <v>986</v>
      </c>
      <c r="BJ33" s="11" t="b">
        <v>1</v>
      </c>
      <c r="BK33" s="11" t="b">
        <v>0</v>
      </c>
      <c r="BL33" s="11" t="b">
        <v>0</v>
      </c>
      <c r="BM33" s="11">
        <v>367</v>
      </c>
      <c r="BN33" s="11">
        <v>2356</v>
      </c>
      <c r="BO33" s="11" t="s">
        <v>1048</v>
      </c>
      <c r="BP33" s="11" t="s">
        <v>1055</v>
      </c>
      <c r="BQ33" s="70">
        <v>1</v>
      </c>
      <c r="BR33" s="70" t="b">
        <v>0</v>
      </c>
      <c r="BS33" t="str">
        <f>IFERROR(HYPERLINK("#Main!A"&amp;MATCH(A33,Main!A:A,0),"Open"),HYPERLINK("#Main!A1","Open"))</f>
        <v>Open</v>
      </c>
    </row>
    <row r="34" spans="1:72" ht="45" customHeight="1" x14ac:dyDescent="0.25">
      <c r="A34" s="59" t="s">
        <v>377</v>
      </c>
      <c r="B34" s="6">
        <v>200</v>
      </c>
      <c r="C34" s="8" t="s">
        <v>991</v>
      </c>
      <c r="D34" s="66">
        <v>66</v>
      </c>
      <c r="E34" s="61" t="s">
        <v>67</v>
      </c>
      <c r="F34" s="8" t="s">
        <v>94</v>
      </c>
      <c r="G34" s="6" t="s">
        <v>918</v>
      </c>
      <c r="H34" s="67">
        <v>1289.6199999999999</v>
      </c>
      <c r="I34" s="67">
        <v>1289.6199999999999</v>
      </c>
      <c r="J34" s="68" t="s">
        <v>377</v>
      </c>
      <c r="K34" s="68"/>
      <c r="L34" s="8"/>
      <c r="M34" s="60" t="s">
        <v>98</v>
      </c>
      <c r="N34" s="49" t="s">
        <v>2</v>
      </c>
      <c r="O34" s="8"/>
      <c r="P34" s="8" t="s">
        <v>920</v>
      </c>
      <c r="Q34" s="8" t="s">
        <v>980</v>
      </c>
      <c r="R34" s="8">
        <v>0</v>
      </c>
      <c r="S34" s="8"/>
      <c r="T34" s="51"/>
      <c r="U34" s="8" t="b">
        <v>0</v>
      </c>
      <c r="V34" s="8" t="s">
        <v>981</v>
      </c>
      <c r="W34" s="8" t="s">
        <v>982</v>
      </c>
      <c r="X34" s="8">
        <v>246.64</v>
      </c>
      <c r="Y34" s="63" t="b">
        <v>0</v>
      </c>
      <c r="Z34" s="8"/>
      <c r="AA34" s="8"/>
      <c r="AB34" s="8"/>
      <c r="AC34" s="8"/>
      <c r="AD34" s="68"/>
      <c r="AE34" s="68"/>
      <c r="AF34" s="8"/>
      <c r="AG34" s="63" t="b">
        <v>0</v>
      </c>
      <c r="AH34" s="8">
        <v>0</v>
      </c>
      <c r="AI34" s="8" t="b">
        <v>0</v>
      </c>
      <c r="AJ34" s="8"/>
      <c r="AK34" s="8"/>
      <c r="AL34" s="63" t="b">
        <v>0</v>
      </c>
      <c r="AM34" s="8" t="b">
        <v>0</v>
      </c>
      <c r="AN34" s="8" t="b">
        <v>0</v>
      </c>
      <c r="AO34" s="8"/>
      <c r="AP34" s="54"/>
      <c r="AQ34" s="54"/>
      <c r="AR34" s="54" t="s">
        <v>1056</v>
      </c>
      <c r="AS34" s="8" t="s">
        <v>984</v>
      </c>
      <c r="AT34" s="8" t="s">
        <v>985</v>
      </c>
      <c r="AU34" s="8" t="b">
        <v>0</v>
      </c>
      <c r="AV34" s="6" t="b">
        <v>1</v>
      </c>
      <c r="AW34" s="8"/>
      <c r="AX34" s="8"/>
      <c r="AY34" s="8"/>
      <c r="AZ34" s="8" t="s">
        <v>919</v>
      </c>
      <c r="BA34" s="8" t="s">
        <v>919</v>
      </c>
      <c r="BB34" s="8">
        <v>40</v>
      </c>
      <c r="BC34" s="8">
        <v>4</v>
      </c>
      <c r="BD34" s="8" t="b">
        <v>0</v>
      </c>
      <c r="BE34" s="8" t="s">
        <v>93</v>
      </c>
      <c r="BF34" s="8">
        <v>0</v>
      </c>
      <c r="BG34" s="8">
        <v>1</v>
      </c>
      <c r="BH34" s="8">
        <v>8</v>
      </c>
      <c r="BI34" s="8" t="s">
        <v>986</v>
      </c>
      <c r="BJ34" s="8" t="b">
        <v>1</v>
      </c>
      <c r="BK34" s="8" t="b">
        <v>0</v>
      </c>
      <c r="BL34" s="8" t="b">
        <v>0</v>
      </c>
      <c r="BM34" s="8">
        <v>489</v>
      </c>
      <c r="BN34" s="8">
        <v>2145</v>
      </c>
      <c r="BO34" s="8"/>
      <c r="BP34" s="8" t="s">
        <v>1057</v>
      </c>
      <c r="BQ34" s="68">
        <v>2</v>
      </c>
      <c r="BR34" s="68" t="b">
        <v>0</v>
      </c>
      <c r="BS34" s="9" t="str">
        <f>IFERROR(HYPERLINK("#Main!A"&amp;MATCH(A34,Main!A:A,0),"Open"),HYPERLINK("#Main!A1","Open"))</f>
        <v>Open</v>
      </c>
      <c r="BT34" s="9"/>
    </row>
    <row r="35" spans="1:72" ht="30" customHeight="1" x14ac:dyDescent="0.25">
      <c r="A35" s="58" t="s">
        <v>385</v>
      </c>
      <c r="B35" s="6">
        <v>200</v>
      </c>
      <c r="C35" s="11" t="s">
        <v>991</v>
      </c>
      <c r="D35" s="66">
        <v>69</v>
      </c>
      <c r="E35" s="61" t="s">
        <v>67</v>
      </c>
      <c r="F35" s="11" t="s">
        <v>94</v>
      </c>
      <c r="G35" s="6" t="s">
        <v>918</v>
      </c>
      <c r="H35" s="69">
        <v>104.14</v>
      </c>
      <c r="I35" s="69">
        <v>308.87</v>
      </c>
      <c r="J35" s="70" t="s">
        <v>385</v>
      </c>
      <c r="K35" s="70"/>
      <c r="L35" s="11"/>
      <c r="M35" s="60" t="s">
        <v>98</v>
      </c>
      <c r="N35" s="49" t="s">
        <v>2</v>
      </c>
      <c r="O35" s="11"/>
      <c r="P35" s="11" t="s">
        <v>920</v>
      </c>
      <c r="Q35" s="11" t="s">
        <v>980</v>
      </c>
      <c r="R35" s="11">
        <v>0</v>
      </c>
      <c r="S35" s="11"/>
      <c r="T35" s="55"/>
      <c r="U35" s="11" t="b">
        <v>0</v>
      </c>
      <c r="V35" s="11" t="s">
        <v>981</v>
      </c>
      <c r="W35" s="11" t="s">
        <v>982</v>
      </c>
      <c r="X35" s="11">
        <v>375.39</v>
      </c>
      <c r="Y35" s="63" t="b">
        <v>0</v>
      </c>
      <c r="Z35" s="11"/>
      <c r="AA35" s="11"/>
      <c r="AB35" s="11"/>
      <c r="AC35" s="11"/>
      <c r="AD35" s="70"/>
      <c r="AE35" s="70"/>
      <c r="AF35" s="11"/>
      <c r="AG35" s="63" t="b">
        <v>0</v>
      </c>
      <c r="AH35" s="11">
        <v>0</v>
      </c>
      <c r="AI35" s="11" t="b">
        <v>0</v>
      </c>
      <c r="AJ35" s="11"/>
      <c r="AK35" s="11"/>
      <c r="AL35" s="63" t="b">
        <v>0</v>
      </c>
      <c r="AM35" s="11" t="b">
        <v>0</v>
      </c>
      <c r="AN35" s="11" t="b">
        <v>0</v>
      </c>
      <c r="AO35" s="11"/>
      <c r="AP35" s="56"/>
      <c r="AQ35" s="56"/>
      <c r="AR35" s="56" t="s">
        <v>1058</v>
      </c>
      <c r="AS35" s="11" t="s">
        <v>984</v>
      </c>
      <c r="AT35" s="11" t="s">
        <v>985</v>
      </c>
      <c r="AU35" s="11" t="b">
        <v>0</v>
      </c>
      <c r="AV35" s="6" t="b">
        <v>1</v>
      </c>
      <c r="AW35" s="11"/>
      <c r="AX35" s="11"/>
      <c r="AY35" s="11"/>
      <c r="AZ35" s="11" t="s">
        <v>919</v>
      </c>
      <c r="BA35" s="11" t="s">
        <v>919</v>
      </c>
      <c r="BB35" s="11">
        <v>100</v>
      </c>
      <c r="BC35" s="11">
        <v>16</v>
      </c>
      <c r="BD35" s="11" t="b">
        <v>0</v>
      </c>
      <c r="BE35" s="11" t="s">
        <v>93</v>
      </c>
      <c r="BF35" s="11">
        <v>0</v>
      </c>
      <c r="BG35" s="11">
        <v>1</v>
      </c>
      <c r="BH35" s="11">
        <v>7</v>
      </c>
      <c r="BI35" s="11" t="s">
        <v>986</v>
      </c>
      <c r="BJ35" s="11" t="b">
        <v>1</v>
      </c>
      <c r="BK35" s="11" t="b">
        <v>0</v>
      </c>
      <c r="BL35" s="11" t="b">
        <v>0</v>
      </c>
      <c r="BM35" s="11">
        <v>396</v>
      </c>
      <c r="BN35" s="11">
        <v>4352</v>
      </c>
      <c r="BO35" s="11"/>
      <c r="BP35" s="11" t="s">
        <v>1059</v>
      </c>
      <c r="BQ35" s="70">
        <v>2</v>
      </c>
      <c r="BR35" s="70" t="b">
        <v>0</v>
      </c>
      <c r="BS35" t="str">
        <f>IFERROR(HYPERLINK("#Main!A"&amp;MATCH(A35,Main!A:A,0),"Open"),HYPERLINK("#Main!A1","Open"))</f>
        <v>Open</v>
      </c>
    </row>
    <row r="36" spans="1:72" ht="30" customHeight="1" x14ac:dyDescent="0.25">
      <c r="A36" s="59" t="s">
        <v>393</v>
      </c>
      <c r="B36" s="6">
        <v>200</v>
      </c>
      <c r="C36" s="8" t="s">
        <v>991</v>
      </c>
      <c r="D36" s="66">
        <v>69</v>
      </c>
      <c r="E36" s="61" t="s">
        <v>67</v>
      </c>
      <c r="F36" s="8" t="s">
        <v>94</v>
      </c>
      <c r="G36" s="6" t="s">
        <v>918</v>
      </c>
      <c r="H36" s="67">
        <v>47.69</v>
      </c>
      <c r="I36" s="67">
        <v>91.68</v>
      </c>
      <c r="J36" s="68" t="s">
        <v>393</v>
      </c>
      <c r="K36" s="68"/>
      <c r="L36" s="8"/>
      <c r="M36" s="60" t="s">
        <v>98</v>
      </c>
      <c r="N36" s="49" t="s">
        <v>2</v>
      </c>
      <c r="O36" s="8"/>
      <c r="P36" s="8" t="s">
        <v>920</v>
      </c>
      <c r="Q36" s="8" t="s">
        <v>980</v>
      </c>
      <c r="R36" s="8">
        <v>0</v>
      </c>
      <c r="S36" s="8"/>
      <c r="T36" s="51"/>
      <c r="U36" s="8" t="b">
        <v>0</v>
      </c>
      <c r="V36" s="8" t="s">
        <v>981</v>
      </c>
      <c r="W36" s="8" t="s">
        <v>982</v>
      </c>
      <c r="X36" s="8">
        <v>374.4</v>
      </c>
      <c r="Y36" s="63" t="b">
        <v>0</v>
      </c>
      <c r="Z36" s="8"/>
      <c r="AA36" s="8"/>
      <c r="AB36" s="8"/>
      <c r="AC36" s="8"/>
      <c r="AD36" s="68"/>
      <c r="AE36" s="68"/>
      <c r="AF36" s="8"/>
      <c r="AG36" s="63" t="b">
        <v>0</v>
      </c>
      <c r="AH36" s="8">
        <v>0</v>
      </c>
      <c r="AI36" s="8" t="b">
        <v>0</v>
      </c>
      <c r="AJ36" s="8"/>
      <c r="AK36" s="8"/>
      <c r="AL36" s="63" t="b">
        <v>0</v>
      </c>
      <c r="AM36" s="8" t="b">
        <v>0</v>
      </c>
      <c r="AN36" s="8" t="b">
        <v>0</v>
      </c>
      <c r="AO36" s="8"/>
      <c r="AP36" s="54"/>
      <c r="AQ36" s="54"/>
      <c r="AR36" s="54" t="s">
        <v>1060</v>
      </c>
      <c r="AS36" s="8" t="s">
        <v>984</v>
      </c>
      <c r="AT36" s="8" t="s">
        <v>985</v>
      </c>
      <c r="AU36" s="8" t="b">
        <v>0</v>
      </c>
      <c r="AV36" s="6" t="b">
        <v>1</v>
      </c>
      <c r="AW36" s="8"/>
      <c r="AX36" s="8"/>
      <c r="AY36" s="8"/>
      <c r="AZ36" s="8" t="s">
        <v>919</v>
      </c>
      <c r="BA36" s="8" t="s">
        <v>919</v>
      </c>
      <c r="BB36" s="8">
        <v>100</v>
      </c>
      <c r="BC36" s="8">
        <v>16</v>
      </c>
      <c r="BD36" s="8" t="b">
        <v>0</v>
      </c>
      <c r="BE36" s="8" t="s">
        <v>93</v>
      </c>
      <c r="BF36" s="8">
        <v>0</v>
      </c>
      <c r="BG36" s="8">
        <v>1</v>
      </c>
      <c r="BH36" s="8">
        <v>7</v>
      </c>
      <c r="BI36" s="8" t="s">
        <v>986</v>
      </c>
      <c r="BJ36" s="8" t="b">
        <v>1</v>
      </c>
      <c r="BK36" s="8" t="b">
        <v>0</v>
      </c>
      <c r="BL36" s="8" t="b">
        <v>0</v>
      </c>
      <c r="BM36" s="8">
        <v>388</v>
      </c>
      <c r="BN36" s="8">
        <v>3571</v>
      </c>
      <c r="BO36" s="8"/>
      <c r="BP36" s="8" t="s">
        <v>1061</v>
      </c>
      <c r="BQ36" s="68">
        <v>2</v>
      </c>
      <c r="BR36" s="68" t="b">
        <v>0</v>
      </c>
      <c r="BS36" s="9" t="str">
        <f>IFERROR(HYPERLINK("#Main!A"&amp;MATCH(A36,Main!A:A,0),"Open"),HYPERLINK("#Main!A1","Open"))</f>
        <v>Open</v>
      </c>
      <c r="BT36" s="9"/>
    </row>
    <row r="37" spans="1:72" ht="30" customHeight="1" x14ac:dyDescent="0.25">
      <c r="A37" s="58" t="s">
        <v>401</v>
      </c>
      <c r="B37" s="6">
        <v>200</v>
      </c>
      <c r="C37" s="11" t="s">
        <v>991</v>
      </c>
      <c r="D37" s="66">
        <v>56</v>
      </c>
      <c r="E37" s="61" t="s">
        <v>67</v>
      </c>
      <c r="F37" s="11" t="s">
        <v>94</v>
      </c>
      <c r="G37" s="6" t="s">
        <v>918</v>
      </c>
      <c r="H37" s="69">
        <v>86.15</v>
      </c>
      <c r="I37" s="69">
        <v>95.91</v>
      </c>
      <c r="J37" s="70" t="s">
        <v>401</v>
      </c>
      <c r="K37" s="70"/>
      <c r="L37" s="11"/>
      <c r="M37" s="60" t="s">
        <v>98</v>
      </c>
      <c r="N37" s="49" t="s">
        <v>2</v>
      </c>
      <c r="O37" s="11"/>
      <c r="P37" s="11" t="s">
        <v>920</v>
      </c>
      <c r="Q37" s="11" t="s">
        <v>980</v>
      </c>
      <c r="R37" s="11">
        <v>0</v>
      </c>
      <c r="S37" s="11"/>
      <c r="T37" s="55"/>
      <c r="U37" s="11" t="b">
        <v>0</v>
      </c>
      <c r="V37" s="11" t="s">
        <v>981</v>
      </c>
      <c r="W37" s="11" t="s">
        <v>982</v>
      </c>
      <c r="X37" s="11">
        <v>274.38</v>
      </c>
      <c r="Y37" s="63" t="b">
        <v>0</v>
      </c>
      <c r="Z37" s="11"/>
      <c r="AA37" s="11"/>
      <c r="AB37" s="11"/>
      <c r="AC37" s="11"/>
      <c r="AD37" s="70"/>
      <c r="AE37" s="70"/>
      <c r="AF37" s="11"/>
      <c r="AG37" s="63" t="b">
        <v>0</v>
      </c>
      <c r="AH37" s="11">
        <v>0</v>
      </c>
      <c r="AI37" s="11" t="b">
        <v>0</v>
      </c>
      <c r="AJ37" s="11"/>
      <c r="AK37" s="11"/>
      <c r="AL37" s="63" t="b">
        <v>0</v>
      </c>
      <c r="AM37" s="11" t="b">
        <v>0</v>
      </c>
      <c r="AN37" s="11" t="b">
        <v>0</v>
      </c>
      <c r="AO37" s="11"/>
      <c r="AP37" s="56"/>
      <c r="AQ37" s="56"/>
      <c r="AR37" s="56" t="s">
        <v>1062</v>
      </c>
      <c r="AS37" s="11" t="s">
        <v>984</v>
      </c>
      <c r="AT37" s="11" t="s">
        <v>985</v>
      </c>
      <c r="AU37" s="11" t="b">
        <v>0</v>
      </c>
      <c r="AV37" s="6" t="b">
        <v>1</v>
      </c>
      <c r="AW37" s="11"/>
      <c r="AX37" s="11"/>
      <c r="AY37" s="11"/>
      <c r="AZ37" s="11" t="s">
        <v>919</v>
      </c>
      <c r="BA37" s="11" t="s">
        <v>919</v>
      </c>
      <c r="BB37" s="11">
        <v>40</v>
      </c>
      <c r="BC37" s="11">
        <v>4</v>
      </c>
      <c r="BD37" s="11" t="b">
        <v>0</v>
      </c>
      <c r="BE37" s="11" t="s">
        <v>93</v>
      </c>
      <c r="BF37" s="11">
        <v>0</v>
      </c>
      <c r="BG37" s="11">
        <v>2</v>
      </c>
      <c r="BH37" s="11">
        <v>8</v>
      </c>
      <c r="BI37" s="11" t="s">
        <v>986</v>
      </c>
      <c r="BJ37" s="11" t="b">
        <v>1</v>
      </c>
      <c r="BK37" s="11" t="b">
        <v>0</v>
      </c>
      <c r="BL37" s="11" t="b">
        <v>0</v>
      </c>
      <c r="BM37" s="11">
        <v>187</v>
      </c>
      <c r="BN37" s="11">
        <v>936</v>
      </c>
      <c r="BO37" s="11"/>
      <c r="BP37" s="11" t="s">
        <v>1063</v>
      </c>
      <c r="BQ37" s="70">
        <v>2</v>
      </c>
      <c r="BR37" s="70" t="b">
        <v>0</v>
      </c>
      <c r="BS37" t="str">
        <f>IFERROR(HYPERLINK("#Main!A"&amp;MATCH(A37,Main!A:A,0),"Open"),HYPERLINK("#Main!A1","Open"))</f>
        <v>Open</v>
      </c>
    </row>
    <row r="38" spans="1:72" ht="45" customHeight="1" x14ac:dyDescent="0.25">
      <c r="A38" s="59" t="s">
        <v>409</v>
      </c>
      <c r="B38" s="6">
        <v>200</v>
      </c>
      <c r="C38" s="8" t="s">
        <v>991</v>
      </c>
      <c r="D38" s="66">
        <v>56</v>
      </c>
      <c r="E38" s="61" t="s">
        <v>67</v>
      </c>
      <c r="F38" s="8" t="s">
        <v>94</v>
      </c>
      <c r="G38" s="6" t="s">
        <v>918</v>
      </c>
      <c r="H38" s="67">
        <v>33.340000000000003</v>
      </c>
      <c r="I38" s="67">
        <v>45.44</v>
      </c>
      <c r="J38" s="68" t="s">
        <v>409</v>
      </c>
      <c r="K38" s="68"/>
      <c r="L38" s="8"/>
      <c r="M38" s="60" t="s">
        <v>98</v>
      </c>
      <c r="N38" s="49" t="s">
        <v>2</v>
      </c>
      <c r="O38" s="8"/>
      <c r="P38" s="8" t="s">
        <v>920</v>
      </c>
      <c r="Q38" s="8" t="s">
        <v>980</v>
      </c>
      <c r="R38" s="8">
        <v>0</v>
      </c>
      <c r="S38" s="8"/>
      <c r="T38" s="51"/>
      <c r="U38" s="8" t="b">
        <v>0</v>
      </c>
      <c r="V38" s="8" t="s">
        <v>981</v>
      </c>
      <c r="W38" s="8" t="s">
        <v>982</v>
      </c>
      <c r="X38" s="8">
        <v>277.32</v>
      </c>
      <c r="Y38" s="63" t="b">
        <v>0</v>
      </c>
      <c r="Z38" s="8"/>
      <c r="AA38" s="8"/>
      <c r="AB38" s="8"/>
      <c r="AC38" s="8"/>
      <c r="AD38" s="68"/>
      <c r="AE38" s="68"/>
      <c r="AF38" s="8"/>
      <c r="AG38" s="63" t="b">
        <v>0</v>
      </c>
      <c r="AH38" s="8">
        <v>0</v>
      </c>
      <c r="AI38" s="8" t="b">
        <v>0</v>
      </c>
      <c r="AJ38" s="8"/>
      <c r="AK38" s="8"/>
      <c r="AL38" s="63" t="b">
        <v>0</v>
      </c>
      <c r="AM38" s="8" t="b">
        <v>0</v>
      </c>
      <c r="AN38" s="8" t="b">
        <v>0</v>
      </c>
      <c r="AO38" s="8"/>
      <c r="AP38" s="54"/>
      <c r="AQ38" s="54"/>
      <c r="AR38" s="54" t="s">
        <v>1064</v>
      </c>
      <c r="AS38" s="8" t="s">
        <v>984</v>
      </c>
      <c r="AT38" s="8" t="s">
        <v>985</v>
      </c>
      <c r="AU38" s="8" t="b">
        <v>0</v>
      </c>
      <c r="AV38" s="6" t="b">
        <v>1</v>
      </c>
      <c r="AW38" s="8"/>
      <c r="AX38" s="8"/>
      <c r="AY38" s="8"/>
      <c r="AZ38" s="8" t="s">
        <v>919</v>
      </c>
      <c r="BA38" s="8" t="s">
        <v>919</v>
      </c>
      <c r="BB38" s="8">
        <v>40</v>
      </c>
      <c r="BC38" s="8">
        <v>4</v>
      </c>
      <c r="BD38" s="8" t="b">
        <v>0</v>
      </c>
      <c r="BE38" s="8" t="s">
        <v>93</v>
      </c>
      <c r="BF38" s="8">
        <v>0</v>
      </c>
      <c r="BG38" s="8">
        <v>2</v>
      </c>
      <c r="BH38" s="8">
        <v>8</v>
      </c>
      <c r="BI38" s="8" t="s">
        <v>986</v>
      </c>
      <c r="BJ38" s="8" t="b">
        <v>1</v>
      </c>
      <c r="BK38" s="8" t="b">
        <v>0</v>
      </c>
      <c r="BL38" s="8" t="b">
        <v>0</v>
      </c>
      <c r="BM38" s="8">
        <v>468</v>
      </c>
      <c r="BN38" s="8">
        <v>1723</v>
      </c>
      <c r="BO38" s="8"/>
      <c r="BP38" s="8" t="s">
        <v>1065</v>
      </c>
      <c r="BQ38" s="68">
        <v>2</v>
      </c>
      <c r="BR38" s="68" t="b">
        <v>0</v>
      </c>
      <c r="BS38" s="9" t="str">
        <f>IFERROR(HYPERLINK("#Main!A"&amp;MATCH(A38,Main!A:A,0),"Open"),HYPERLINK("#Main!A1","Open"))</f>
        <v>Open</v>
      </c>
      <c r="BT38" s="9"/>
    </row>
    <row r="39" spans="1:72" ht="30" customHeight="1" x14ac:dyDescent="0.25">
      <c r="A39" s="58" t="s">
        <v>417</v>
      </c>
      <c r="B39" s="6">
        <v>200</v>
      </c>
      <c r="C39" s="11" t="s">
        <v>991</v>
      </c>
      <c r="D39" s="66">
        <v>69</v>
      </c>
      <c r="E39" s="61" t="s">
        <v>67</v>
      </c>
      <c r="F39" s="11" t="s">
        <v>94</v>
      </c>
      <c r="G39" s="6" t="s">
        <v>918</v>
      </c>
      <c r="H39" s="69">
        <v>45.94</v>
      </c>
      <c r="I39" s="69">
        <v>56.74</v>
      </c>
      <c r="J39" s="70" t="s">
        <v>417</v>
      </c>
      <c r="K39" s="70"/>
      <c r="L39" s="11"/>
      <c r="M39" s="60" t="s">
        <v>98</v>
      </c>
      <c r="N39" s="49" t="s">
        <v>2</v>
      </c>
      <c r="O39" s="11"/>
      <c r="P39" s="11" t="s">
        <v>920</v>
      </c>
      <c r="Q39" s="11" t="s">
        <v>980</v>
      </c>
      <c r="R39" s="11">
        <v>0</v>
      </c>
      <c r="S39" s="11"/>
      <c r="T39" s="55"/>
      <c r="U39" s="11" t="b">
        <v>0</v>
      </c>
      <c r="V39" s="11" t="s">
        <v>981</v>
      </c>
      <c r="W39" s="11" t="s">
        <v>982</v>
      </c>
      <c r="X39" s="11">
        <v>385.9</v>
      </c>
      <c r="Y39" s="63" t="b">
        <v>0</v>
      </c>
      <c r="Z39" s="11"/>
      <c r="AA39" s="11"/>
      <c r="AB39" s="11"/>
      <c r="AC39" s="11"/>
      <c r="AD39" s="70"/>
      <c r="AE39" s="70"/>
      <c r="AF39" s="11"/>
      <c r="AG39" s="63" t="b">
        <v>0</v>
      </c>
      <c r="AH39" s="11">
        <v>0</v>
      </c>
      <c r="AI39" s="11" t="b">
        <v>0</v>
      </c>
      <c r="AJ39" s="11"/>
      <c r="AK39" s="11"/>
      <c r="AL39" s="63" t="b">
        <v>0</v>
      </c>
      <c r="AM39" s="11" t="b">
        <v>0</v>
      </c>
      <c r="AN39" s="11" t="b">
        <v>0</v>
      </c>
      <c r="AO39" s="11"/>
      <c r="AP39" s="56"/>
      <c r="AQ39" s="56"/>
      <c r="AR39" s="56" t="s">
        <v>1066</v>
      </c>
      <c r="AS39" s="11" t="s">
        <v>984</v>
      </c>
      <c r="AT39" s="11" t="s">
        <v>985</v>
      </c>
      <c r="AU39" s="11" t="b">
        <v>0</v>
      </c>
      <c r="AV39" s="6" t="b">
        <v>1</v>
      </c>
      <c r="AW39" s="11"/>
      <c r="AX39" s="11"/>
      <c r="AY39" s="11"/>
      <c r="AZ39" s="11" t="s">
        <v>919</v>
      </c>
      <c r="BA39" s="11" t="s">
        <v>919</v>
      </c>
      <c r="BB39" s="11">
        <v>40</v>
      </c>
      <c r="BC39" s="11">
        <v>4</v>
      </c>
      <c r="BD39" s="11" t="b">
        <v>0</v>
      </c>
      <c r="BE39" s="11" t="s">
        <v>93</v>
      </c>
      <c r="BF39" s="11">
        <v>0</v>
      </c>
      <c r="BG39" s="11">
        <v>1</v>
      </c>
      <c r="BH39" s="11">
        <v>7</v>
      </c>
      <c r="BI39" s="11" t="s">
        <v>986</v>
      </c>
      <c r="BJ39" s="11" t="b">
        <v>1</v>
      </c>
      <c r="BK39" s="11" t="b">
        <v>0</v>
      </c>
      <c r="BL39" s="11" t="b">
        <v>0</v>
      </c>
      <c r="BM39" s="11">
        <v>324</v>
      </c>
      <c r="BN39" s="11">
        <v>2306</v>
      </c>
      <c r="BO39" s="11"/>
      <c r="BP39" s="11" t="s">
        <v>1067</v>
      </c>
      <c r="BQ39" s="70">
        <v>2</v>
      </c>
      <c r="BR39" s="70" t="b">
        <v>0</v>
      </c>
      <c r="BS39" t="str">
        <f>IFERROR(HYPERLINK("#Main!A"&amp;MATCH(A39,Main!A:A,0),"Open"),HYPERLINK("#Main!A1","Open"))</f>
        <v>Open</v>
      </c>
    </row>
    <row r="40" spans="1:72" ht="30" customHeight="1" x14ac:dyDescent="0.25">
      <c r="A40" s="59" t="s">
        <v>425</v>
      </c>
      <c r="B40" s="6">
        <v>200</v>
      </c>
      <c r="C40" s="8" t="s">
        <v>991</v>
      </c>
      <c r="D40" s="66">
        <v>69</v>
      </c>
      <c r="E40" s="61" t="s">
        <v>67</v>
      </c>
      <c r="F40" s="8" t="s">
        <v>94</v>
      </c>
      <c r="G40" s="6" t="s">
        <v>918</v>
      </c>
      <c r="H40" s="67">
        <v>36.49</v>
      </c>
      <c r="I40" s="67">
        <v>54.36</v>
      </c>
      <c r="J40" s="68" t="s">
        <v>425</v>
      </c>
      <c r="K40" s="68"/>
      <c r="L40" s="8"/>
      <c r="M40" s="60" t="s">
        <v>98</v>
      </c>
      <c r="N40" s="49" t="s">
        <v>2</v>
      </c>
      <c r="O40" s="8"/>
      <c r="P40" s="8" t="s">
        <v>920</v>
      </c>
      <c r="Q40" s="8" t="s">
        <v>980</v>
      </c>
      <c r="R40" s="8">
        <v>0</v>
      </c>
      <c r="S40" s="8"/>
      <c r="T40" s="51"/>
      <c r="U40" s="8" t="b">
        <v>0</v>
      </c>
      <c r="V40" s="8" t="s">
        <v>981</v>
      </c>
      <c r="W40" s="8" t="s">
        <v>982</v>
      </c>
      <c r="X40" s="8">
        <v>456.21</v>
      </c>
      <c r="Y40" s="63" t="b">
        <v>0</v>
      </c>
      <c r="Z40" s="8"/>
      <c r="AA40" s="8"/>
      <c r="AB40" s="8"/>
      <c r="AC40" s="8"/>
      <c r="AD40" s="68"/>
      <c r="AE40" s="68"/>
      <c r="AF40" s="8"/>
      <c r="AG40" s="63" t="b">
        <v>0</v>
      </c>
      <c r="AH40" s="8">
        <v>0</v>
      </c>
      <c r="AI40" s="8" t="b">
        <v>0</v>
      </c>
      <c r="AJ40" s="8"/>
      <c r="AK40" s="8"/>
      <c r="AL40" s="63" t="b">
        <v>0</v>
      </c>
      <c r="AM40" s="8" t="b">
        <v>0</v>
      </c>
      <c r="AN40" s="8" t="b">
        <v>0</v>
      </c>
      <c r="AO40" s="8"/>
      <c r="AP40" s="54"/>
      <c r="AQ40" s="54"/>
      <c r="AR40" s="54" t="s">
        <v>1068</v>
      </c>
      <c r="AS40" s="8" t="s">
        <v>984</v>
      </c>
      <c r="AT40" s="8" t="s">
        <v>985</v>
      </c>
      <c r="AU40" s="8" t="b">
        <v>0</v>
      </c>
      <c r="AV40" s="6" t="b">
        <v>1</v>
      </c>
      <c r="AW40" s="8"/>
      <c r="AX40" s="8"/>
      <c r="AY40" s="8"/>
      <c r="AZ40" s="8" t="s">
        <v>919</v>
      </c>
      <c r="BA40" s="8" t="s">
        <v>919</v>
      </c>
      <c r="BB40" s="8">
        <v>100</v>
      </c>
      <c r="BC40" s="8">
        <v>17</v>
      </c>
      <c r="BD40" s="8" t="b">
        <v>0</v>
      </c>
      <c r="BE40" s="8" t="s">
        <v>93</v>
      </c>
      <c r="BF40" s="8">
        <v>0</v>
      </c>
      <c r="BG40" s="8">
        <v>1</v>
      </c>
      <c r="BH40" s="8">
        <v>7</v>
      </c>
      <c r="BI40" s="8" t="s">
        <v>986</v>
      </c>
      <c r="BJ40" s="8" t="b">
        <v>1</v>
      </c>
      <c r="BK40" s="8" t="b">
        <v>0</v>
      </c>
      <c r="BL40" s="8" t="b">
        <v>0</v>
      </c>
      <c r="BM40" s="8">
        <v>345</v>
      </c>
      <c r="BN40" s="8">
        <v>2380</v>
      </c>
      <c r="BO40" s="8"/>
      <c r="BP40" s="8" t="s">
        <v>1069</v>
      </c>
      <c r="BQ40" s="68">
        <v>2</v>
      </c>
      <c r="BR40" s="68" t="b">
        <v>0</v>
      </c>
      <c r="BS40" s="9" t="str">
        <f>IFERROR(HYPERLINK("#Main!A"&amp;MATCH(A40,Main!A:A,0),"Open"),HYPERLINK("#Main!A1","Open"))</f>
        <v>Open</v>
      </c>
      <c r="BT40" s="9"/>
    </row>
    <row r="41" spans="1:72" ht="30" customHeight="1" x14ac:dyDescent="0.25">
      <c r="A41" s="58" t="s">
        <v>436</v>
      </c>
      <c r="B41" s="6">
        <v>200</v>
      </c>
      <c r="C41" s="11" t="s">
        <v>991</v>
      </c>
      <c r="D41" s="66">
        <v>56</v>
      </c>
      <c r="E41" s="61" t="s">
        <v>67</v>
      </c>
      <c r="F41" s="11" t="s">
        <v>94</v>
      </c>
      <c r="G41" s="6" t="s">
        <v>918</v>
      </c>
      <c r="H41" s="69">
        <v>40.11</v>
      </c>
      <c r="I41" s="69">
        <v>51.63</v>
      </c>
      <c r="J41" s="70" t="s">
        <v>436</v>
      </c>
      <c r="K41" s="70"/>
      <c r="L41" s="11"/>
      <c r="M41" s="60" t="s">
        <v>98</v>
      </c>
      <c r="N41" s="49" t="s">
        <v>2</v>
      </c>
      <c r="O41" s="11"/>
      <c r="P41" s="11" t="s">
        <v>920</v>
      </c>
      <c r="Q41" s="11" t="s">
        <v>980</v>
      </c>
      <c r="R41" s="11">
        <v>0</v>
      </c>
      <c r="S41" s="11"/>
      <c r="T41" s="55"/>
      <c r="U41" s="11" t="b">
        <v>0</v>
      </c>
      <c r="V41" s="11" t="s">
        <v>981</v>
      </c>
      <c r="W41" s="11" t="s">
        <v>982</v>
      </c>
      <c r="X41" s="11">
        <v>250.43</v>
      </c>
      <c r="Y41" s="63" t="b">
        <v>0</v>
      </c>
      <c r="Z41" s="11"/>
      <c r="AA41" s="11"/>
      <c r="AB41" s="11"/>
      <c r="AC41" s="11"/>
      <c r="AD41" s="70"/>
      <c r="AE41" s="70"/>
      <c r="AF41" s="11"/>
      <c r="AG41" s="63" t="b">
        <v>0</v>
      </c>
      <c r="AH41" s="11">
        <v>0</v>
      </c>
      <c r="AI41" s="11" t="b">
        <v>0</v>
      </c>
      <c r="AJ41" s="11"/>
      <c r="AK41" s="11"/>
      <c r="AL41" s="63" t="b">
        <v>0</v>
      </c>
      <c r="AM41" s="11" t="b">
        <v>0</v>
      </c>
      <c r="AN41" s="11" t="b">
        <v>0</v>
      </c>
      <c r="AO41" s="11"/>
      <c r="AP41" s="56"/>
      <c r="AQ41" s="56"/>
      <c r="AR41" s="56" t="s">
        <v>1070</v>
      </c>
      <c r="AS41" s="11" t="s">
        <v>984</v>
      </c>
      <c r="AT41" s="11" t="s">
        <v>985</v>
      </c>
      <c r="AU41" s="11" t="b">
        <v>0</v>
      </c>
      <c r="AV41" s="6" t="b">
        <v>1</v>
      </c>
      <c r="AW41" s="11"/>
      <c r="AX41" s="11"/>
      <c r="AY41" s="11"/>
      <c r="AZ41" s="11" t="s">
        <v>919</v>
      </c>
      <c r="BA41" s="11" t="s">
        <v>919</v>
      </c>
      <c r="BB41" s="11">
        <v>40</v>
      </c>
      <c r="BC41" s="11">
        <v>4</v>
      </c>
      <c r="BD41" s="11" t="b">
        <v>0</v>
      </c>
      <c r="BE41" s="11" t="s">
        <v>93</v>
      </c>
      <c r="BF41" s="11">
        <v>0</v>
      </c>
      <c r="BG41" s="11">
        <v>2</v>
      </c>
      <c r="BH41" s="11">
        <v>8</v>
      </c>
      <c r="BI41" s="11" t="s">
        <v>986</v>
      </c>
      <c r="BJ41" s="11" t="b">
        <v>1</v>
      </c>
      <c r="BK41" s="11" t="b">
        <v>0</v>
      </c>
      <c r="BL41" s="11" t="b">
        <v>0</v>
      </c>
      <c r="BM41" s="11">
        <v>417</v>
      </c>
      <c r="BN41" s="11">
        <v>1395</v>
      </c>
      <c r="BO41" s="11"/>
      <c r="BP41" s="11" t="s">
        <v>1071</v>
      </c>
      <c r="BQ41" s="70">
        <v>2</v>
      </c>
      <c r="BR41" s="70" t="b">
        <v>0</v>
      </c>
      <c r="BS41" t="str">
        <f>IFERROR(HYPERLINK("#Main!A"&amp;MATCH(A41,Main!A:A,0),"Open"),HYPERLINK("#Main!A1","Open"))</f>
        <v>Open</v>
      </c>
    </row>
    <row r="42" spans="1:72" ht="30" customHeight="1" x14ac:dyDescent="0.25">
      <c r="A42" s="59" t="s">
        <v>444</v>
      </c>
      <c r="B42" s="6">
        <v>200</v>
      </c>
      <c r="C42" s="8" t="s">
        <v>991</v>
      </c>
      <c r="D42" s="66">
        <v>46</v>
      </c>
      <c r="E42" s="61" t="s">
        <v>67</v>
      </c>
      <c r="F42" s="8" t="s">
        <v>94</v>
      </c>
      <c r="G42" s="6" t="s">
        <v>918</v>
      </c>
      <c r="H42" s="67">
        <v>47.05</v>
      </c>
      <c r="I42" s="67">
        <v>56.51</v>
      </c>
      <c r="J42" s="68" t="s">
        <v>444</v>
      </c>
      <c r="K42" s="68"/>
      <c r="L42" s="8"/>
      <c r="M42" s="60" t="s">
        <v>98</v>
      </c>
      <c r="N42" s="49" t="s">
        <v>2</v>
      </c>
      <c r="O42" s="8"/>
      <c r="P42" s="8" t="s">
        <v>920</v>
      </c>
      <c r="Q42" s="8" t="s">
        <v>980</v>
      </c>
      <c r="R42" s="8">
        <v>0</v>
      </c>
      <c r="S42" s="8"/>
      <c r="T42" s="51"/>
      <c r="U42" s="8" t="b">
        <v>0</v>
      </c>
      <c r="V42" s="8" t="s">
        <v>981</v>
      </c>
      <c r="W42" s="8" t="s">
        <v>982</v>
      </c>
      <c r="X42" s="8">
        <v>231.24</v>
      </c>
      <c r="Y42" s="63" t="b">
        <v>0</v>
      </c>
      <c r="Z42" s="8"/>
      <c r="AA42" s="8"/>
      <c r="AB42" s="8"/>
      <c r="AC42" s="8"/>
      <c r="AD42" s="68"/>
      <c r="AE42" s="68"/>
      <c r="AF42" s="8"/>
      <c r="AG42" s="63" t="b">
        <v>0</v>
      </c>
      <c r="AH42" s="8">
        <v>0</v>
      </c>
      <c r="AI42" s="8" t="b">
        <v>0</v>
      </c>
      <c r="AJ42" s="8"/>
      <c r="AK42" s="8"/>
      <c r="AL42" s="63" t="b">
        <v>0</v>
      </c>
      <c r="AM42" s="8" t="b">
        <v>0</v>
      </c>
      <c r="AN42" s="8" t="b">
        <v>0</v>
      </c>
      <c r="AO42" s="8"/>
      <c r="AP42" s="54"/>
      <c r="AQ42" s="54"/>
      <c r="AR42" s="54" t="s">
        <v>1072</v>
      </c>
      <c r="AS42" s="8" t="s">
        <v>984</v>
      </c>
      <c r="AT42" s="8" t="s">
        <v>985</v>
      </c>
      <c r="AU42" s="8" t="b">
        <v>0</v>
      </c>
      <c r="AV42" s="6" t="b">
        <v>1</v>
      </c>
      <c r="AW42" s="8"/>
      <c r="AX42" s="8"/>
      <c r="AY42" s="8"/>
      <c r="AZ42" s="8" t="s">
        <v>919</v>
      </c>
      <c r="BA42" s="8" t="s">
        <v>919</v>
      </c>
      <c r="BB42" s="8">
        <v>30</v>
      </c>
      <c r="BC42" s="8">
        <v>3</v>
      </c>
      <c r="BD42" s="8" t="b">
        <v>0</v>
      </c>
      <c r="BE42" s="8" t="s">
        <v>93</v>
      </c>
      <c r="BF42" s="8">
        <v>0</v>
      </c>
      <c r="BG42" s="8">
        <v>3</v>
      </c>
      <c r="BH42" s="8">
        <v>8</v>
      </c>
      <c r="BI42" s="8" t="s">
        <v>986</v>
      </c>
      <c r="BJ42" s="8" t="b">
        <v>1</v>
      </c>
      <c r="BK42" s="8" t="b">
        <v>0</v>
      </c>
      <c r="BL42" s="8" t="b">
        <v>0</v>
      </c>
      <c r="BM42" s="8">
        <v>432</v>
      </c>
      <c r="BN42" s="8">
        <v>0</v>
      </c>
      <c r="BO42" s="8"/>
      <c r="BP42" s="8" t="s">
        <v>1073</v>
      </c>
      <c r="BQ42" s="68">
        <v>1</v>
      </c>
      <c r="BR42" s="68" t="b">
        <v>0</v>
      </c>
      <c r="BS42" s="9" t="str">
        <f>IFERROR(HYPERLINK("#Main!A"&amp;MATCH(A42,Main!A:A,0),"Open"),HYPERLINK("#Main!A1","Open"))</f>
        <v>Open</v>
      </c>
      <c r="BT42" s="9"/>
    </row>
    <row r="43" spans="1:72" ht="30" customHeight="1" x14ac:dyDescent="0.25">
      <c r="A43" s="58" t="s">
        <v>449</v>
      </c>
      <c r="B43" s="6">
        <v>200</v>
      </c>
      <c r="C43" s="11" t="s">
        <v>991</v>
      </c>
      <c r="D43" s="66">
        <v>56</v>
      </c>
      <c r="E43" s="61" t="s">
        <v>67</v>
      </c>
      <c r="F43" s="11" t="s">
        <v>94</v>
      </c>
      <c r="G43" s="6" t="s">
        <v>918</v>
      </c>
      <c r="H43" s="69">
        <v>31.3</v>
      </c>
      <c r="I43" s="69">
        <v>40.299999999999997</v>
      </c>
      <c r="J43" s="70" t="s">
        <v>449</v>
      </c>
      <c r="K43" s="70"/>
      <c r="L43" s="11"/>
      <c r="M43" s="60" t="s">
        <v>98</v>
      </c>
      <c r="N43" s="49" t="s">
        <v>2</v>
      </c>
      <c r="O43" s="11"/>
      <c r="P43" s="11" t="s">
        <v>920</v>
      </c>
      <c r="Q43" s="11" t="s">
        <v>980</v>
      </c>
      <c r="R43" s="11">
        <v>0</v>
      </c>
      <c r="S43" s="11"/>
      <c r="T43" s="55"/>
      <c r="U43" s="11" t="b">
        <v>0</v>
      </c>
      <c r="V43" s="11" t="s">
        <v>981</v>
      </c>
      <c r="W43" s="11" t="s">
        <v>982</v>
      </c>
      <c r="X43" s="11">
        <v>195.34</v>
      </c>
      <c r="Y43" s="63" t="b">
        <v>0</v>
      </c>
      <c r="Z43" s="11"/>
      <c r="AA43" s="11"/>
      <c r="AB43" s="11"/>
      <c r="AC43" s="11"/>
      <c r="AD43" s="70"/>
      <c r="AE43" s="70"/>
      <c r="AF43" s="11"/>
      <c r="AG43" s="63" t="b">
        <v>0</v>
      </c>
      <c r="AH43" s="11">
        <v>0</v>
      </c>
      <c r="AI43" s="11" t="b">
        <v>0</v>
      </c>
      <c r="AJ43" s="11"/>
      <c r="AK43" s="11"/>
      <c r="AL43" s="63" t="b">
        <v>0</v>
      </c>
      <c r="AM43" s="11" t="b">
        <v>0</v>
      </c>
      <c r="AN43" s="11" t="b">
        <v>0</v>
      </c>
      <c r="AO43" s="11"/>
      <c r="AP43" s="56"/>
      <c r="AQ43" s="56"/>
      <c r="AR43" s="56" t="s">
        <v>1074</v>
      </c>
      <c r="AS43" s="11" t="s">
        <v>984</v>
      </c>
      <c r="AT43" s="11" t="s">
        <v>985</v>
      </c>
      <c r="AU43" s="11" t="b">
        <v>0</v>
      </c>
      <c r="AV43" s="6" t="b">
        <v>1</v>
      </c>
      <c r="AW43" s="11"/>
      <c r="AX43" s="11"/>
      <c r="AY43" s="11"/>
      <c r="AZ43" s="11" t="s">
        <v>919</v>
      </c>
      <c r="BA43" s="11" t="s">
        <v>919</v>
      </c>
      <c r="BB43" s="11">
        <v>30</v>
      </c>
      <c r="BC43" s="11">
        <v>3</v>
      </c>
      <c r="BD43" s="11" t="b">
        <v>1</v>
      </c>
      <c r="BE43" s="11" t="s">
        <v>93</v>
      </c>
      <c r="BF43" s="11">
        <v>0</v>
      </c>
      <c r="BG43" s="11">
        <v>2</v>
      </c>
      <c r="BH43" s="11">
        <v>8</v>
      </c>
      <c r="BI43" s="11" t="s">
        <v>986</v>
      </c>
      <c r="BJ43" s="11" t="b">
        <v>1</v>
      </c>
      <c r="BK43" s="11" t="b">
        <v>0</v>
      </c>
      <c r="BL43" s="11" t="b">
        <v>0</v>
      </c>
      <c r="BM43" s="11">
        <v>439</v>
      </c>
      <c r="BN43" s="11">
        <v>725</v>
      </c>
      <c r="BO43" s="11"/>
      <c r="BP43" s="11" t="s">
        <v>1075</v>
      </c>
      <c r="BQ43" s="70">
        <v>1</v>
      </c>
      <c r="BR43" s="70" t="b">
        <v>0</v>
      </c>
      <c r="BS43" t="str">
        <f>IFERROR(HYPERLINK("#Main!A"&amp;MATCH(A43,Main!A:A,0),"Open"),HYPERLINK("#Main!A1","Open"))</f>
        <v>Open</v>
      </c>
    </row>
    <row r="44" spans="1:72" ht="30" customHeight="1" x14ac:dyDescent="0.25">
      <c r="A44" s="59" t="s">
        <v>457</v>
      </c>
      <c r="B44" s="6">
        <v>200</v>
      </c>
      <c r="C44" s="8" t="s">
        <v>991</v>
      </c>
      <c r="D44" s="66">
        <v>56</v>
      </c>
      <c r="E44" s="61" t="s">
        <v>67</v>
      </c>
      <c r="F44" s="8" t="s">
        <v>94</v>
      </c>
      <c r="G44" s="6" t="s">
        <v>918</v>
      </c>
      <c r="H44" s="67">
        <v>34.72</v>
      </c>
      <c r="I44" s="67">
        <v>48.58</v>
      </c>
      <c r="J44" s="68" t="s">
        <v>457</v>
      </c>
      <c r="K44" s="68"/>
      <c r="L44" s="8"/>
      <c r="M44" s="60" t="s">
        <v>98</v>
      </c>
      <c r="N44" s="49" t="s">
        <v>2</v>
      </c>
      <c r="O44" s="8"/>
      <c r="P44" s="8" t="s">
        <v>920</v>
      </c>
      <c r="Q44" s="8" t="s">
        <v>980</v>
      </c>
      <c r="R44" s="8">
        <v>0</v>
      </c>
      <c r="S44" s="8"/>
      <c r="T44" s="51"/>
      <c r="U44" s="8" t="b">
        <v>0</v>
      </c>
      <c r="V44" s="8" t="s">
        <v>981</v>
      </c>
      <c r="W44" s="8" t="s">
        <v>982</v>
      </c>
      <c r="X44" s="8">
        <v>272.12</v>
      </c>
      <c r="Y44" s="63" t="b">
        <v>0</v>
      </c>
      <c r="Z44" s="8"/>
      <c r="AA44" s="8"/>
      <c r="AB44" s="8"/>
      <c r="AC44" s="8"/>
      <c r="AD44" s="68"/>
      <c r="AE44" s="68"/>
      <c r="AF44" s="8"/>
      <c r="AG44" s="63" t="b">
        <v>0</v>
      </c>
      <c r="AH44" s="8">
        <v>0</v>
      </c>
      <c r="AI44" s="8" t="b">
        <v>0</v>
      </c>
      <c r="AJ44" s="8"/>
      <c r="AK44" s="8"/>
      <c r="AL44" s="63" t="b">
        <v>0</v>
      </c>
      <c r="AM44" s="8" t="b">
        <v>0</v>
      </c>
      <c r="AN44" s="8" t="b">
        <v>0</v>
      </c>
      <c r="AO44" s="8"/>
      <c r="AP44" s="54"/>
      <c r="AQ44" s="54"/>
      <c r="AR44" s="54" t="s">
        <v>1076</v>
      </c>
      <c r="AS44" s="8" t="s">
        <v>984</v>
      </c>
      <c r="AT44" s="8" t="s">
        <v>985</v>
      </c>
      <c r="AU44" s="8" t="b">
        <v>0</v>
      </c>
      <c r="AV44" s="6" t="b">
        <v>1</v>
      </c>
      <c r="AW44" s="8"/>
      <c r="AX44" s="8"/>
      <c r="AY44" s="8"/>
      <c r="AZ44" s="8" t="s">
        <v>919</v>
      </c>
      <c r="BA44" s="8" t="s">
        <v>919</v>
      </c>
      <c r="BB44" s="8">
        <v>30</v>
      </c>
      <c r="BC44" s="8">
        <v>3</v>
      </c>
      <c r="BD44" s="8" t="b">
        <v>0</v>
      </c>
      <c r="BE44" s="8" t="s">
        <v>93</v>
      </c>
      <c r="BF44" s="8">
        <v>0</v>
      </c>
      <c r="BG44" s="8">
        <v>2</v>
      </c>
      <c r="BH44" s="8">
        <v>8</v>
      </c>
      <c r="BI44" s="8" t="s">
        <v>986</v>
      </c>
      <c r="BJ44" s="8" t="b">
        <v>1</v>
      </c>
      <c r="BK44" s="8" t="b">
        <v>0</v>
      </c>
      <c r="BL44" s="8" t="b">
        <v>0</v>
      </c>
      <c r="BM44" s="8">
        <v>352</v>
      </c>
      <c r="BN44" s="8">
        <v>2213</v>
      </c>
      <c r="BO44" s="8"/>
      <c r="BP44" s="8" t="s">
        <v>1077</v>
      </c>
      <c r="BQ44" s="68">
        <v>1</v>
      </c>
      <c r="BR44" s="68" t="b">
        <v>0</v>
      </c>
      <c r="BS44" s="9" t="str">
        <f>IFERROR(HYPERLINK("#Main!A"&amp;MATCH(A44,Main!A:A,0),"Open"),HYPERLINK("#Main!A1","Open"))</f>
        <v>Open</v>
      </c>
      <c r="BT44" s="9"/>
    </row>
    <row r="45" spans="1:72" ht="30" customHeight="1" x14ac:dyDescent="0.25">
      <c r="A45" s="58" t="s">
        <v>465</v>
      </c>
      <c r="B45" s="6">
        <v>200</v>
      </c>
      <c r="C45" s="11" t="s">
        <v>991</v>
      </c>
      <c r="D45" s="66">
        <v>59</v>
      </c>
      <c r="E45" s="61" t="s">
        <v>67</v>
      </c>
      <c r="F45" s="11" t="s">
        <v>94</v>
      </c>
      <c r="G45" s="6" t="s">
        <v>918</v>
      </c>
      <c r="H45" s="69">
        <v>37.270000000000003</v>
      </c>
      <c r="I45" s="69">
        <v>50.78</v>
      </c>
      <c r="J45" s="70" t="s">
        <v>465</v>
      </c>
      <c r="K45" s="70"/>
      <c r="L45" s="11"/>
      <c r="M45" s="60" t="s">
        <v>98</v>
      </c>
      <c r="N45" s="49" t="s">
        <v>2</v>
      </c>
      <c r="O45" s="11"/>
      <c r="P45" s="11" t="s">
        <v>920</v>
      </c>
      <c r="Q45" s="11" t="s">
        <v>980</v>
      </c>
      <c r="R45" s="11">
        <v>0</v>
      </c>
      <c r="S45" s="11"/>
      <c r="T45" s="55"/>
      <c r="U45" s="11" t="b">
        <v>0</v>
      </c>
      <c r="V45" s="11" t="s">
        <v>981</v>
      </c>
      <c r="W45" s="11" t="s">
        <v>982</v>
      </c>
      <c r="X45" s="11">
        <v>314.42</v>
      </c>
      <c r="Y45" s="63" t="b">
        <v>0</v>
      </c>
      <c r="Z45" s="11"/>
      <c r="AA45" s="11"/>
      <c r="AB45" s="11"/>
      <c r="AC45" s="11"/>
      <c r="AD45" s="70"/>
      <c r="AE45" s="70"/>
      <c r="AF45" s="11"/>
      <c r="AG45" s="63" t="b">
        <v>0</v>
      </c>
      <c r="AH45" s="11">
        <v>0</v>
      </c>
      <c r="AI45" s="11" t="b">
        <v>0</v>
      </c>
      <c r="AJ45" s="11"/>
      <c r="AK45" s="11"/>
      <c r="AL45" s="63" t="b">
        <v>0</v>
      </c>
      <c r="AM45" s="11" t="b">
        <v>0</v>
      </c>
      <c r="AN45" s="11" t="b">
        <v>0</v>
      </c>
      <c r="AO45" s="11"/>
      <c r="AP45" s="56"/>
      <c r="AQ45" s="56"/>
      <c r="AR45" s="56" t="s">
        <v>1078</v>
      </c>
      <c r="AS45" s="11" t="s">
        <v>984</v>
      </c>
      <c r="AT45" s="11" t="s">
        <v>985</v>
      </c>
      <c r="AU45" s="11" t="b">
        <v>0</v>
      </c>
      <c r="AV45" s="6" t="b">
        <v>1</v>
      </c>
      <c r="AW45" s="11"/>
      <c r="AX45" s="11"/>
      <c r="AY45" s="11"/>
      <c r="AZ45" s="11" t="s">
        <v>919</v>
      </c>
      <c r="BA45" s="11" t="s">
        <v>919</v>
      </c>
      <c r="BB45" s="11">
        <v>70</v>
      </c>
      <c r="BC45" s="11">
        <v>5</v>
      </c>
      <c r="BD45" s="11" t="b">
        <v>0</v>
      </c>
      <c r="BE45" s="11" t="s">
        <v>93</v>
      </c>
      <c r="BF45" s="11">
        <v>0</v>
      </c>
      <c r="BG45" s="11">
        <v>2</v>
      </c>
      <c r="BH45" s="11">
        <v>7</v>
      </c>
      <c r="BI45" s="11" t="s">
        <v>986</v>
      </c>
      <c r="BJ45" s="11" t="b">
        <v>1</v>
      </c>
      <c r="BK45" s="11" t="b">
        <v>0</v>
      </c>
      <c r="BL45" s="11" t="b">
        <v>0</v>
      </c>
      <c r="BM45" s="11">
        <v>417</v>
      </c>
      <c r="BN45" s="11">
        <v>2207</v>
      </c>
      <c r="BO45" s="11"/>
      <c r="BP45" s="11" t="s">
        <v>1079</v>
      </c>
      <c r="BQ45" s="70">
        <v>1</v>
      </c>
      <c r="BR45" s="70" t="b">
        <v>0</v>
      </c>
      <c r="BS45" t="str">
        <f>IFERROR(HYPERLINK("#Main!A"&amp;MATCH(A45,Main!A:A,0),"Open"),HYPERLINK("#Main!A1","Open"))</f>
        <v>Open</v>
      </c>
    </row>
    <row r="46" spans="1:72" ht="30" customHeight="1" x14ac:dyDescent="0.25">
      <c r="A46" s="59" t="s">
        <v>473</v>
      </c>
      <c r="B46" s="6">
        <v>200</v>
      </c>
      <c r="C46" s="8" t="s">
        <v>991</v>
      </c>
      <c r="D46" s="66">
        <v>69</v>
      </c>
      <c r="E46" s="61" t="s">
        <v>67</v>
      </c>
      <c r="F46" s="8" t="s">
        <v>94</v>
      </c>
      <c r="G46" s="6" t="s">
        <v>918</v>
      </c>
      <c r="H46" s="67">
        <v>43.35</v>
      </c>
      <c r="I46" s="67">
        <v>60.81</v>
      </c>
      <c r="J46" s="68" t="s">
        <v>473</v>
      </c>
      <c r="K46" s="68"/>
      <c r="L46" s="8"/>
      <c r="M46" s="60" t="s">
        <v>98</v>
      </c>
      <c r="N46" s="49" t="s">
        <v>2</v>
      </c>
      <c r="O46" s="8"/>
      <c r="P46" s="8" t="s">
        <v>920</v>
      </c>
      <c r="Q46" s="8" t="s">
        <v>980</v>
      </c>
      <c r="R46" s="8">
        <v>0</v>
      </c>
      <c r="S46" s="8"/>
      <c r="T46" s="51"/>
      <c r="U46" s="8" t="b">
        <v>0</v>
      </c>
      <c r="V46" s="8" t="s">
        <v>981</v>
      </c>
      <c r="W46" s="8" t="s">
        <v>982</v>
      </c>
      <c r="X46" s="8">
        <v>349.95</v>
      </c>
      <c r="Y46" s="63" t="b">
        <v>0</v>
      </c>
      <c r="Z46" s="8"/>
      <c r="AA46" s="8"/>
      <c r="AB46" s="8"/>
      <c r="AC46" s="8"/>
      <c r="AD46" s="68"/>
      <c r="AE46" s="68"/>
      <c r="AF46" s="8"/>
      <c r="AG46" s="63" t="b">
        <v>0</v>
      </c>
      <c r="AH46" s="8">
        <v>0</v>
      </c>
      <c r="AI46" s="8" t="b">
        <v>0</v>
      </c>
      <c r="AJ46" s="8"/>
      <c r="AK46" s="8"/>
      <c r="AL46" s="63" t="b">
        <v>0</v>
      </c>
      <c r="AM46" s="8" t="b">
        <v>0</v>
      </c>
      <c r="AN46" s="8" t="b">
        <v>0</v>
      </c>
      <c r="AO46" s="8"/>
      <c r="AP46" s="54"/>
      <c r="AQ46" s="54"/>
      <c r="AR46" s="54" t="s">
        <v>1080</v>
      </c>
      <c r="AS46" s="8" t="s">
        <v>984</v>
      </c>
      <c r="AT46" s="8" t="s">
        <v>985</v>
      </c>
      <c r="AU46" s="8" t="b">
        <v>0</v>
      </c>
      <c r="AV46" s="6" t="b">
        <v>1</v>
      </c>
      <c r="AW46" s="8"/>
      <c r="AX46" s="8"/>
      <c r="AY46" s="8"/>
      <c r="AZ46" s="8" t="s">
        <v>919</v>
      </c>
      <c r="BA46" s="8" t="s">
        <v>919</v>
      </c>
      <c r="BB46" s="8">
        <v>100</v>
      </c>
      <c r="BC46" s="8">
        <v>16</v>
      </c>
      <c r="BD46" s="8" t="b">
        <v>1</v>
      </c>
      <c r="BE46" s="8" t="s">
        <v>93</v>
      </c>
      <c r="BF46" s="8">
        <v>0</v>
      </c>
      <c r="BG46" s="8">
        <v>1</v>
      </c>
      <c r="BH46" s="8">
        <v>7</v>
      </c>
      <c r="BI46" s="8" t="s">
        <v>986</v>
      </c>
      <c r="BJ46" s="8" t="b">
        <v>1</v>
      </c>
      <c r="BK46" s="8" t="b">
        <v>0</v>
      </c>
      <c r="BL46" s="8" t="b">
        <v>0</v>
      </c>
      <c r="BM46" s="8">
        <v>424</v>
      </c>
      <c r="BN46" s="8">
        <v>6677</v>
      </c>
      <c r="BO46" s="8"/>
      <c r="BP46" s="8" t="s">
        <v>1081</v>
      </c>
      <c r="BQ46" s="68">
        <v>1</v>
      </c>
      <c r="BR46" s="68" t="b">
        <v>0</v>
      </c>
      <c r="BS46" s="9" t="str">
        <f>IFERROR(HYPERLINK("#Main!A"&amp;MATCH(A46,Main!A:A,0),"Open"),HYPERLINK("#Main!A1","Open"))</f>
        <v>Open</v>
      </c>
      <c r="BT46" s="9"/>
    </row>
    <row r="47" spans="1:72" ht="30" customHeight="1" x14ac:dyDescent="0.25">
      <c r="A47" s="58" t="s">
        <v>481</v>
      </c>
      <c r="B47" s="6">
        <v>200</v>
      </c>
      <c r="C47" s="11" t="s">
        <v>991</v>
      </c>
      <c r="D47" s="66">
        <v>69</v>
      </c>
      <c r="E47" s="61" t="s">
        <v>67</v>
      </c>
      <c r="F47" s="11" t="s">
        <v>94</v>
      </c>
      <c r="G47" s="6" t="s">
        <v>918</v>
      </c>
      <c r="H47" s="69">
        <v>47.4</v>
      </c>
      <c r="I47" s="69">
        <v>62.87</v>
      </c>
      <c r="J47" s="70" t="s">
        <v>481</v>
      </c>
      <c r="K47" s="70"/>
      <c r="L47" s="11"/>
      <c r="M47" s="60" t="s">
        <v>98</v>
      </c>
      <c r="N47" s="49" t="s">
        <v>2</v>
      </c>
      <c r="O47" s="11"/>
      <c r="P47" s="11" t="s">
        <v>920</v>
      </c>
      <c r="Q47" s="11" t="s">
        <v>980</v>
      </c>
      <c r="R47" s="11">
        <v>0</v>
      </c>
      <c r="S47" s="11"/>
      <c r="T47" s="55"/>
      <c r="U47" s="11" t="b">
        <v>0</v>
      </c>
      <c r="V47" s="11" t="s">
        <v>981</v>
      </c>
      <c r="W47" s="11" t="s">
        <v>982</v>
      </c>
      <c r="X47" s="11">
        <v>444.59</v>
      </c>
      <c r="Y47" s="63" t="b">
        <v>0</v>
      </c>
      <c r="Z47" s="11"/>
      <c r="AA47" s="11"/>
      <c r="AB47" s="11"/>
      <c r="AC47" s="11"/>
      <c r="AD47" s="70"/>
      <c r="AE47" s="70"/>
      <c r="AF47" s="11"/>
      <c r="AG47" s="63" t="b">
        <v>0</v>
      </c>
      <c r="AH47" s="11">
        <v>0</v>
      </c>
      <c r="AI47" s="11" t="b">
        <v>0</v>
      </c>
      <c r="AJ47" s="11"/>
      <c r="AK47" s="11"/>
      <c r="AL47" s="63" t="b">
        <v>0</v>
      </c>
      <c r="AM47" s="11" t="b">
        <v>0</v>
      </c>
      <c r="AN47" s="11" t="b">
        <v>0</v>
      </c>
      <c r="AO47" s="11"/>
      <c r="AP47" s="56"/>
      <c r="AQ47" s="56"/>
      <c r="AR47" s="56" t="s">
        <v>1082</v>
      </c>
      <c r="AS47" s="11" t="s">
        <v>984</v>
      </c>
      <c r="AT47" s="11" t="s">
        <v>985</v>
      </c>
      <c r="AU47" s="11" t="b">
        <v>0</v>
      </c>
      <c r="AV47" s="6" t="b">
        <v>1</v>
      </c>
      <c r="AW47" s="11"/>
      <c r="AX47" s="11"/>
      <c r="AY47" s="11"/>
      <c r="AZ47" s="11" t="s">
        <v>919</v>
      </c>
      <c r="BA47" s="11" t="s">
        <v>919</v>
      </c>
      <c r="BB47" s="11">
        <v>100</v>
      </c>
      <c r="BC47" s="11">
        <v>16</v>
      </c>
      <c r="BD47" s="11" t="b">
        <v>0</v>
      </c>
      <c r="BE47" s="11" t="s">
        <v>93</v>
      </c>
      <c r="BF47" s="11">
        <v>0</v>
      </c>
      <c r="BG47" s="11">
        <v>1</v>
      </c>
      <c r="BH47" s="11">
        <v>7</v>
      </c>
      <c r="BI47" s="11" t="s">
        <v>986</v>
      </c>
      <c r="BJ47" s="11" t="b">
        <v>1</v>
      </c>
      <c r="BK47" s="11" t="b">
        <v>0</v>
      </c>
      <c r="BL47" s="11" t="b">
        <v>0</v>
      </c>
      <c r="BM47" s="11">
        <v>338</v>
      </c>
      <c r="BN47" s="11">
        <v>998</v>
      </c>
      <c r="BO47" s="11"/>
      <c r="BP47" s="11" t="s">
        <v>1083</v>
      </c>
      <c r="BQ47" s="70">
        <v>1</v>
      </c>
      <c r="BR47" s="70" t="b">
        <v>0</v>
      </c>
      <c r="BS47" t="str">
        <f>IFERROR(HYPERLINK("#Main!A"&amp;MATCH(A47,Main!A:A,0),"Open"),HYPERLINK("#Main!A1","Open"))</f>
        <v>Open</v>
      </c>
    </row>
    <row r="48" spans="1:72" ht="30" customHeight="1" x14ac:dyDescent="0.25">
      <c r="A48" s="59" t="s">
        <v>489</v>
      </c>
      <c r="B48" s="6">
        <v>200</v>
      </c>
      <c r="C48" s="8" t="s">
        <v>991</v>
      </c>
      <c r="D48" s="66">
        <v>69</v>
      </c>
      <c r="E48" s="61" t="s">
        <v>67</v>
      </c>
      <c r="F48" s="8" t="s">
        <v>94</v>
      </c>
      <c r="G48" s="6" t="s">
        <v>918</v>
      </c>
      <c r="H48" s="67">
        <v>36.82</v>
      </c>
      <c r="I48" s="67">
        <v>55.37</v>
      </c>
      <c r="J48" s="68" t="s">
        <v>489</v>
      </c>
      <c r="K48" s="68"/>
      <c r="L48" s="8"/>
      <c r="M48" s="60" t="s">
        <v>98</v>
      </c>
      <c r="N48" s="49" t="s">
        <v>2</v>
      </c>
      <c r="O48" s="8"/>
      <c r="P48" s="8" t="s">
        <v>920</v>
      </c>
      <c r="Q48" s="8" t="s">
        <v>980</v>
      </c>
      <c r="R48" s="8">
        <v>0</v>
      </c>
      <c r="S48" s="8"/>
      <c r="T48" s="51"/>
      <c r="U48" s="8" t="b">
        <v>0</v>
      </c>
      <c r="V48" s="8" t="s">
        <v>981</v>
      </c>
      <c r="W48" s="8" t="s">
        <v>982</v>
      </c>
      <c r="X48" s="8">
        <v>351.39</v>
      </c>
      <c r="Y48" s="63" t="b">
        <v>0</v>
      </c>
      <c r="Z48" s="8"/>
      <c r="AA48" s="8"/>
      <c r="AB48" s="8"/>
      <c r="AC48" s="8"/>
      <c r="AD48" s="68"/>
      <c r="AE48" s="68"/>
      <c r="AF48" s="8"/>
      <c r="AG48" s="63" t="b">
        <v>0</v>
      </c>
      <c r="AH48" s="8">
        <v>0</v>
      </c>
      <c r="AI48" s="8" t="b">
        <v>0</v>
      </c>
      <c r="AJ48" s="8"/>
      <c r="AK48" s="8"/>
      <c r="AL48" s="63" t="b">
        <v>0</v>
      </c>
      <c r="AM48" s="8" t="b">
        <v>0</v>
      </c>
      <c r="AN48" s="8" t="b">
        <v>0</v>
      </c>
      <c r="AO48" s="8"/>
      <c r="AP48" s="54"/>
      <c r="AQ48" s="54"/>
      <c r="AR48" s="54" t="s">
        <v>1084</v>
      </c>
      <c r="AS48" s="8" t="s">
        <v>984</v>
      </c>
      <c r="AT48" s="8" t="s">
        <v>985</v>
      </c>
      <c r="AU48" s="8" t="b">
        <v>0</v>
      </c>
      <c r="AV48" s="6" t="b">
        <v>1</v>
      </c>
      <c r="AW48" s="8"/>
      <c r="AX48" s="8"/>
      <c r="AY48" s="8"/>
      <c r="AZ48" s="8" t="s">
        <v>919</v>
      </c>
      <c r="BA48" s="8" t="s">
        <v>919</v>
      </c>
      <c r="BB48" s="8">
        <v>100</v>
      </c>
      <c r="BC48" s="8">
        <v>16</v>
      </c>
      <c r="BD48" s="8" t="b">
        <v>1</v>
      </c>
      <c r="BE48" s="8" t="s">
        <v>93</v>
      </c>
      <c r="BF48" s="8">
        <v>0</v>
      </c>
      <c r="BG48" s="8">
        <v>1</v>
      </c>
      <c r="BH48" s="8">
        <v>7</v>
      </c>
      <c r="BI48" s="8" t="s">
        <v>986</v>
      </c>
      <c r="BJ48" s="8" t="b">
        <v>1</v>
      </c>
      <c r="BK48" s="8" t="b">
        <v>0</v>
      </c>
      <c r="BL48" s="8" t="b">
        <v>0</v>
      </c>
      <c r="BM48" s="8">
        <v>410</v>
      </c>
      <c r="BN48" s="8">
        <v>2331</v>
      </c>
      <c r="BO48" s="8"/>
      <c r="BP48" s="8" t="s">
        <v>1085</v>
      </c>
      <c r="BQ48" s="68">
        <v>1</v>
      </c>
      <c r="BR48" s="68" t="b">
        <v>0</v>
      </c>
      <c r="BS48" s="9" t="str">
        <f>IFERROR(HYPERLINK("#Main!A"&amp;MATCH(A48,Main!A:A,0),"Open"),HYPERLINK("#Main!A1","Open"))</f>
        <v>Open</v>
      </c>
      <c r="BT48" s="9"/>
    </row>
    <row r="49" spans="1:72" ht="30" customHeight="1" x14ac:dyDescent="0.25">
      <c r="A49" s="58" t="s">
        <v>497</v>
      </c>
      <c r="B49" s="6">
        <v>200</v>
      </c>
      <c r="C49" s="11" t="s">
        <v>991</v>
      </c>
      <c r="D49" s="66">
        <v>59</v>
      </c>
      <c r="E49" s="61" t="s">
        <v>67</v>
      </c>
      <c r="F49" s="11" t="s">
        <v>94</v>
      </c>
      <c r="G49" s="6" t="s">
        <v>918</v>
      </c>
      <c r="H49" s="69">
        <v>50.76</v>
      </c>
      <c r="I49" s="69">
        <v>60.75</v>
      </c>
      <c r="J49" s="70" t="s">
        <v>497</v>
      </c>
      <c r="K49" s="70"/>
      <c r="L49" s="11"/>
      <c r="M49" s="60" t="s">
        <v>98</v>
      </c>
      <c r="N49" s="49" t="s">
        <v>2</v>
      </c>
      <c r="O49" s="11"/>
      <c r="P49" s="11" t="s">
        <v>920</v>
      </c>
      <c r="Q49" s="11" t="s">
        <v>980</v>
      </c>
      <c r="R49" s="11">
        <v>0</v>
      </c>
      <c r="S49" s="11"/>
      <c r="T49" s="55"/>
      <c r="U49" s="11" t="b">
        <v>0</v>
      </c>
      <c r="V49" s="11" t="s">
        <v>981</v>
      </c>
      <c r="W49" s="11" t="s">
        <v>982</v>
      </c>
      <c r="X49" s="11">
        <v>457.26</v>
      </c>
      <c r="Y49" s="63" t="b">
        <v>0</v>
      </c>
      <c r="Z49" s="11"/>
      <c r="AA49" s="11"/>
      <c r="AB49" s="11"/>
      <c r="AC49" s="11"/>
      <c r="AD49" s="70"/>
      <c r="AE49" s="70"/>
      <c r="AF49" s="11"/>
      <c r="AG49" s="63" t="b">
        <v>0</v>
      </c>
      <c r="AH49" s="11">
        <v>0</v>
      </c>
      <c r="AI49" s="11" t="b">
        <v>0</v>
      </c>
      <c r="AJ49" s="11"/>
      <c r="AK49" s="11"/>
      <c r="AL49" s="63" t="b">
        <v>0</v>
      </c>
      <c r="AM49" s="11" t="b">
        <v>0</v>
      </c>
      <c r="AN49" s="11" t="b">
        <v>0</v>
      </c>
      <c r="AO49" s="11"/>
      <c r="AP49" s="56"/>
      <c r="AQ49" s="56"/>
      <c r="AR49" s="56" t="s">
        <v>1086</v>
      </c>
      <c r="AS49" s="11" t="s">
        <v>984</v>
      </c>
      <c r="AT49" s="11" t="s">
        <v>985</v>
      </c>
      <c r="AU49" s="11" t="b">
        <v>0</v>
      </c>
      <c r="AV49" s="6" t="b">
        <v>1</v>
      </c>
      <c r="AW49" s="11"/>
      <c r="AX49" s="11"/>
      <c r="AY49" s="11"/>
      <c r="AZ49" s="11" t="s">
        <v>919</v>
      </c>
      <c r="BA49" s="11" t="s">
        <v>919</v>
      </c>
      <c r="BB49" s="11">
        <v>100</v>
      </c>
      <c r="BC49" s="11">
        <v>16</v>
      </c>
      <c r="BD49" s="11" t="b">
        <v>0</v>
      </c>
      <c r="BE49" s="11" t="s">
        <v>93</v>
      </c>
      <c r="BF49" s="11">
        <v>0</v>
      </c>
      <c r="BG49" s="11">
        <v>2</v>
      </c>
      <c r="BH49" s="11">
        <v>7</v>
      </c>
      <c r="BI49" s="11" t="s">
        <v>986</v>
      </c>
      <c r="BJ49" s="11" t="b">
        <v>1</v>
      </c>
      <c r="BK49" s="11" t="b">
        <v>0</v>
      </c>
      <c r="BL49" s="11" t="b">
        <v>0</v>
      </c>
      <c r="BM49" s="11">
        <v>367</v>
      </c>
      <c r="BN49" s="11">
        <v>967</v>
      </c>
      <c r="BO49" s="11" t="s">
        <v>1087</v>
      </c>
      <c r="BP49" s="11" t="s">
        <v>1088</v>
      </c>
      <c r="BQ49" s="70">
        <v>1</v>
      </c>
      <c r="BR49" s="70" t="b">
        <v>0</v>
      </c>
      <c r="BS49" t="str">
        <f>IFERROR(HYPERLINK("#Main!A"&amp;MATCH(A49,Main!A:A,0),"Open"),HYPERLINK("#Main!A1","Open"))</f>
        <v>Open</v>
      </c>
    </row>
    <row r="50" spans="1:72" ht="30" customHeight="1" x14ac:dyDescent="0.25">
      <c r="A50" s="59" t="s">
        <v>505</v>
      </c>
      <c r="B50" s="6">
        <v>200</v>
      </c>
      <c r="C50" s="8" t="s">
        <v>991</v>
      </c>
      <c r="D50" s="66">
        <v>59</v>
      </c>
      <c r="E50" s="61" t="s">
        <v>67</v>
      </c>
      <c r="F50" s="8" t="s">
        <v>94</v>
      </c>
      <c r="G50" s="6" t="s">
        <v>918</v>
      </c>
      <c r="H50" s="67">
        <v>37.75</v>
      </c>
      <c r="I50" s="67">
        <v>56.77</v>
      </c>
      <c r="J50" s="68" t="s">
        <v>505</v>
      </c>
      <c r="K50" s="68"/>
      <c r="L50" s="8"/>
      <c r="M50" s="60" t="s">
        <v>98</v>
      </c>
      <c r="N50" s="49" t="s">
        <v>2</v>
      </c>
      <c r="O50" s="8"/>
      <c r="P50" s="8" t="s">
        <v>920</v>
      </c>
      <c r="Q50" s="8" t="s">
        <v>980</v>
      </c>
      <c r="R50" s="8">
        <v>0</v>
      </c>
      <c r="S50" s="8"/>
      <c r="T50" s="51"/>
      <c r="U50" s="8" t="b">
        <v>0</v>
      </c>
      <c r="V50" s="8" t="s">
        <v>981</v>
      </c>
      <c r="W50" s="8" t="s">
        <v>982</v>
      </c>
      <c r="X50" s="8">
        <v>503.04</v>
      </c>
      <c r="Y50" s="63" t="b">
        <v>0</v>
      </c>
      <c r="Z50" s="8"/>
      <c r="AA50" s="8"/>
      <c r="AB50" s="8"/>
      <c r="AC50" s="8"/>
      <c r="AD50" s="68"/>
      <c r="AE50" s="68"/>
      <c r="AF50" s="8"/>
      <c r="AG50" s="63" t="b">
        <v>0</v>
      </c>
      <c r="AH50" s="8">
        <v>0</v>
      </c>
      <c r="AI50" s="8" t="b">
        <v>0</v>
      </c>
      <c r="AJ50" s="8"/>
      <c r="AK50" s="8"/>
      <c r="AL50" s="63" t="b">
        <v>0</v>
      </c>
      <c r="AM50" s="8" t="b">
        <v>0</v>
      </c>
      <c r="AN50" s="8" t="b">
        <v>0</v>
      </c>
      <c r="AO50" s="8"/>
      <c r="AP50" s="54"/>
      <c r="AQ50" s="54"/>
      <c r="AR50" s="54" t="s">
        <v>1089</v>
      </c>
      <c r="AS50" s="8" t="s">
        <v>984</v>
      </c>
      <c r="AT50" s="8" t="s">
        <v>985</v>
      </c>
      <c r="AU50" s="8" t="b">
        <v>0</v>
      </c>
      <c r="AV50" s="6" t="b">
        <v>1</v>
      </c>
      <c r="AW50" s="8"/>
      <c r="AX50" s="8"/>
      <c r="AY50" s="8"/>
      <c r="AZ50" s="8" t="s">
        <v>919</v>
      </c>
      <c r="BA50" s="8" t="s">
        <v>919</v>
      </c>
      <c r="BB50" s="8">
        <v>100</v>
      </c>
      <c r="BC50" s="8">
        <v>16</v>
      </c>
      <c r="BD50" s="8" t="b">
        <v>0</v>
      </c>
      <c r="BE50" s="8" t="s">
        <v>93</v>
      </c>
      <c r="BF50" s="8">
        <v>0</v>
      </c>
      <c r="BG50" s="8">
        <v>2</v>
      </c>
      <c r="BH50" s="8">
        <v>7</v>
      </c>
      <c r="BI50" s="8" t="s">
        <v>986</v>
      </c>
      <c r="BJ50" s="8" t="b">
        <v>1</v>
      </c>
      <c r="BK50" s="8" t="b">
        <v>0</v>
      </c>
      <c r="BL50" s="8" t="b">
        <v>0</v>
      </c>
      <c r="BM50" s="8">
        <v>360</v>
      </c>
      <c r="BN50" s="8">
        <v>3261</v>
      </c>
      <c r="BO50" s="8"/>
      <c r="BP50" s="8" t="s">
        <v>1090</v>
      </c>
      <c r="BQ50" s="68">
        <v>1</v>
      </c>
      <c r="BR50" s="68" t="b">
        <v>0</v>
      </c>
      <c r="BS50" s="9" t="str">
        <f>IFERROR(HYPERLINK("#Main!A"&amp;MATCH(A50,Main!A:A,0),"Open"),HYPERLINK("#Main!A1","Open"))</f>
        <v>Open</v>
      </c>
      <c r="BT50" s="9"/>
    </row>
    <row r="51" spans="1:72" ht="30" customHeight="1" x14ac:dyDescent="0.25">
      <c r="A51" s="58" t="s">
        <v>512</v>
      </c>
      <c r="B51" s="6">
        <v>200</v>
      </c>
      <c r="C51" s="11" t="s">
        <v>991</v>
      </c>
      <c r="D51" s="66">
        <v>59</v>
      </c>
      <c r="E51" s="61" t="s">
        <v>67</v>
      </c>
      <c r="F51" s="11" t="s">
        <v>94</v>
      </c>
      <c r="G51" s="6" t="s">
        <v>918</v>
      </c>
      <c r="H51" s="69">
        <v>54.96</v>
      </c>
      <c r="I51" s="69">
        <v>93.5</v>
      </c>
      <c r="J51" s="70" t="s">
        <v>512</v>
      </c>
      <c r="K51" s="70"/>
      <c r="L51" s="11"/>
      <c r="M51" s="60" t="s">
        <v>98</v>
      </c>
      <c r="N51" s="49" t="s">
        <v>2</v>
      </c>
      <c r="O51" s="11"/>
      <c r="P51" s="11" t="s">
        <v>920</v>
      </c>
      <c r="Q51" s="11" t="s">
        <v>980</v>
      </c>
      <c r="R51" s="11">
        <v>0</v>
      </c>
      <c r="S51" s="11"/>
      <c r="T51" s="55"/>
      <c r="U51" s="11" t="b">
        <v>0</v>
      </c>
      <c r="V51" s="11" t="s">
        <v>981</v>
      </c>
      <c r="W51" s="11" t="s">
        <v>982</v>
      </c>
      <c r="X51" s="11">
        <v>472.12</v>
      </c>
      <c r="Y51" s="63" t="b">
        <v>0</v>
      </c>
      <c r="Z51" s="11"/>
      <c r="AA51" s="11"/>
      <c r="AB51" s="11"/>
      <c r="AC51" s="11"/>
      <c r="AD51" s="70"/>
      <c r="AE51" s="70"/>
      <c r="AF51" s="11"/>
      <c r="AG51" s="63" t="b">
        <v>0</v>
      </c>
      <c r="AH51" s="11">
        <v>0</v>
      </c>
      <c r="AI51" s="11" t="b">
        <v>0</v>
      </c>
      <c r="AJ51" s="11"/>
      <c r="AK51" s="11"/>
      <c r="AL51" s="63" t="b">
        <v>0</v>
      </c>
      <c r="AM51" s="11" t="b">
        <v>0</v>
      </c>
      <c r="AN51" s="11" t="b">
        <v>0</v>
      </c>
      <c r="AO51" s="11"/>
      <c r="AP51" s="56"/>
      <c r="AQ51" s="56"/>
      <c r="AR51" s="56" t="s">
        <v>1091</v>
      </c>
      <c r="AS51" s="11" t="s">
        <v>984</v>
      </c>
      <c r="AT51" s="11" t="s">
        <v>985</v>
      </c>
      <c r="AU51" s="11" t="b">
        <v>0</v>
      </c>
      <c r="AV51" s="6" t="b">
        <v>1</v>
      </c>
      <c r="AW51" s="11"/>
      <c r="AX51" s="11"/>
      <c r="AY51" s="11"/>
      <c r="AZ51" s="11" t="s">
        <v>919</v>
      </c>
      <c r="BA51" s="11" t="s">
        <v>919</v>
      </c>
      <c r="BB51" s="11">
        <v>100</v>
      </c>
      <c r="BC51" s="11">
        <v>16</v>
      </c>
      <c r="BD51" s="11" t="b">
        <v>0</v>
      </c>
      <c r="BE51" s="11" t="s">
        <v>93</v>
      </c>
      <c r="BF51" s="11">
        <v>0</v>
      </c>
      <c r="BG51" s="11">
        <v>2</v>
      </c>
      <c r="BH51" s="11">
        <v>7</v>
      </c>
      <c r="BI51" s="11" t="s">
        <v>986</v>
      </c>
      <c r="BJ51" s="11" t="b">
        <v>1</v>
      </c>
      <c r="BK51" s="11" t="b">
        <v>0</v>
      </c>
      <c r="BL51" s="11" t="b">
        <v>0</v>
      </c>
      <c r="BM51" s="11">
        <v>352</v>
      </c>
      <c r="BN51" s="11">
        <v>967</v>
      </c>
      <c r="BO51" s="11" t="s">
        <v>1087</v>
      </c>
      <c r="BP51" s="11" t="s">
        <v>1092</v>
      </c>
      <c r="BQ51" s="70">
        <v>1</v>
      </c>
      <c r="BR51" s="70" t="b">
        <v>0</v>
      </c>
      <c r="BS51" t="str">
        <f>IFERROR(HYPERLINK("#Main!A"&amp;MATCH(A51,Main!A:A,0),"Open"),HYPERLINK("#Main!A1","Open"))</f>
        <v>Open</v>
      </c>
    </row>
    <row r="52" spans="1:72" ht="30" customHeight="1" x14ac:dyDescent="0.25">
      <c r="A52" s="59" t="s">
        <v>519</v>
      </c>
      <c r="B52" s="6">
        <v>200</v>
      </c>
      <c r="C52" s="8" t="s">
        <v>991</v>
      </c>
      <c r="D52" s="66">
        <v>59</v>
      </c>
      <c r="E52" s="61" t="s">
        <v>67</v>
      </c>
      <c r="F52" s="8" t="s">
        <v>94</v>
      </c>
      <c r="G52" s="6" t="s">
        <v>918</v>
      </c>
      <c r="H52" s="67">
        <v>57.98</v>
      </c>
      <c r="I52" s="67">
        <v>75.489999999999995</v>
      </c>
      <c r="J52" s="68" t="s">
        <v>519</v>
      </c>
      <c r="K52" s="68"/>
      <c r="L52" s="8"/>
      <c r="M52" s="60" t="s">
        <v>98</v>
      </c>
      <c r="N52" s="49" t="s">
        <v>2</v>
      </c>
      <c r="O52" s="8"/>
      <c r="P52" s="8" t="s">
        <v>920</v>
      </c>
      <c r="Q52" s="8" t="s">
        <v>980</v>
      </c>
      <c r="R52" s="8">
        <v>0</v>
      </c>
      <c r="S52" s="8"/>
      <c r="T52" s="51"/>
      <c r="U52" s="8" t="b">
        <v>0</v>
      </c>
      <c r="V52" s="8" t="s">
        <v>981</v>
      </c>
      <c r="W52" s="8" t="s">
        <v>982</v>
      </c>
      <c r="X52" s="8">
        <v>437.06</v>
      </c>
      <c r="Y52" s="63" t="b">
        <v>0</v>
      </c>
      <c r="Z52" s="8"/>
      <c r="AA52" s="8"/>
      <c r="AB52" s="8"/>
      <c r="AC52" s="8"/>
      <c r="AD52" s="68"/>
      <c r="AE52" s="68"/>
      <c r="AF52" s="8"/>
      <c r="AG52" s="63" t="b">
        <v>0</v>
      </c>
      <c r="AH52" s="8">
        <v>0</v>
      </c>
      <c r="AI52" s="8" t="b">
        <v>0</v>
      </c>
      <c r="AJ52" s="8"/>
      <c r="AK52" s="8"/>
      <c r="AL52" s="63" t="b">
        <v>0</v>
      </c>
      <c r="AM52" s="8" t="b">
        <v>0</v>
      </c>
      <c r="AN52" s="8" t="b">
        <v>0</v>
      </c>
      <c r="AO52" s="8"/>
      <c r="AP52" s="54"/>
      <c r="AQ52" s="54"/>
      <c r="AR52" s="54" t="s">
        <v>1093</v>
      </c>
      <c r="AS52" s="8" t="s">
        <v>984</v>
      </c>
      <c r="AT52" s="8" t="s">
        <v>985</v>
      </c>
      <c r="AU52" s="8" t="b">
        <v>0</v>
      </c>
      <c r="AV52" s="6" t="b">
        <v>1</v>
      </c>
      <c r="AW52" s="8"/>
      <c r="AX52" s="8"/>
      <c r="AY52" s="8"/>
      <c r="AZ52" s="8" t="s">
        <v>919</v>
      </c>
      <c r="BA52" s="8" t="s">
        <v>919</v>
      </c>
      <c r="BB52" s="8">
        <v>100</v>
      </c>
      <c r="BC52" s="8">
        <v>16</v>
      </c>
      <c r="BD52" s="8" t="b">
        <v>0</v>
      </c>
      <c r="BE52" s="8" t="s">
        <v>93</v>
      </c>
      <c r="BF52" s="8">
        <v>0</v>
      </c>
      <c r="BG52" s="8">
        <v>2</v>
      </c>
      <c r="BH52" s="8">
        <v>7</v>
      </c>
      <c r="BI52" s="8" t="s">
        <v>986</v>
      </c>
      <c r="BJ52" s="8" t="b">
        <v>1</v>
      </c>
      <c r="BK52" s="8" t="b">
        <v>0</v>
      </c>
      <c r="BL52" s="8" t="b">
        <v>0</v>
      </c>
      <c r="BM52" s="8">
        <v>532</v>
      </c>
      <c r="BN52" s="8">
        <v>2480</v>
      </c>
      <c r="BO52" s="8"/>
      <c r="BP52" s="8" t="s">
        <v>1094</v>
      </c>
      <c r="BQ52" s="68">
        <v>1</v>
      </c>
      <c r="BR52" s="68" t="b">
        <v>0</v>
      </c>
      <c r="BS52" s="9" t="str">
        <f>IFERROR(HYPERLINK("#Main!A"&amp;MATCH(A52,Main!A:A,0),"Open"),HYPERLINK("#Main!A1","Open"))</f>
        <v>Open</v>
      </c>
      <c r="BT52" s="9"/>
    </row>
    <row r="53" spans="1:72" ht="30" customHeight="1" x14ac:dyDescent="0.25">
      <c r="A53" s="58" t="s">
        <v>527</v>
      </c>
      <c r="B53" s="6">
        <v>200</v>
      </c>
      <c r="C53" s="11" t="s">
        <v>991</v>
      </c>
      <c r="D53" s="66">
        <v>66</v>
      </c>
      <c r="E53" s="61" t="s">
        <v>67</v>
      </c>
      <c r="F53" s="11" t="s">
        <v>94</v>
      </c>
      <c r="G53" s="6" t="s">
        <v>918</v>
      </c>
      <c r="H53" s="69">
        <v>45.7</v>
      </c>
      <c r="I53" s="69">
        <v>62.22</v>
      </c>
      <c r="J53" s="70" t="s">
        <v>527</v>
      </c>
      <c r="K53" s="70"/>
      <c r="L53" s="11"/>
      <c r="M53" s="60" t="s">
        <v>98</v>
      </c>
      <c r="N53" s="49" t="s">
        <v>2</v>
      </c>
      <c r="O53" s="11"/>
      <c r="P53" s="11" t="s">
        <v>920</v>
      </c>
      <c r="Q53" s="11" t="s">
        <v>980</v>
      </c>
      <c r="R53" s="11">
        <v>0</v>
      </c>
      <c r="S53" s="11"/>
      <c r="T53" s="55"/>
      <c r="U53" s="11" t="b">
        <v>0</v>
      </c>
      <c r="V53" s="11" t="s">
        <v>981</v>
      </c>
      <c r="W53" s="11" t="s">
        <v>982</v>
      </c>
      <c r="X53" s="11">
        <v>412.95</v>
      </c>
      <c r="Y53" s="63" t="b">
        <v>0</v>
      </c>
      <c r="Z53" s="11"/>
      <c r="AA53" s="11"/>
      <c r="AB53" s="11"/>
      <c r="AC53" s="11"/>
      <c r="AD53" s="70"/>
      <c r="AE53" s="70"/>
      <c r="AF53" s="11"/>
      <c r="AG53" s="63" t="b">
        <v>0</v>
      </c>
      <c r="AH53" s="11">
        <v>0</v>
      </c>
      <c r="AI53" s="11" t="b">
        <v>0</v>
      </c>
      <c r="AJ53" s="11"/>
      <c r="AK53" s="11"/>
      <c r="AL53" s="63" t="b">
        <v>0</v>
      </c>
      <c r="AM53" s="11" t="b">
        <v>0</v>
      </c>
      <c r="AN53" s="11" t="b">
        <v>0</v>
      </c>
      <c r="AO53" s="11"/>
      <c r="AP53" s="56"/>
      <c r="AQ53" s="56"/>
      <c r="AR53" s="56" t="s">
        <v>1095</v>
      </c>
      <c r="AS53" s="11" t="s">
        <v>984</v>
      </c>
      <c r="AT53" s="11" t="s">
        <v>985</v>
      </c>
      <c r="AU53" s="11" t="b">
        <v>0</v>
      </c>
      <c r="AV53" s="6" t="b">
        <v>1</v>
      </c>
      <c r="AW53" s="11"/>
      <c r="AX53" s="11"/>
      <c r="AY53" s="11"/>
      <c r="AZ53" s="11" t="s">
        <v>919</v>
      </c>
      <c r="BA53" s="11" t="s">
        <v>919</v>
      </c>
      <c r="BB53" s="11">
        <v>30</v>
      </c>
      <c r="BC53" s="11">
        <v>3</v>
      </c>
      <c r="BD53" s="11" t="b">
        <v>0</v>
      </c>
      <c r="BE53" s="11" t="s">
        <v>93</v>
      </c>
      <c r="BF53" s="11">
        <v>0</v>
      </c>
      <c r="BG53" s="11">
        <v>1</v>
      </c>
      <c r="BH53" s="11">
        <v>8</v>
      </c>
      <c r="BI53" s="11" t="s">
        <v>986</v>
      </c>
      <c r="BJ53" s="11" t="b">
        <v>1</v>
      </c>
      <c r="BK53" s="11" t="b">
        <v>0</v>
      </c>
      <c r="BL53" s="11" t="b">
        <v>0</v>
      </c>
      <c r="BM53" s="11">
        <v>590</v>
      </c>
      <c r="BN53" s="11">
        <v>1302</v>
      </c>
      <c r="BO53" s="11"/>
      <c r="BP53" s="11" t="s">
        <v>1096</v>
      </c>
      <c r="BQ53" s="70">
        <v>1</v>
      </c>
      <c r="BR53" s="70" t="b">
        <v>0</v>
      </c>
      <c r="BS53" t="str">
        <f>IFERROR(HYPERLINK("#Main!A"&amp;MATCH(A53,Main!A:A,0),"Open"),HYPERLINK("#Main!A1","Open"))</f>
        <v>Open</v>
      </c>
    </row>
    <row r="54" spans="1:72" ht="30" customHeight="1" x14ac:dyDescent="0.25">
      <c r="A54" s="59" t="s">
        <v>535</v>
      </c>
      <c r="B54" s="6">
        <v>200</v>
      </c>
      <c r="C54" s="8" t="s">
        <v>991</v>
      </c>
      <c r="D54" s="66">
        <v>66</v>
      </c>
      <c r="E54" s="61" t="s">
        <v>67</v>
      </c>
      <c r="F54" s="8" t="s">
        <v>94</v>
      </c>
      <c r="G54" s="6" t="s">
        <v>918</v>
      </c>
      <c r="H54" s="67">
        <v>58.75</v>
      </c>
      <c r="I54" s="67">
        <v>121.74</v>
      </c>
      <c r="J54" s="68" t="s">
        <v>535</v>
      </c>
      <c r="K54" s="68"/>
      <c r="L54" s="8"/>
      <c r="M54" s="60" t="s">
        <v>98</v>
      </c>
      <c r="N54" s="49" t="s">
        <v>2</v>
      </c>
      <c r="O54" s="8"/>
      <c r="P54" s="8" t="s">
        <v>920</v>
      </c>
      <c r="Q54" s="8" t="s">
        <v>980</v>
      </c>
      <c r="R54" s="8">
        <v>0</v>
      </c>
      <c r="S54" s="8"/>
      <c r="T54" s="51"/>
      <c r="U54" s="8" t="b">
        <v>0</v>
      </c>
      <c r="V54" s="8" t="s">
        <v>981</v>
      </c>
      <c r="W54" s="8" t="s">
        <v>982</v>
      </c>
      <c r="X54" s="8">
        <v>412.69</v>
      </c>
      <c r="Y54" s="63" t="b">
        <v>0</v>
      </c>
      <c r="Z54" s="8"/>
      <c r="AA54" s="8"/>
      <c r="AB54" s="8"/>
      <c r="AC54" s="8"/>
      <c r="AD54" s="68"/>
      <c r="AE54" s="68"/>
      <c r="AF54" s="8"/>
      <c r="AG54" s="63" t="b">
        <v>0</v>
      </c>
      <c r="AH54" s="8">
        <v>0</v>
      </c>
      <c r="AI54" s="8" t="b">
        <v>0</v>
      </c>
      <c r="AJ54" s="8"/>
      <c r="AK54" s="8"/>
      <c r="AL54" s="63" t="b">
        <v>0</v>
      </c>
      <c r="AM54" s="8" t="b">
        <v>0</v>
      </c>
      <c r="AN54" s="8" t="b">
        <v>0</v>
      </c>
      <c r="AO54" s="8"/>
      <c r="AP54" s="54"/>
      <c r="AQ54" s="54"/>
      <c r="AR54" s="54" t="s">
        <v>1097</v>
      </c>
      <c r="AS54" s="8" t="s">
        <v>984</v>
      </c>
      <c r="AT54" s="8" t="s">
        <v>985</v>
      </c>
      <c r="AU54" s="8" t="b">
        <v>0</v>
      </c>
      <c r="AV54" s="6" t="b">
        <v>1</v>
      </c>
      <c r="AW54" s="8"/>
      <c r="AX54" s="8"/>
      <c r="AY54" s="8"/>
      <c r="AZ54" s="8" t="s">
        <v>919</v>
      </c>
      <c r="BA54" s="8" t="s">
        <v>919</v>
      </c>
      <c r="BB54" s="8">
        <v>30</v>
      </c>
      <c r="BC54" s="8">
        <v>3</v>
      </c>
      <c r="BD54" s="8" t="b">
        <v>0</v>
      </c>
      <c r="BE54" s="8" t="s">
        <v>93</v>
      </c>
      <c r="BF54" s="8">
        <v>0</v>
      </c>
      <c r="BG54" s="8">
        <v>1</v>
      </c>
      <c r="BH54" s="8">
        <v>8</v>
      </c>
      <c r="BI54" s="8" t="s">
        <v>986</v>
      </c>
      <c r="BJ54" s="8" t="b">
        <v>1</v>
      </c>
      <c r="BK54" s="8" t="b">
        <v>0</v>
      </c>
      <c r="BL54" s="8" t="b">
        <v>0</v>
      </c>
      <c r="BM54" s="8">
        <v>540</v>
      </c>
      <c r="BN54" s="8">
        <v>1196</v>
      </c>
      <c r="BO54" s="8"/>
      <c r="BP54" s="8" t="s">
        <v>1098</v>
      </c>
      <c r="BQ54" s="68">
        <v>1</v>
      </c>
      <c r="BR54" s="68" t="b">
        <v>0</v>
      </c>
      <c r="BS54" s="9" t="str">
        <f>IFERROR(HYPERLINK("#Main!A"&amp;MATCH(A54,Main!A:A,0),"Open"),HYPERLINK("#Main!A1","Open"))</f>
        <v>Open</v>
      </c>
      <c r="BT54" s="9"/>
    </row>
    <row r="55" spans="1:72" ht="30" customHeight="1" x14ac:dyDescent="0.25">
      <c r="A55" s="58" t="s">
        <v>543</v>
      </c>
      <c r="B55" s="6">
        <v>200</v>
      </c>
      <c r="C55" s="11" t="s">
        <v>991</v>
      </c>
      <c r="D55" s="66">
        <v>56</v>
      </c>
      <c r="E55" s="61" t="s">
        <v>67</v>
      </c>
      <c r="F55" s="11" t="s">
        <v>94</v>
      </c>
      <c r="G55" s="6" t="s">
        <v>918</v>
      </c>
      <c r="H55" s="69">
        <v>34.020000000000003</v>
      </c>
      <c r="I55" s="69">
        <v>53.78</v>
      </c>
      <c r="J55" s="70" t="s">
        <v>543</v>
      </c>
      <c r="K55" s="70"/>
      <c r="L55" s="11"/>
      <c r="M55" s="60" t="s">
        <v>98</v>
      </c>
      <c r="N55" s="49" t="s">
        <v>2</v>
      </c>
      <c r="O55" s="11"/>
      <c r="P55" s="11" t="s">
        <v>920</v>
      </c>
      <c r="Q55" s="11" t="s">
        <v>980</v>
      </c>
      <c r="R55" s="11">
        <v>0</v>
      </c>
      <c r="S55" s="11"/>
      <c r="T55" s="55"/>
      <c r="U55" s="11" t="b">
        <v>0</v>
      </c>
      <c r="V55" s="11" t="s">
        <v>981</v>
      </c>
      <c r="W55" s="11" t="s">
        <v>982</v>
      </c>
      <c r="X55" s="11">
        <v>241.59</v>
      </c>
      <c r="Y55" s="63" t="b">
        <v>0</v>
      </c>
      <c r="Z55" s="11"/>
      <c r="AA55" s="11"/>
      <c r="AB55" s="11"/>
      <c r="AC55" s="11"/>
      <c r="AD55" s="70"/>
      <c r="AE55" s="70"/>
      <c r="AF55" s="11"/>
      <c r="AG55" s="63" t="b">
        <v>0</v>
      </c>
      <c r="AH55" s="11">
        <v>0</v>
      </c>
      <c r="AI55" s="11" t="b">
        <v>0</v>
      </c>
      <c r="AJ55" s="11"/>
      <c r="AK55" s="11"/>
      <c r="AL55" s="63" t="b">
        <v>0</v>
      </c>
      <c r="AM55" s="11" t="b">
        <v>0</v>
      </c>
      <c r="AN55" s="11" t="b">
        <v>0</v>
      </c>
      <c r="AO55" s="11"/>
      <c r="AP55" s="56"/>
      <c r="AQ55" s="56"/>
      <c r="AR55" s="56" t="s">
        <v>1099</v>
      </c>
      <c r="AS55" s="11" t="s">
        <v>984</v>
      </c>
      <c r="AT55" s="11" t="s">
        <v>985</v>
      </c>
      <c r="AU55" s="11" t="b">
        <v>0</v>
      </c>
      <c r="AV55" s="6" t="b">
        <v>1</v>
      </c>
      <c r="AW55" s="11"/>
      <c r="AX55" s="11"/>
      <c r="AY55" s="11"/>
      <c r="AZ55" s="11" t="s">
        <v>919</v>
      </c>
      <c r="BA55" s="11" t="s">
        <v>919</v>
      </c>
      <c r="BB55" s="11">
        <v>30</v>
      </c>
      <c r="BC55" s="11">
        <v>3</v>
      </c>
      <c r="BD55" s="11" t="b">
        <v>0</v>
      </c>
      <c r="BE55" s="11" t="s">
        <v>93</v>
      </c>
      <c r="BF55" s="11">
        <v>0</v>
      </c>
      <c r="BG55" s="11">
        <v>2</v>
      </c>
      <c r="BH55" s="11">
        <v>8</v>
      </c>
      <c r="BI55" s="11" t="s">
        <v>986</v>
      </c>
      <c r="BJ55" s="11" t="b">
        <v>1</v>
      </c>
      <c r="BK55" s="11" t="b">
        <v>0</v>
      </c>
      <c r="BL55" s="11" t="b">
        <v>0</v>
      </c>
      <c r="BM55" s="11">
        <v>525</v>
      </c>
      <c r="BN55" s="11">
        <v>570</v>
      </c>
      <c r="BO55" s="11"/>
      <c r="BP55" s="11" t="s">
        <v>1100</v>
      </c>
      <c r="BQ55" s="70">
        <v>1</v>
      </c>
      <c r="BR55" s="70" t="b">
        <v>0</v>
      </c>
      <c r="BS55" t="str">
        <f>IFERROR(HYPERLINK("#Main!A"&amp;MATCH(A55,Main!A:A,0),"Open"),HYPERLINK("#Main!A1","Open"))</f>
        <v>Open</v>
      </c>
    </row>
    <row r="56" spans="1:72" ht="30" customHeight="1" x14ac:dyDescent="0.25">
      <c r="A56" s="59" t="s">
        <v>551</v>
      </c>
      <c r="B56" s="6">
        <v>200</v>
      </c>
      <c r="C56" s="8" t="s">
        <v>991</v>
      </c>
      <c r="D56" s="66">
        <v>69</v>
      </c>
      <c r="E56" s="61" t="s">
        <v>67</v>
      </c>
      <c r="F56" s="8" t="s">
        <v>94</v>
      </c>
      <c r="G56" s="6" t="s">
        <v>918</v>
      </c>
      <c r="H56" s="67">
        <v>59.96</v>
      </c>
      <c r="I56" s="67">
        <v>76.16</v>
      </c>
      <c r="J56" s="68" t="s">
        <v>551</v>
      </c>
      <c r="K56" s="68"/>
      <c r="L56" s="8"/>
      <c r="M56" s="60" t="s">
        <v>98</v>
      </c>
      <c r="N56" s="49" t="s">
        <v>2</v>
      </c>
      <c r="O56" s="8"/>
      <c r="P56" s="8" t="s">
        <v>920</v>
      </c>
      <c r="Q56" s="8" t="s">
        <v>980</v>
      </c>
      <c r="R56" s="8">
        <v>0</v>
      </c>
      <c r="S56" s="8"/>
      <c r="T56" s="51"/>
      <c r="U56" s="8" t="b">
        <v>0</v>
      </c>
      <c r="V56" s="8" t="s">
        <v>981</v>
      </c>
      <c r="W56" s="8" t="s">
        <v>982</v>
      </c>
      <c r="X56" s="8">
        <v>288.24</v>
      </c>
      <c r="Y56" s="63" t="b">
        <v>0</v>
      </c>
      <c r="Z56" s="8"/>
      <c r="AA56" s="8"/>
      <c r="AB56" s="8"/>
      <c r="AC56" s="8"/>
      <c r="AD56" s="68"/>
      <c r="AE56" s="68"/>
      <c r="AF56" s="8"/>
      <c r="AG56" s="63" t="b">
        <v>0</v>
      </c>
      <c r="AH56" s="8">
        <v>0</v>
      </c>
      <c r="AI56" s="8" t="b">
        <v>0</v>
      </c>
      <c r="AJ56" s="8"/>
      <c r="AK56" s="8"/>
      <c r="AL56" s="63" t="b">
        <v>0</v>
      </c>
      <c r="AM56" s="8" t="b">
        <v>0</v>
      </c>
      <c r="AN56" s="8" t="b">
        <v>0</v>
      </c>
      <c r="AO56" s="8"/>
      <c r="AP56" s="54"/>
      <c r="AQ56" s="54"/>
      <c r="AR56" s="54" t="s">
        <v>1101</v>
      </c>
      <c r="AS56" s="8" t="s">
        <v>984</v>
      </c>
      <c r="AT56" s="8" t="s">
        <v>985</v>
      </c>
      <c r="AU56" s="8" t="b">
        <v>0</v>
      </c>
      <c r="AV56" s="6" t="b">
        <v>1</v>
      </c>
      <c r="AW56" s="8"/>
      <c r="AX56" s="8"/>
      <c r="AY56" s="8"/>
      <c r="AZ56" s="8" t="s">
        <v>919</v>
      </c>
      <c r="BA56" s="8" t="s">
        <v>919</v>
      </c>
      <c r="BB56" s="8">
        <v>50</v>
      </c>
      <c r="BC56" s="8">
        <v>3</v>
      </c>
      <c r="BD56" s="8" t="b">
        <v>0</v>
      </c>
      <c r="BE56" s="8" t="s">
        <v>93</v>
      </c>
      <c r="BF56" s="8">
        <v>0</v>
      </c>
      <c r="BG56" s="8">
        <v>1</v>
      </c>
      <c r="BH56" s="8">
        <v>7</v>
      </c>
      <c r="BI56" s="8" t="s">
        <v>986</v>
      </c>
      <c r="BJ56" s="8" t="b">
        <v>1</v>
      </c>
      <c r="BK56" s="8" t="b">
        <v>0</v>
      </c>
      <c r="BL56" s="8" t="b">
        <v>0</v>
      </c>
      <c r="BM56" s="8">
        <v>453</v>
      </c>
      <c r="BN56" s="8">
        <v>830</v>
      </c>
      <c r="BO56" s="8"/>
      <c r="BP56" s="8" t="s">
        <v>1102</v>
      </c>
      <c r="BQ56" s="68">
        <v>1</v>
      </c>
      <c r="BR56" s="68" t="b">
        <v>0</v>
      </c>
      <c r="BS56" s="9" t="str">
        <f>IFERROR(HYPERLINK("#Main!A"&amp;MATCH(A56,Main!A:A,0),"Open"),HYPERLINK("#Main!A1","Open"))</f>
        <v>Open</v>
      </c>
      <c r="BT56" s="9"/>
    </row>
    <row r="57" spans="1:72" ht="30" customHeight="1" x14ac:dyDescent="0.25">
      <c r="A57" s="58" t="s">
        <v>559</v>
      </c>
      <c r="B57" s="6">
        <v>200</v>
      </c>
      <c r="C57" s="11" t="s">
        <v>991</v>
      </c>
      <c r="D57" s="66">
        <v>56</v>
      </c>
      <c r="E57" s="61" t="s">
        <v>67</v>
      </c>
      <c r="F57" s="11" t="s">
        <v>94</v>
      </c>
      <c r="G57" s="6" t="s">
        <v>918</v>
      </c>
      <c r="H57" s="69">
        <v>5018.9399999999996</v>
      </c>
      <c r="I57" s="69">
        <v>5056.97</v>
      </c>
      <c r="J57" s="70" t="s">
        <v>1103</v>
      </c>
      <c r="K57" s="70"/>
      <c r="L57" s="11"/>
      <c r="M57" s="60" t="s">
        <v>98</v>
      </c>
      <c r="N57" s="49" t="s">
        <v>2</v>
      </c>
      <c r="O57" s="11"/>
      <c r="P57" s="11" t="s">
        <v>920</v>
      </c>
      <c r="Q57" s="11" t="s">
        <v>980</v>
      </c>
      <c r="R57" s="11">
        <v>1</v>
      </c>
      <c r="S57" s="11"/>
      <c r="T57" s="55"/>
      <c r="U57" s="11" t="b">
        <v>0</v>
      </c>
      <c r="V57" s="11" t="s">
        <v>981</v>
      </c>
      <c r="W57" s="11" t="s">
        <v>982</v>
      </c>
      <c r="X57" s="11">
        <v>492.8</v>
      </c>
      <c r="Y57" s="63" t="b">
        <v>0</v>
      </c>
      <c r="Z57" s="11"/>
      <c r="AA57" s="11"/>
      <c r="AB57" s="11"/>
      <c r="AC57" s="11"/>
      <c r="AD57" s="70"/>
      <c r="AE57" s="70"/>
      <c r="AF57" s="11"/>
      <c r="AG57" s="63" t="b">
        <v>0</v>
      </c>
      <c r="AH57" s="11">
        <v>0</v>
      </c>
      <c r="AI57" s="11" t="b">
        <v>0</v>
      </c>
      <c r="AJ57" s="11"/>
      <c r="AK57" s="11"/>
      <c r="AL57" s="63" t="b">
        <v>0</v>
      </c>
      <c r="AM57" s="11" t="b">
        <v>0</v>
      </c>
      <c r="AN57" s="11" t="b">
        <v>0</v>
      </c>
      <c r="AO57" s="11"/>
      <c r="AP57" s="56"/>
      <c r="AQ57" s="56"/>
      <c r="AR57" s="56" t="s">
        <v>1104</v>
      </c>
      <c r="AS57" s="11" t="s">
        <v>984</v>
      </c>
      <c r="AT57" s="11" t="s">
        <v>985</v>
      </c>
      <c r="AU57" s="11" t="b">
        <v>0</v>
      </c>
      <c r="AV57" s="6" t="b">
        <v>1</v>
      </c>
      <c r="AW57" s="11"/>
      <c r="AX57" s="11"/>
      <c r="AY57" s="11"/>
      <c r="AZ57" s="11" t="s">
        <v>919</v>
      </c>
      <c r="BA57" s="11" t="s">
        <v>919</v>
      </c>
      <c r="BB57" s="11">
        <v>30</v>
      </c>
      <c r="BC57" s="11">
        <v>3</v>
      </c>
      <c r="BD57" s="11" t="b">
        <v>0</v>
      </c>
      <c r="BE57" s="11" t="s">
        <v>93</v>
      </c>
      <c r="BF57" s="11">
        <v>0</v>
      </c>
      <c r="BG57" s="11">
        <v>2</v>
      </c>
      <c r="BH57" s="11">
        <v>8</v>
      </c>
      <c r="BI57" s="11" t="s">
        <v>986</v>
      </c>
      <c r="BJ57" s="11" t="b">
        <v>1</v>
      </c>
      <c r="BK57" s="11" t="b">
        <v>0</v>
      </c>
      <c r="BL57" s="11" t="b">
        <v>0</v>
      </c>
      <c r="BM57" s="11">
        <v>273</v>
      </c>
      <c r="BN57" s="11">
        <v>272</v>
      </c>
      <c r="BO57" s="11"/>
      <c r="BP57" s="11" t="s">
        <v>1105</v>
      </c>
      <c r="BQ57" s="70">
        <v>1</v>
      </c>
      <c r="BR57" s="70" t="b">
        <v>0</v>
      </c>
      <c r="BS57" t="str">
        <f>IFERROR(HYPERLINK("#Main!A"&amp;MATCH(A57,Main!A:A,0),"Open"),HYPERLINK("#Main!A1","Open"))</f>
        <v>Open</v>
      </c>
    </row>
    <row r="58" spans="1:72" ht="30" customHeight="1" x14ac:dyDescent="0.25">
      <c r="A58" s="59" t="s">
        <v>566</v>
      </c>
      <c r="B58" s="6">
        <v>200</v>
      </c>
      <c r="C58" s="8" t="s">
        <v>991</v>
      </c>
      <c r="D58" s="66">
        <v>69</v>
      </c>
      <c r="E58" s="61" t="s">
        <v>67</v>
      </c>
      <c r="F58" s="8" t="s">
        <v>94</v>
      </c>
      <c r="G58" s="6" t="s">
        <v>918</v>
      </c>
      <c r="H58" s="67">
        <v>48.15</v>
      </c>
      <c r="I58" s="67">
        <v>1812.58</v>
      </c>
      <c r="J58" s="68" t="s">
        <v>566</v>
      </c>
      <c r="K58" s="68"/>
      <c r="L58" s="8"/>
      <c r="M58" s="60" t="s">
        <v>98</v>
      </c>
      <c r="N58" s="49" t="s">
        <v>2</v>
      </c>
      <c r="O58" s="8"/>
      <c r="P58" s="8" t="s">
        <v>920</v>
      </c>
      <c r="Q58" s="8" t="s">
        <v>980</v>
      </c>
      <c r="R58" s="8">
        <v>0</v>
      </c>
      <c r="S58" s="8"/>
      <c r="T58" s="51"/>
      <c r="U58" s="8" t="b">
        <v>0</v>
      </c>
      <c r="V58" s="8" t="s">
        <v>981</v>
      </c>
      <c r="W58" s="8" t="s">
        <v>982</v>
      </c>
      <c r="X58" s="8">
        <v>577.32000000000005</v>
      </c>
      <c r="Y58" s="63" t="b">
        <v>0</v>
      </c>
      <c r="Z58" s="8"/>
      <c r="AA58" s="8"/>
      <c r="AB58" s="8"/>
      <c r="AC58" s="8"/>
      <c r="AD58" s="68"/>
      <c r="AE58" s="68"/>
      <c r="AF58" s="8"/>
      <c r="AG58" s="63" t="b">
        <v>0</v>
      </c>
      <c r="AH58" s="8">
        <v>0</v>
      </c>
      <c r="AI58" s="8" t="b">
        <v>0</v>
      </c>
      <c r="AJ58" s="8"/>
      <c r="AK58" s="8"/>
      <c r="AL58" s="63" t="b">
        <v>0</v>
      </c>
      <c r="AM58" s="8" t="b">
        <v>0</v>
      </c>
      <c r="AN58" s="8" t="b">
        <v>0</v>
      </c>
      <c r="AO58" s="8"/>
      <c r="AP58" s="54"/>
      <c r="AQ58" s="54"/>
      <c r="AR58" s="54" t="s">
        <v>1106</v>
      </c>
      <c r="AS58" s="8" t="s">
        <v>984</v>
      </c>
      <c r="AT58" s="8" t="s">
        <v>985</v>
      </c>
      <c r="AU58" s="8" t="b">
        <v>0</v>
      </c>
      <c r="AV58" s="6" t="b">
        <v>1</v>
      </c>
      <c r="AW58" s="8"/>
      <c r="AX58" s="8"/>
      <c r="AY58" s="8"/>
      <c r="AZ58" s="8" t="s">
        <v>919</v>
      </c>
      <c r="BA58" s="8" t="s">
        <v>919</v>
      </c>
      <c r="BB58" s="8">
        <v>40</v>
      </c>
      <c r="BC58" s="8">
        <v>4</v>
      </c>
      <c r="BD58" s="8" t="b">
        <v>0</v>
      </c>
      <c r="BE58" s="8" t="s">
        <v>93</v>
      </c>
      <c r="BF58" s="8">
        <v>0</v>
      </c>
      <c r="BG58" s="8">
        <v>1</v>
      </c>
      <c r="BH58" s="8">
        <v>7</v>
      </c>
      <c r="BI58" s="8" t="s">
        <v>986</v>
      </c>
      <c r="BJ58" s="8" t="b">
        <v>1</v>
      </c>
      <c r="BK58" s="8" t="b">
        <v>0</v>
      </c>
      <c r="BL58" s="8" t="b">
        <v>0</v>
      </c>
      <c r="BM58" s="8">
        <v>223</v>
      </c>
      <c r="BN58" s="8">
        <v>992</v>
      </c>
      <c r="BO58" s="8"/>
      <c r="BP58" s="8" t="s">
        <v>1107</v>
      </c>
      <c r="BQ58" s="68">
        <v>1</v>
      </c>
      <c r="BR58" s="68" t="b">
        <v>0</v>
      </c>
      <c r="BS58" s="9" t="str">
        <f>IFERROR(HYPERLINK("#Main!A"&amp;MATCH(A58,Main!A:A,0),"Open"),HYPERLINK("#Main!A1","Open"))</f>
        <v>Open</v>
      </c>
      <c r="BT58" s="9"/>
    </row>
    <row r="59" spans="1:72" ht="30" customHeight="1" x14ac:dyDescent="0.25">
      <c r="A59" s="58" t="s">
        <v>574</v>
      </c>
      <c r="B59" s="6">
        <v>200</v>
      </c>
      <c r="C59" s="11" t="s">
        <v>991</v>
      </c>
      <c r="D59" s="66">
        <v>69</v>
      </c>
      <c r="E59" s="61" t="s">
        <v>67</v>
      </c>
      <c r="F59" s="11" t="s">
        <v>94</v>
      </c>
      <c r="G59" s="6" t="s">
        <v>918</v>
      </c>
      <c r="H59" s="69">
        <v>45.27</v>
      </c>
      <c r="I59" s="69">
        <v>60.59</v>
      </c>
      <c r="J59" s="70" t="s">
        <v>574</v>
      </c>
      <c r="K59" s="70"/>
      <c r="L59" s="11"/>
      <c r="M59" s="60" t="s">
        <v>98</v>
      </c>
      <c r="N59" s="49" t="s">
        <v>2</v>
      </c>
      <c r="O59" s="11"/>
      <c r="P59" s="11" t="s">
        <v>920</v>
      </c>
      <c r="Q59" s="11" t="s">
        <v>980</v>
      </c>
      <c r="R59" s="11">
        <v>0</v>
      </c>
      <c r="S59" s="11"/>
      <c r="T59" s="55"/>
      <c r="U59" s="11" t="b">
        <v>0</v>
      </c>
      <c r="V59" s="11" t="s">
        <v>981</v>
      </c>
      <c r="W59" s="11" t="s">
        <v>982</v>
      </c>
      <c r="X59" s="11">
        <v>378.07</v>
      </c>
      <c r="Y59" s="63" t="b">
        <v>0</v>
      </c>
      <c r="Z59" s="11"/>
      <c r="AA59" s="11"/>
      <c r="AB59" s="11"/>
      <c r="AC59" s="11"/>
      <c r="AD59" s="70"/>
      <c r="AE59" s="70"/>
      <c r="AF59" s="11"/>
      <c r="AG59" s="63" t="b">
        <v>0</v>
      </c>
      <c r="AH59" s="11">
        <v>0</v>
      </c>
      <c r="AI59" s="11" t="b">
        <v>0</v>
      </c>
      <c r="AJ59" s="11"/>
      <c r="AK59" s="11"/>
      <c r="AL59" s="63" t="b">
        <v>0</v>
      </c>
      <c r="AM59" s="11" t="b">
        <v>0</v>
      </c>
      <c r="AN59" s="11" t="b">
        <v>0</v>
      </c>
      <c r="AO59" s="11"/>
      <c r="AP59" s="56"/>
      <c r="AQ59" s="56"/>
      <c r="AR59" s="56" t="s">
        <v>1108</v>
      </c>
      <c r="AS59" s="11" t="s">
        <v>984</v>
      </c>
      <c r="AT59" s="11" t="s">
        <v>985</v>
      </c>
      <c r="AU59" s="11" t="b">
        <v>0</v>
      </c>
      <c r="AV59" s="6" t="b">
        <v>1</v>
      </c>
      <c r="AW59" s="11"/>
      <c r="AX59" s="11"/>
      <c r="AY59" s="11"/>
      <c r="AZ59" s="11" t="s">
        <v>919</v>
      </c>
      <c r="BA59" s="11" t="s">
        <v>919</v>
      </c>
      <c r="BB59" s="11">
        <v>100</v>
      </c>
      <c r="BC59" s="11">
        <v>16</v>
      </c>
      <c r="BD59" s="11" t="b">
        <v>0</v>
      </c>
      <c r="BE59" s="11" t="s">
        <v>93</v>
      </c>
      <c r="BF59" s="11">
        <v>0</v>
      </c>
      <c r="BG59" s="11">
        <v>1</v>
      </c>
      <c r="BH59" s="11">
        <v>7</v>
      </c>
      <c r="BI59" s="11" t="s">
        <v>986</v>
      </c>
      <c r="BJ59" s="11" t="b">
        <v>1</v>
      </c>
      <c r="BK59" s="11" t="b">
        <v>0</v>
      </c>
      <c r="BL59" s="11" t="b">
        <v>0</v>
      </c>
      <c r="BM59" s="11">
        <v>453</v>
      </c>
      <c r="BN59" s="11">
        <v>4960</v>
      </c>
      <c r="BO59" s="11"/>
      <c r="BP59" s="11" t="s">
        <v>1109</v>
      </c>
      <c r="BQ59" s="70">
        <v>1</v>
      </c>
      <c r="BR59" s="70" t="b">
        <v>0</v>
      </c>
      <c r="BS59" t="str">
        <f>IFERROR(HYPERLINK("#Main!A"&amp;MATCH(A59,Main!A:A,0),"Open"),HYPERLINK("#Main!A1","Open"))</f>
        <v>Open</v>
      </c>
    </row>
    <row r="60" spans="1:72" ht="30" customHeight="1" x14ac:dyDescent="0.25">
      <c r="A60" s="59" t="s">
        <v>582</v>
      </c>
      <c r="B60" s="6">
        <v>200</v>
      </c>
      <c r="C60" s="8" t="s">
        <v>991</v>
      </c>
      <c r="D60" s="66">
        <v>59</v>
      </c>
      <c r="E60" s="61" t="s">
        <v>67</v>
      </c>
      <c r="F60" s="8" t="s">
        <v>94</v>
      </c>
      <c r="G60" s="6" t="s">
        <v>918</v>
      </c>
      <c r="H60" s="67">
        <v>42.82</v>
      </c>
      <c r="I60" s="67">
        <v>54.07</v>
      </c>
      <c r="J60" s="68" t="s">
        <v>582</v>
      </c>
      <c r="K60" s="68"/>
      <c r="L60" s="8"/>
      <c r="M60" s="60" t="s">
        <v>98</v>
      </c>
      <c r="N60" s="49" t="s">
        <v>2</v>
      </c>
      <c r="O60" s="8"/>
      <c r="P60" s="8" t="s">
        <v>920</v>
      </c>
      <c r="Q60" s="8" t="s">
        <v>980</v>
      </c>
      <c r="R60" s="8">
        <v>0</v>
      </c>
      <c r="S60" s="8"/>
      <c r="T60" s="51"/>
      <c r="U60" s="8" t="b">
        <v>0</v>
      </c>
      <c r="V60" s="8" t="s">
        <v>981</v>
      </c>
      <c r="W60" s="8" t="s">
        <v>982</v>
      </c>
      <c r="X60" s="8">
        <v>334.44</v>
      </c>
      <c r="Y60" s="63" t="b">
        <v>0</v>
      </c>
      <c r="Z60" s="8"/>
      <c r="AA60" s="8"/>
      <c r="AB60" s="8"/>
      <c r="AC60" s="8"/>
      <c r="AD60" s="68"/>
      <c r="AE60" s="68"/>
      <c r="AF60" s="8"/>
      <c r="AG60" s="63" t="b">
        <v>0</v>
      </c>
      <c r="AH60" s="8">
        <v>0</v>
      </c>
      <c r="AI60" s="8" t="b">
        <v>0</v>
      </c>
      <c r="AJ60" s="8"/>
      <c r="AK60" s="8"/>
      <c r="AL60" s="63" t="b">
        <v>0</v>
      </c>
      <c r="AM60" s="8" t="b">
        <v>0</v>
      </c>
      <c r="AN60" s="8" t="b">
        <v>0</v>
      </c>
      <c r="AO60" s="8"/>
      <c r="AP60" s="54"/>
      <c r="AQ60" s="54"/>
      <c r="AR60" s="54" t="s">
        <v>1110</v>
      </c>
      <c r="AS60" s="8" t="s">
        <v>984</v>
      </c>
      <c r="AT60" s="8" t="s">
        <v>985</v>
      </c>
      <c r="AU60" s="8" t="b">
        <v>0</v>
      </c>
      <c r="AV60" s="6" t="b">
        <v>1</v>
      </c>
      <c r="AW60" s="8"/>
      <c r="AX60" s="8"/>
      <c r="AY60" s="8"/>
      <c r="AZ60" s="8" t="s">
        <v>919</v>
      </c>
      <c r="BA60" s="8" t="s">
        <v>919</v>
      </c>
      <c r="BB60" s="8">
        <v>100</v>
      </c>
      <c r="BC60" s="8">
        <v>16</v>
      </c>
      <c r="BD60" s="8" t="b">
        <v>0</v>
      </c>
      <c r="BE60" s="8" t="s">
        <v>93</v>
      </c>
      <c r="BF60" s="8">
        <v>0</v>
      </c>
      <c r="BG60" s="8">
        <v>2</v>
      </c>
      <c r="BH60" s="8">
        <v>7</v>
      </c>
      <c r="BI60" s="8" t="s">
        <v>986</v>
      </c>
      <c r="BJ60" s="8" t="b">
        <v>1</v>
      </c>
      <c r="BK60" s="8" t="b">
        <v>0</v>
      </c>
      <c r="BL60" s="8" t="b">
        <v>0</v>
      </c>
      <c r="BM60" s="8">
        <v>316</v>
      </c>
      <c r="BN60" s="8">
        <v>489</v>
      </c>
      <c r="BO60" s="8"/>
      <c r="BP60" s="8" t="s">
        <v>1111</v>
      </c>
      <c r="BQ60" s="68">
        <v>1</v>
      </c>
      <c r="BR60" s="68" t="b">
        <v>0</v>
      </c>
      <c r="BS60" s="9" t="str">
        <f>IFERROR(HYPERLINK("#Main!A"&amp;MATCH(A60,Main!A:A,0),"Open"),HYPERLINK("#Main!A1","Open"))</f>
        <v>Open</v>
      </c>
      <c r="BT60" s="9"/>
    </row>
    <row r="61" spans="1:72" ht="30" customHeight="1" x14ac:dyDescent="0.25">
      <c r="A61" s="58" t="s">
        <v>590</v>
      </c>
      <c r="B61" s="6">
        <v>200</v>
      </c>
      <c r="C61" s="11" t="s">
        <v>991</v>
      </c>
      <c r="D61" s="66">
        <v>56</v>
      </c>
      <c r="E61" s="61" t="s">
        <v>67</v>
      </c>
      <c r="F61" s="11" t="s">
        <v>94</v>
      </c>
      <c r="G61" s="6" t="s">
        <v>918</v>
      </c>
      <c r="H61" s="69">
        <v>50.72</v>
      </c>
      <c r="I61" s="69">
        <v>64.16</v>
      </c>
      <c r="J61" s="70" t="s">
        <v>590</v>
      </c>
      <c r="K61" s="70"/>
      <c r="L61" s="11"/>
      <c r="M61" s="60" t="s">
        <v>98</v>
      </c>
      <c r="N61" s="49" t="s">
        <v>2</v>
      </c>
      <c r="O61" s="11"/>
      <c r="P61" s="11" t="s">
        <v>920</v>
      </c>
      <c r="Q61" s="11" t="s">
        <v>980</v>
      </c>
      <c r="R61" s="11">
        <v>0</v>
      </c>
      <c r="S61" s="11"/>
      <c r="T61" s="55"/>
      <c r="U61" s="11" t="b">
        <v>0</v>
      </c>
      <c r="V61" s="11" t="s">
        <v>981</v>
      </c>
      <c r="W61" s="11" t="s">
        <v>982</v>
      </c>
      <c r="X61" s="11">
        <v>300.48</v>
      </c>
      <c r="Y61" s="63" t="b">
        <v>0</v>
      </c>
      <c r="Z61" s="11"/>
      <c r="AA61" s="11"/>
      <c r="AB61" s="11"/>
      <c r="AC61" s="11"/>
      <c r="AD61" s="70"/>
      <c r="AE61" s="70"/>
      <c r="AF61" s="11"/>
      <c r="AG61" s="63" t="b">
        <v>0</v>
      </c>
      <c r="AH61" s="11">
        <v>0</v>
      </c>
      <c r="AI61" s="11" t="b">
        <v>0</v>
      </c>
      <c r="AJ61" s="11"/>
      <c r="AK61" s="11"/>
      <c r="AL61" s="63" t="b">
        <v>0</v>
      </c>
      <c r="AM61" s="11" t="b">
        <v>0</v>
      </c>
      <c r="AN61" s="11" t="b">
        <v>0</v>
      </c>
      <c r="AO61" s="11"/>
      <c r="AP61" s="56"/>
      <c r="AQ61" s="56"/>
      <c r="AR61" s="56" t="s">
        <v>1112</v>
      </c>
      <c r="AS61" s="11" t="s">
        <v>984</v>
      </c>
      <c r="AT61" s="11" t="s">
        <v>985</v>
      </c>
      <c r="AU61" s="11" t="b">
        <v>0</v>
      </c>
      <c r="AV61" s="6" t="b">
        <v>1</v>
      </c>
      <c r="AW61" s="11"/>
      <c r="AX61" s="11"/>
      <c r="AY61" s="11"/>
      <c r="AZ61" s="11" t="s">
        <v>919</v>
      </c>
      <c r="BA61" s="11" t="s">
        <v>919</v>
      </c>
      <c r="BB61" s="11">
        <v>30</v>
      </c>
      <c r="BC61" s="11">
        <v>3</v>
      </c>
      <c r="BD61" s="11" t="b">
        <v>0</v>
      </c>
      <c r="BE61" s="11" t="s">
        <v>93</v>
      </c>
      <c r="BF61" s="11">
        <v>0</v>
      </c>
      <c r="BG61" s="11">
        <v>2</v>
      </c>
      <c r="BH61" s="11">
        <v>8</v>
      </c>
      <c r="BI61" s="11" t="s">
        <v>986</v>
      </c>
      <c r="BJ61" s="11" t="b">
        <v>1</v>
      </c>
      <c r="BK61" s="11" t="b">
        <v>0</v>
      </c>
      <c r="BL61" s="11" t="b">
        <v>0</v>
      </c>
      <c r="BM61" s="11">
        <v>367</v>
      </c>
      <c r="BN61" s="11">
        <v>620</v>
      </c>
      <c r="BO61" s="11"/>
      <c r="BP61" s="11" t="s">
        <v>1113</v>
      </c>
      <c r="BQ61" s="70">
        <v>1</v>
      </c>
      <c r="BR61" s="70" t="b">
        <v>0</v>
      </c>
      <c r="BS61" t="str">
        <f>IFERROR(HYPERLINK("#Main!A"&amp;MATCH(A61,Main!A:A,0),"Open"),HYPERLINK("#Main!A1","Open"))</f>
        <v>Open</v>
      </c>
    </row>
    <row r="62" spans="1:72" ht="30" customHeight="1" x14ac:dyDescent="0.25">
      <c r="A62" s="59" t="s">
        <v>598</v>
      </c>
      <c r="B62" s="6">
        <v>200</v>
      </c>
      <c r="C62" s="8" t="s">
        <v>991</v>
      </c>
      <c r="D62" s="66">
        <v>56</v>
      </c>
      <c r="E62" s="61" t="s">
        <v>67</v>
      </c>
      <c r="F62" s="8" t="s">
        <v>94</v>
      </c>
      <c r="G62" s="6" t="s">
        <v>918</v>
      </c>
      <c r="H62" s="67">
        <v>48.47</v>
      </c>
      <c r="I62" s="67">
        <v>59.98</v>
      </c>
      <c r="J62" s="68" t="s">
        <v>598</v>
      </c>
      <c r="K62" s="68"/>
      <c r="L62" s="8"/>
      <c r="M62" s="60" t="s">
        <v>98</v>
      </c>
      <c r="N62" s="49" t="s">
        <v>2</v>
      </c>
      <c r="O62" s="8"/>
      <c r="P62" s="8" t="s">
        <v>920</v>
      </c>
      <c r="Q62" s="8" t="s">
        <v>980</v>
      </c>
      <c r="R62" s="8">
        <v>0</v>
      </c>
      <c r="S62" s="8"/>
      <c r="T62" s="51"/>
      <c r="U62" s="8" t="b">
        <v>0</v>
      </c>
      <c r="V62" s="8" t="s">
        <v>981</v>
      </c>
      <c r="W62" s="8" t="s">
        <v>982</v>
      </c>
      <c r="X62" s="8">
        <v>240.35</v>
      </c>
      <c r="Y62" s="63" t="b">
        <v>0</v>
      </c>
      <c r="Z62" s="8"/>
      <c r="AA62" s="8"/>
      <c r="AB62" s="8"/>
      <c r="AC62" s="8"/>
      <c r="AD62" s="68"/>
      <c r="AE62" s="68"/>
      <c r="AF62" s="8"/>
      <c r="AG62" s="63" t="b">
        <v>0</v>
      </c>
      <c r="AH62" s="8">
        <v>0</v>
      </c>
      <c r="AI62" s="8" t="b">
        <v>0</v>
      </c>
      <c r="AJ62" s="8"/>
      <c r="AK62" s="8"/>
      <c r="AL62" s="63" t="b">
        <v>0</v>
      </c>
      <c r="AM62" s="8" t="b">
        <v>0</v>
      </c>
      <c r="AN62" s="8" t="b">
        <v>0</v>
      </c>
      <c r="AO62" s="8"/>
      <c r="AP62" s="54"/>
      <c r="AQ62" s="54"/>
      <c r="AR62" s="54" t="s">
        <v>1114</v>
      </c>
      <c r="AS62" s="8" t="s">
        <v>984</v>
      </c>
      <c r="AT62" s="8" t="s">
        <v>985</v>
      </c>
      <c r="AU62" s="8" t="b">
        <v>0</v>
      </c>
      <c r="AV62" s="6" t="b">
        <v>1</v>
      </c>
      <c r="AW62" s="8"/>
      <c r="AX62" s="8"/>
      <c r="AY62" s="8"/>
      <c r="AZ62" s="8" t="s">
        <v>919</v>
      </c>
      <c r="BA62" s="8" t="s">
        <v>919</v>
      </c>
      <c r="BB62" s="8">
        <v>30</v>
      </c>
      <c r="BC62" s="8">
        <v>3</v>
      </c>
      <c r="BD62" s="8" t="b">
        <v>0</v>
      </c>
      <c r="BE62" s="8" t="s">
        <v>93</v>
      </c>
      <c r="BF62" s="8">
        <v>0</v>
      </c>
      <c r="BG62" s="8">
        <v>2</v>
      </c>
      <c r="BH62" s="8">
        <v>8</v>
      </c>
      <c r="BI62" s="8" t="s">
        <v>986</v>
      </c>
      <c r="BJ62" s="8" t="b">
        <v>1</v>
      </c>
      <c r="BK62" s="8" t="b">
        <v>0</v>
      </c>
      <c r="BL62" s="8" t="b">
        <v>0</v>
      </c>
      <c r="BM62" s="8">
        <v>417</v>
      </c>
      <c r="BN62" s="8">
        <v>421</v>
      </c>
      <c r="BO62" s="8"/>
      <c r="BP62" s="8" t="s">
        <v>1115</v>
      </c>
      <c r="BQ62" s="68">
        <v>1</v>
      </c>
      <c r="BR62" s="68" t="b">
        <v>0</v>
      </c>
      <c r="BS62" s="9" t="str">
        <f>IFERROR(HYPERLINK("#Main!A"&amp;MATCH(A62,Main!A:A,0),"Open"),HYPERLINK("#Main!A1","Open"))</f>
        <v>Open</v>
      </c>
      <c r="BT62" s="9"/>
    </row>
    <row r="63" spans="1:72" ht="30" customHeight="1" x14ac:dyDescent="0.25">
      <c r="A63" s="58" t="s">
        <v>606</v>
      </c>
      <c r="B63" s="6">
        <v>200</v>
      </c>
      <c r="C63" s="11" t="s">
        <v>991</v>
      </c>
      <c r="D63" s="66">
        <v>59</v>
      </c>
      <c r="E63" s="61" t="s">
        <v>67</v>
      </c>
      <c r="F63" s="11" t="s">
        <v>94</v>
      </c>
      <c r="G63" s="6" t="s">
        <v>918</v>
      </c>
      <c r="H63" s="69">
        <v>50.83</v>
      </c>
      <c r="I63" s="69">
        <v>65.84</v>
      </c>
      <c r="J63" s="70" t="s">
        <v>606</v>
      </c>
      <c r="K63" s="70"/>
      <c r="L63" s="11"/>
      <c r="M63" s="60" t="s">
        <v>98</v>
      </c>
      <c r="N63" s="49" t="s">
        <v>2</v>
      </c>
      <c r="O63" s="11"/>
      <c r="P63" s="11" t="s">
        <v>920</v>
      </c>
      <c r="Q63" s="11" t="s">
        <v>980</v>
      </c>
      <c r="R63" s="11">
        <v>0</v>
      </c>
      <c r="S63" s="11"/>
      <c r="T63" s="55"/>
      <c r="U63" s="11" t="b">
        <v>0</v>
      </c>
      <c r="V63" s="11" t="s">
        <v>981</v>
      </c>
      <c r="W63" s="11" t="s">
        <v>982</v>
      </c>
      <c r="X63" s="11">
        <v>352.34</v>
      </c>
      <c r="Y63" s="63" t="b">
        <v>0</v>
      </c>
      <c r="Z63" s="11"/>
      <c r="AA63" s="11"/>
      <c r="AB63" s="11"/>
      <c r="AC63" s="11"/>
      <c r="AD63" s="70"/>
      <c r="AE63" s="70"/>
      <c r="AF63" s="11"/>
      <c r="AG63" s="63" t="b">
        <v>0</v>
      </c>
      <c r="AH63" s="11">
        <v>0</v>
      </c>
      <c r="AI63" s="11" t="b">
        <v>0</v>
      </c>
      <c r="AJ63" s="11"/>
      <c r="AK63" s="11"/>
      <c r="AL63" s="63" t="b">
        <v>0</v>
      </c>
      <c r="AM63" s="11" t="b">
        <v>0</v>
      </c>
      <c r="AN63" s="11" t="b">
        <v>0</v>
      </c>
      <c r="AO63" s="11"/>
      <c r="AP63" s="56"/>
      <c r="AQ63" s="56"/>
      <c r="AR63" s="56" t="s">
        <v>1116</v>
      </c>
      <c r="AS63" s="11" t="s">
        <v>984</v>
      </c>
      <c r="AT63" s="11" t="s">
        <v>985</v>
      </c>
      <c r="AU63" s="11" t="b">
        <v>0</v>
      </c>
      <c r="AV63" s="6" t="b">
        <v>1</v>
      </c>
      <c r="AW63" s="11"/>
      <c r="AX63" s="11"/>
      <c r="AY63" s="11"/>
      <c r="AZ63" s="11" t="s">
        <v>919</v>
      </c>
      <c r="BA63" s="11" t="s">
        <v>919</v>
      </c>
      <c r="BB63" s="11">
        <v>100</v>
      </c>
      <c r="BC63" s="11">
        <v>16</v>
      </c>
      <c r="BD63" s="11" t="b">
        <v>0</v>
      </c>
      <c r="BE63" s="11" t="s">
        <v>93</v>
      </c>
      <c r="BF63" s="11">
        <v>0</v>
      </c>
      <c r="BG63" s="11">
        <v>2</v>
      </c>
      <c r="BH63" s="11">
        <v>7</v>
      </c>
      <c r="BI63" s="11" t="s">
        <v>986</v>
      </c>
      <c r="BJ63" s="11" t="b">
        <v>1</v>
      </c>
      <c r="BK63" s="11" t="b">
        <v>0</v>
      </c>
      <c r="BL63" s="11" t="b">
        <v>0</v>
      </c>
      <c r="BM63" s="11">
        <v>309</v>
      </c>
      <c r="BN63" s="11">
        <v>2132</v>
      </c>
      <c r="BO63" s="11"/>
      <c r="BP63" s="11" t="s">
        <v>1117</v>
      </c>
      <c r="BQ63" s="70">
        <v>1</v>
      </c>
      <c r="BR63" s="70" t="b">
        <v>0</v>
      </c>
      <c r="BS63" t="str">
        <f>IFERROR(HYPERLINK("#Main!A"&amp;MATCH(A63,Main!A:A,0),"Open"),HYPERLINK("#Main!A1","Open"))</f>
        <v>Open</v>
      </c>
    </row>
    <row r="64" spans="1:72" ht="30" customHeight="1" x14ac:dyDescent="0.25">
      <c r="A64" s="59" t="s">
        <v>614</v>
      </c>
      <c r="B64" s="6">
        <v>200</v>
      </c>
      <c r="C64" s="8" t="s">
        <v>991</v>
      </c>
      <c r="D64" s="66">
        <v>56</v>
      </c>
      <c r="E64" s="61" t="s">
        <v>67</v>
      </c>
      <c r="F64" s="8" t="s">
        <v>94</v>
      </c>
      <c r="G64" s="6" t="s">
        <v>918</v>
      </c>
      <c r="H64" s="67">
        <v>37.119999999999997</v>
      </c>
      <c r="I64" s="67">
        <v>51.23</v>
      </c>
      <c r="J64" s="68" t="s">
        <v>614</v>
      </c>
      <c r="K64" s="68"/>
      <c r="L64" s="8"/>
      <c r="M64" s="60" t="s">
        <v>98</v>
      </c>
      <c r="N64" s="49" t="s">
        <v>2</v>
      </c>
      <c r="O64" s="8"/>
      <c r="P64" s="8" t="s">
        <v>920</v>
      </c>
      <c r="Q64" s="8" t="s">
        <v>980</v>
      </c>
      <c r="R64" s="8">
        <v>0</v>
      </c>
      <c r="S64" s="8"/>
      <c r="T64" s="51"/>
      <c r="U64" s="8" t="b">
        <v>0</v>
      </c>
      <c r="V64" s="8" t="s">
        <v>981</v>
      </c>
      <c r="W64" s="8" t="s">
        <v>982</v>
      </c>
      <c r="X64" s="8">
        <v>247.24</v>
      </c>
      <c r="Y64" s="63" t="b">
        <v>0</v>
      </c>
      <c r="Z64" s="8"/>
      <c r="AA64" s="8"/>
      <c r="AB64" s="8"/>
      <c r="AC64" s="8"/>
      <c r="AD64" s="68"/>
      <c r="AE64" s="68"/>
      <c r="AF64" s="8"/>
      <c r="AG64" s="63" t="b">
        <v>0</v>
      </c>
      <c r="AH64" s="8">
        <v>0</v>
      </c>
      <c r="AI64" s="8" t="b">
        <v>0</v>
      </c>
      <c r="AJ64" s="8"/>
      <c r="AK64" s="8"/>
      <c r="AL64" s="63" t="b">
        <v>0</v>
      </c>
      <c r="AM64" s="8" t="b">
        <v>0</v>
      </c>
      <c r="AN64" s="8" t="b">
        <v>0</v>
      </c>
      <c r="AO64" s="8"/>
      <c r="AP64" s="54"/>
      <c r="AQ64" s="54"/>
      <c r="AR64" s="54" t="s">
        <v>1118</v>
      </c>
      <c r="AS64" s="8" t="s">
        <v>984</v>
      </c>
      <c r="AT64" s="8" t="s">
        <v>985</v>
      </c>
      <c r="AU64" s="8" t="b">
        <v>0</v>
      </c>
      <c r="AV64" s="6" t="b">
        <v>1</v>
      </c>
      <c r="AW64" s="8"/>
      <c r="AX64" s="8"/>
      <c r="AY64" s="8"/>
      <c r="AZ64" s="8" t="s">
        <v>919</v>
      </c>
      <c r="BA64" s="8" t="s">
        <v>919</v>
      </c>
      <c r="BB64" s="8">
        <v>30</v>
      </c>
      <c r="BC64" s="8">
        <v>3</v>
      </c>
      <c r="BD64" s="8" t="b">
        <v>0</v>
      </c>
      <c r="BE64" s="8" t="s">
        <v>93</v>
      </c>
      <c r="BF64" s="8">
        <v>0</v>
      </c>
      <c r="BG64" s="8">
        <v>2</v>
      </c>
      <c r="BH64" s="8">
        <v>8</v>
      </c>
      <c r="BI64" s="8" t="s">
        <v>986</v>
      </c>
      <c r="BJ64" s="8" t="b">
        <v>1</v>
      </c>
      <c r="BK64" s="8" t="b">
        <v>0</v>
      </c>
      <c r="BL64" s="8" t="b">
        <v>0</v>
      </c>
      <c r="BM64" s="8">
        <v>424</v>
      </c>
      <c r="BN64" s="8">
        <v>1339</v>
      </c>
      <c r="BO64" s="8"/>
      <c r="BP64" s="8" t="s">
        <v>1119</v>
      </c>
      <c r="BQ64" s="68">
        <v>1</v>
      </c>
      <c r="BR64" s="68" t="b">
        <v>0</v>
      </c>
      <c r="BS64" s="9" t="str">
        <f>IFERROR(HYPERLINK("#Main!A"&amp;MATCH(A64,Main!A:A,0),"Open"),HYPERLINK("#Main!A1","Open"))</f>
        <v>Open</v>
      </c>
      <c r="BT64" s="9"/>
    </row>
    <row r="65" spans="1:72" ht="30" customHeight="1" x14ac:dyDescent="0.25">
      <c r="A65" s="58" t="s">
        <v>622</v>
      </c>
      <c r="B65" s="6">
        <v>200</v>
      </c>
      <c r="C65" s="11" t="s">
        <v>991</v>
      </c>
      <c r="D65" s="66">
        <v>46</v>
      </c>
      <c r="E65" s="61" t="s">
        <v>67</v>
      </c>
      <c r="F65" s="11" t="s">
        <v>94</v>
      </c>
      <c r="G65" s="6" t="s">
        <v>918</v>
      </c>
      <c r="H65" s="69">
        <v>35.69</v>
      </c>
      <c r="I65" s="69">
        <v>45.91</v>
      </c>
      <c r="J65" s="70" t="s">
        <v>622</v>
      </c>
      <c r="K65" s="70"/>
      <c r="L65" s="11"/>
      <c r="M65" s="60" t="s">
        <v>98</v>
      </c>
      <c r="N65" s="49" t="s">
        <v>2</v>
      </c>
      <c r="O65" s="11"/>
      <c r="P65" s="11" t="s">
        <v>920</v>
      </c>
      <c r="Q65" s="11" t="s">
        <v>980</v>
      </c>
      <c r="R65" s="11">
        <v>0</v>
      </c>
      <c r="S65" s="11"/>
      <c r="T65" s="55"/>
      <c r="U65" s="11" t="b">
        <v>0</v>
      </c>
      <c r="V65" s="11" t="s">
        <v>981</v>
      </c>
      <c r="W65" s="11" t="s">
        <v>982</v>
      </c>
      <c r="X65" s="11">
        <v>245.35</v>
      </c>
      <c r="Y65" s="63" t="b">
        <v>0</v>
      </c>
      <c r="Z65" s="11"/>
      <c r="AA65" s="11"/>
      <c r="AB65" s="11"/>
      <c r="AC65" s="11"/>
      <c r="AD65" s="70"/>
      <c r="AE65" s="70"/>
      <c r="AF65" s="11"/>
      <c r="AG65" s="63" t="b">
        <v>0</v>
      </c>
      <c r="AH65" s="11">
        <v>0</v>
      </c>
      <c r="AI65" s="11" t="b">
        <v>0</v>
      </c>
      <c r="AJ65" s="11"/>
      <c r="AK65" s="11"/>
      <c r="AL65" s="63" t="b">
        <v>0</v>
      </c>
      <c r="AM65" s="11" t="b">
        <v>0</v>
      </c>
      <c r="AN65" s="11" t="b">
        <v>0</v>
      </c>
      <c r="AO65" s="11"/>
      <c r="AP65" s="56"/>
      <c r="AQ65" s="56"/>
      <c r="AR65" s="56" t="s">
        <v>1120</v>
      </c>
      <c r="AS65" s="11" t="s">
        <v>984</v>
      </c>
      <c r="AT65" s="11" t="s">
        <v>985</v>
      </c>
      <c r="AU65" s="11" t="b">
        <v>0</v>
      </c>
      <c r="AV65" s="6" t="b">
        <v>1</v>
      </c>
      <c r="AW65" s="11"/>
      <c r="AX65" s="11"/>
      <c r="AY65" s="11"/>
      <c r="AZ65" s="11" t="s">
        <v>919</v>
      </c>
      <c r="BA65" s="11" t="s">
        <v>919</v>
      </c>
      <c r="BB65" s="11">
        <v>30</v>
      </c>
      <c r="BC65" s="11">
        <v>3</v>
      </c>
      <c r="BD65" s="11" t="b">
        <v>0</v>
      </c>
      <c r="BE65" s="11" t="s">
        <v>93</v>
      </c>
      <c r="BF65" s="11">
        <v>0</v>
      </c>
      <c r="BG65" s="11">
        <v>3</v>
      </c>
      <c r="BH65" s="11">
        <v>8</v>
      </c>
      <c r="BI65" s="11" t="s">
        <v>986</v>
      </c>
      <c r="BJ65" s="11" t="b">
        <v>1</v>
      </c>
      <c r="BK65" s="11" t="b">
        <v>0</v>
      </c>
      <c r="BL65" s="11" t="b">
        <v>0</v>
      </c>
      <c r="BM65" s="11">
        <v>360</v>
      </c>
      <c r="BN65" s="11">
        <v>0</v>
      </c>
      <c r="BO65" s="11"/>
      <c r="BP65" s="11" t="s">
        <v>1121</v>
      </c>
      <c r="BQ65" s="70">
        <v>1</v>
      </c>
      <c r="BR65" s="70" t="b">
        <v>0</v>
      </c>
      <c r="BS65" t="str">
        <f>IFERROR(HYPERLINK("#Main!A"&amp;MATCH(A65,Main!A:A,0),"Open"),HYPERLINK("#Main!A1","Open"))</f>
        <v>Open</v>
      </c>
    </row>
    <row r="66" spans="1:72" ht="30" customHeight="1" x14ac:dyDescent="0.25">
      <c r="A66" s="59" t="s">
        <v>627</v>
      </c>
      <c r="B66" s="6">
        <v>200</v>
      </c>
      <c r="C66" s="8" t="s">
        <v>991</v>
      </c>
      <c r="D66" s="66">
        <v>69</v>
      </c>
      <c r="E66" s="61" t="s">
        <v>67</v>
      </c>
      <c r="F66" s="8" t="s">
        <v>94</v>
      </c>
      <c r="G66" s="6" t="s">
        <v>918</v>
      </c>
      <c r="H66" s="67">
        <v>42.45</v>
      </c>
      <c r="I66" s="67">
        <v>58.07</v>
      </c>
      <c r="J66" s="68" t="s">
        <v>627</v>
      </c>
      <c r="K66" s="68"/>
      <c r="L66" s="8"/>
      <c r="M66" s="60" t="s">
        <v>98</v>
      </c>
      <c r="N66" s="49" t="s">
        <v>2</v>
      </c>
      <c r="O66" s="8"/>
      <c r="P66" s="8" t="s">
        <v>920</v>
      </c>
      <c r="Q66" s="8" t="s">
        <v>980</v>
      </c>
      <c r="R66" s="8">
        <v>0</v>
      </c>
      <c r="S66" s="8"/>
      <c r="T66" s="51"/>
      <c r="U66" s="8" t="b">
        <v>0</v>
      </c>
      <c r="V66" s="8" t="s">
        <v>981</v>
      </c>
      <c r="W66" s="8" t="s">
        <v>982</v>
      </c>
      <c r="X66" s="8">
        <v>466.62</v>
      </c>
      <c r="Y66" s="63" t="b">
        <v>0</v>
      </c>
      <c r="Z66" s="8"/>
      <c r="AA66" s="8"/>
      <c r="AB66" s="8"/>
      <c r="AC66" s="8"/>
      <c r="AD66" s="68"/>
      <c r="AE66" s="68"/>
      <c r="AF66" s="8"/>
      <c r="AG66" s="63" t="b">
        <v>0</v>
      </c>
      <c r="AH66" s="8">
        <v>0</v>
      </c>
      <c r="AI66" s="8" t="b">
        <v>0</v>
      </c>
      <c r="AJ66" s="8"/>
      <c r="AK66" s="8"/>
      <c r="AL66" s="63" t="b">
        <v>0</v>
      </c>
      <c r="AM66" s="8" t="b">
        <v>0</v>
      </c>
      <c r="AN66" s="8" t="b">
        <v>0</v>
      </c>
      <c r="AO66" s="8"/>
      <c r="AP66" s="54"/>
      <c r="AQ66" s="54"/>
      <c r="AR66" s="54" t="s">
        <v>1122</v>
      </c>
      <c r="AS66" s="8" t="s">
        <v>984</v>
      </c>
      <c r="AT66" s="8" t="s">
        <v>985</v>
      </c>
      <c r="AU66" s="8" t="b">
        <v>0</v>
      </c>
      <c r="AV66" s="6" t="b">
        <v>1</v>
      </c>
      <c r="AW66" s="8"/>
      <c r="AX66" s="8"/>
      <c r="AY66" s="8"/>
      <c r="AZ66" s="8" t="s">
        <v>919</v>
      </c>
      <c r="BA66" s="8" t="s">
        <v>919</v>
      </c>
      <c r="BB66" s="8">
        <v>100</v>
      </c>
      <c r="BC66" s="8">
        <v>16</v>
      </c>
      <c r="BD66" s="8" t="b">
        <v>0</v>
      </c>
      <c r="BE66" s="8" t="s">
        <v>93</v>
      </c>
      <c r="BF66" s="8">
        <v>0</v>
      </c>
      <c r="BG66" s="8">
        <v>1</v>
      </c>
      <c r="BH66" s="8">
        <v>7</v>
      </c>
      <c r="BI66" s="8" t="s">
        <v>986</v>
      </c>
      <c r="BJ66" s="8" t="b">
        <v>1</v>
      </c>
      <c r="BK66" s="8" t="b">
        <v>0</v>
      </c>
      <c r="BL66" s="8" t="b">
        <v>0</v>
      </c>
      <c r="BM66" s="8">
        <v>360</v>
      </c>
      <c r="BN66" s="8">
        <v>2281</v>
      </c>
      <c r="BO66" s="8"/>
      <c r="BP66" s="8" t="s">
        <v>1123</v>
      </c>
      <c r="BQ66" s="68">
        <v>1</v>
      </c>
      <c r="BR66" s="68" t="b">
        <v>0</v>
      </c>
      <c r="BS66" s="9" t="str">
        <f>IFERROR(HYPERLINK("#Main!A"&amp;MATCH(A66,Main!A:A,0),"Open"),HYPERLINK("#Main!A1","Open"))</f>
        <v>Open</v>
      </c>
      <c r="BT66" s="9"/>
    </row>
    <row r="67" spans="1:72" ht="30" customHeight="1" x14ac:dyDescent="0.25">
      <c r="A67" s="58" t="s">
        <v>635</v>
      </c>
      <c r="B67" s="6">
        <v>200</v>
      </c>
      <c r="C67" s="11" t="s">
        <v>991</v>
      </c>
      <c r="D67" s="66">
        <v>56</v>
      </c>
      <c r="E67" s="61" t="s">
        <v>67</v>
      </c>
      <c r="F67" s="11" t="s">
        <v>94</v>
      </c>
      <c r="G67" s="6" t="s">
        <v>918</v>
      </c>
      <c r="H67" s="69">
        <v>66.489999999999995</v>
      </c>
      <c r="I67" s="69">
        <v>90.26</v>
      </c>
      <c r="J67" s="70" t="s">
        <v>635</v>
      </c>
      <c r="K67" s="70"/>
      <c r="L67" s="11"/>
      <c r="M67" s="60" t="s">
        <v>98</v>
      </c>
      <c r="N67" s="49" t="s">
        <v>2</v>
      </c>
      <c r="O67" s="11"/>
      <c r="P67" s="11" t="s">
        <v>920</v>
      </c>
      <c r="Q67" s="11" t="s">
        <v>980</v>
      </c>
      <c r="R67" s="11">
        <v>0</v>
      </c>
      <c r="S67" s="11"/>
      <c r="T67" s="55"/>
      <c r="U67" s="11" t="b">
        <v>0</v>
      </c>
      <c r="V67" s="11" t="s">
        <v>981</v>
      </c>
      <c r="W67" s="11" t="s">
        <v>982</v>
      </c>
      <c r="X67" s="11">
        <v>238.78</v>
      </c>
      <c r="Y67" s="63" t="b">
        <v>0</v>
      </c>
      <c r="Z67" s="11"/>
      <c r="AA67" s="11"/>
      <c r="AB67" s="11"/>
      <c r="AC67" s="11"/>
      <c r="AD67" s="70"/>
      <c r="AE67" s="70"/>
      <c r="AF67" s="11"/>
      <c r="AG67" s="63" t="b">
        <v>0</v>
      </c>
      <c r="AH67" s="11">
        <v>0</v>
      </c>
      <c r="AI67" s="11" t="b">
        <v>0</v>
      </c>
      <c r="AJ67" s="11"/>
      <c r="AK67" s="11"/>
      <c r="AL67" s="63" t="b">
        <v>0</v>
      </c>
      <c r="AM67" s="11" t="b">
        <v>0</v>
      </c>
      <c r="AN67" s="11" t="b">
        <v>0</v>
      </c>
      <c r="AO67" s="11"/>
      <c r="AP67" s="56"/>
      <c r="AQ67" s="56"/>
      <c r="AR67" s="56" t="s">
        <v>1124</v>
      </c>
      <c r="AS67" s="11" t="s">
        <v>984</v>
      </c>
      <c r="AT67" s="11" t="s">
        <v>985</v>
      </c>
      <c r="AU67" s="11" t="b">
        <v>0</v>
      </c>
      <c r="AV67" s="6" t="b">
        <v>1</v>
      </c>
      <c r="AW67" s="11"/>
      <c r="AX67" s="11"/>
      <c r="AY67" s="11"/>
      <c r="AZ67" s="11" t="s">
        <v>919</v>
      </c>
      <c r="BA67" s="11" t="s">
        <v>919</v>
      </c>
      <c r="BB67" s="11">
        <v>30</v>
      </c>
      <c r="BC67" s="11">
        <v>3</v>
      </c>
      <c r="BD67" s="11" t="b">
        <v>0</v>
      </c>
      <c r="BE67" s="11" t="s">
        <v>93</v>
      </c>
      <c r="BF67" s="11">
        <v>0</v>
      </c>
      <c r="BG67" s="11">
        <v>2</v>
      </c>
      <c r="BH67" s="11">
        <v>8</v>
      </c>
      <c r="BI67" s="11" t="s">
        <v>986</v>
      </c>
      <c r="BJ67" s="11" t="b">
        <v>1</v>
      </c>
      <c r="BK67" s="11" t="b">
        <v>0</v>
      </c>
      <c r="BL67" s="11" t="b">
        <v>0</v>
      </c>
      <c r="BM67" s="11">
        <v>475</v>
      </c>
      <c r="BN67" s="11">
        <v>793</v>
      </c>
      <c r="BO67" s="11"/>
      <c r="BP67" s="11" t="s">
        <v>1125</v>
      </c>
      <c r="BQ67" s="70">
        <v>1</v>
      </c>
      <c r="BR67" s="70" t="b">
        <v>0</v>
      </c>
      <c r="BS67" t="str">
        <f>IFERROR(HYPERLINK("#Main!A"&amp;MATCH(A67,Main!A:A,0),"Open"),HYPERLINK("#Main!A1","Open"))</f>
        <v>Open</v>
      </c>
    </row>
    <row r="68" spans="1:72" ht="30" customHeight="1" x14ac:dyDescent="0.25">
      <c r="A68" s="59" t="s">
        <v>642</v>
      </c>
      <c r="B68" s="6">
        <v>200</v>
      </c>
      <c r="C68" s="8" t="s">
        <v>991</v>
      </c>
      <c r="D68" s="66">
        <v>66</v>
      </c>
      <c r="E68" s="61" t="s">
        <v>67</v>
      </c>
      <c r="F68" s="8" t="s">
        <v>94</v>
      </c>
      <c r="G68" s="6" t="s">
        <v>918</v>
      </c>
      <c r="H68" s="67">
        <v>79.760000000000005</v>
      </c>
      <c r="I68" s="67">
        <v>90.92</v>
      </c>
      <c r="J68" s="68" t="s">
        <v>642</v>
      </c>
      <c r="K68" s="68"/>
      <c r="L68" s="8"/>
      <c r="M68" s="60" t="s">
        <v>98</v>
      </c>
      <c r="N68" s="49" t="s">
        <v>2</v>
      </c>
      <c r="O68" s="8"/>
      <c r="P68" s="8" t="s">
        <v>920</v>
      </c>
      <c r="Q68" s="8" t="s">
        <v>980</v>
      </c>
      <c r="R68" s="8">
        <v>0</v>
      </c>
      <c r="S68" s="8"/>
      <c r="T68" s="51"/>
      <c r="U68" s="8" t="b">
        <v>0</v>
      </c>
      <c r="V68" s="8" t="s">
        <v>981</v>
      </c>
      <c r="W68" s="8" t="s">
        <v>982</v>
      </c>
      <c r="X68" s="8">
        <v>344.01</v>
      </c>
      <c r="Y68" s="63" t="b">
        <v>0</v>
      </c>
      <c r="Z68" s="8"/>
      <c r="AA68" s="8"/>
      <c r="AB68" s="8"/>
      <c r="AC68" s="8"/>
      <c r="AD68" s="68"/>
      <c r="AE68" s="68"/>
      <c r="AF68" s="8"/>
      <c r="AG68" s="63" t="b">
        <v>0</v>
      </c>
      <c r="AH68" s="8">
        <v>0</v>
      </c>
      <c r="AI68" s="8" t="b">
        <v>0</v>
      </c>
      <c r="AJ68" s="8"/>
      <c r="AK68" s="8"/>
      <c r="AL68" s="63" t="b">
        <v>0</v>
      </c>
      <c r="AM68" s="8" t="b">
        <v>0</v>
      </c>
      <c r="AN68" s="8" t="b">
        <v>0</v>
      </c>
      <c r="AO68" s="8"/>
      <c r="AP68" s="54"/>
      <c r="AQ68" s="54"/>
      <c r="AR68" s="54" t="s">
        <v>1126</v>
      </c>
      <c r="AS68" s="8" t="s">
        <v>984</v>
      </c>
      <c r="AT68" s="8" t="s">
        <v>985</v>
      </c>
      <c r="AU68" s="8" t="b">
        <v>0</v>
      </c>
      <c r="AV68" s="6" t="b">
        <v>1</v>
      </c>
      <c r="AW68" s="8"/>
      <c r="AX68" s="8"/>
      <c r="AY68" s="8"/>
      <c r="AZ68" s="8" t="s">
        <v>919</v>
      </c>
      <c r="BA68" s="8" t="s">
        <v>919</v>
      </c>
      <c r="BB68" s="8">
        <v>30</v>
      </c>
      <c r="BC68" s="8">
        <v>3</v>
      </c>
      <c r="BD68" s="8" t="b">
        <v>0</v>
      </c>
      <c r="BE68" s="8" t="s">
        <v>93</v>
      </c>
      <c r="BF68" s="8">
        <v>0</v>
      </c>
      <c r="BG68" s="8">
        <v>1</v>
      </c>
      <c r="BH68" s="8">
        <v>8</v>
      </c>
      <c r="BI68" s="8" t="s">
        <v>986</v>
      </c>
      <c r="BJ68" s="8" t="b">
        <v>1</v>
      </c>
      <c r="BK68" s="8" t="b">
        <v>0</v>
      </c>
      <c r="BL68" s="8" t="b">
        <v>0</v>
      </c>
      <c r="BM68" s="8">
        <v>475</v>
      </c>
      <c r="BN68" s="8">
        <v>1897</v>
      </c>
      <c r="BO68" s="8"/>
      <c r="BP68" s="8" t="s">
        <v>1127</v>
      </c>
      <c r="BQ68" s="68">
        <v>1</v>
      </c>
      <c r="BR68" s="68" t="b">
        <v>0</v>
      </c>
      <c r="BS68" s="9" t="str">
        <f>IFERROR(HYPERLINK("#Main!A"&amp;MATCH(A68,Main!A:A,0),"Open"),HYPERLINK("#Main!A1","Open"))</f>
        <v>Open</v>
      </c>
      <c r="BT68" s="9"/>
    </row>
    <row r="69" spans="1:72" ht="30" customHeight="1" x14ac:dyDescent="0.25">
      <c r="A69" s="58" t="s">
        <v>650</v>
      </c>
      <c r="B69" s="6">
        <v>200</v>
      </c>
      <c r="C69" s="11" t="s">
        <v>991</v>
      </c>
      <c r="D69" s="66">
        <v>69</v>
      </c>
      <c r="E69" s="61" t="s">
        <v>67</v>
      </c>
      <c r="F69" s="11" t="s">
        <v>94</v>
      </c>
      <c r="G69" s="6" t="s">
        <v>918</v>
      </c>
      <c r="H69" s="69">
        <v>35.46</v>
      </c>
      <c r="I69" s="69">
        <v>52.45</v>
      </c>
      <c r="J69" s="70" t="s">
        <v>650</v>
      </c>
      <c r="K69" s="70"/>
      <c r="L69" s="11"/>
      <c r="M69" s="60" t="s">
        <v>98</v>
      </c>
      <c r="N69" s="49" t="s">
        <v>2</v>
      </c>
      <c r="O69" s="11"/>
      <c r="P69" s="11" t="s">
        <v>920</v>
      </c>
      <c r="Q69" s="11" t="s">
        <v>980</v>
      </c>
      <c r="R69" s="11">
        <v>0</v>
      </c>
      <c r="S69" s="11"/>
      <c r="T69" s="55"/>
      <c r="U69" s="11" t="b">
        <v>0</v>
      </c>
      <c r="V69" s="11" t="s">
        <v>981</v>
      </c>
      <c r="W69" s="11" t="s">
        <v>982</v>
      </c>
      <c r="X69" s="11">
        <v>444.98</v>
      </c>
      <c r="Y69" s="63" t="b">
        <v>0</v>
      </c>
      <c r="Z69" s="11"/>
      <c r="AA69" s="11"/>
      <c r="AB69" s="11"/>
      <c r="AC69" s="11"/>
      <c r="AD69" s="70"/>
      <c r="AE69" s="70"/>
      <c r="AF69" s="11"/>
      <c r="AG69" s="63" t="b">
        <v>0</v>
      </c>
      <c r="AH69" s="11">
        <v>0</v>
      </c>
      <c r="AI69" s="11" t="b">
        <v>0</v>
      </c>
      <c r="AJ69" s="11"/>
      <c r="AK69" s="11"/>
      <c r="AL69" s="63" t="b">
        <v>0</v>
      </c>
      <c r="AM69" s="11" t="b">
        <v>0</v>
      </c>
      <c r="AN69" s="11" t="b">
        <v>0</v>
      </c>
      <c r="AO69" s="11"/>
      <c r="AP69" s="56"/>
      <c r="AQ69" s="56"/>
      <c r="AR69" s="56" t="s">
        <v>1128</v>
      </c>
      <c r="AS69" s="11" t="s">
        <v>984</v>
      </c>
      <c r="AT69" s="11" t="s">
        <v>985</v>
      </c>
      <c r="AU69" s="11" t="b">
        <v>0</v>
      </c>
      <c r="AV69" s="6" t="b">
        <v>1</v>
      </c>
      <c r="AW69" s="11"/>
      <c r="AX69" s="11"/>
      <c r="AY69" s="11"/>
      <c r="AZ69" s="11" t="s">
        <v>919</v>
      </c>
      <c r="BA69" s="11" t="s">
        <v>919</v>
      </c>
      <c r="BB69" s="11">
        <v>100</v>
      </c>
      <c r="BC69" s="11">
        <v>18</v>
      </c>
      <c r="BD69" s="11" t="b">
        <v>0</v>
      </c>
      <c r="BE69" s="11" t="s">
        <v>93</v>
      </c>
      <c r="BF69" s="11">
        <v>0</v>
      </c>
      <c r="BG69" s="11">
        <v>1</v>
      </c>
      <c r="BH69" s="11">
        <v>7</v>
      </c>
      <c r="BI69" s="11" t="s">
        <v>986</v>
      </c>
      <c r="BJ69" s="11" t="b">
        <v>1</v>
      </c>
      <c r="BK69" s="11" t="b">
        <v>0</v>
      </c>
      <c r="BL69" s="11" t="b">
        <v>0</v>
      </c>
      <c r="BM69" s="11">
        <v>295</v>
      </c>
      <c r="BN69" s="11">
        <v>2294</v>
      </c>
      <c r="BO69" s="11"/>
      <c r="BP69" s="11" t="s">
        <v>1129</v>
      </c>
      <c r="BQ69" s="70">
        <v>1</v>
      </c>
      <c r="BR69" s="70" t="b">
        <v>0</v>
      </c>
      <c r="BS69" t="str">
        <f>IFERROR(HYPERLINK("#Main!A"&amp;MATCH(A69,Main!A:A,0),"Open"),HYPERLINK("#Main!A1","Open"))</f>
        <v>Open</v>
      </c>
    </row>
    <row r="70" spans="1:72" ht="30" customHeight="1" x14ac:dyDescent="0.25">
      <c r="A70" s="59" t="s">
        <v>658</v>
      </c>
      <c r="B70" s="6">
        <v>200</v>
      </c>
      <c r="C70" s="8" t="s">
        <v>991</v>
      </c>
      <c r="D70" s="66">
        <v>66</v>
      </c>
      <c r="E70" s="61" t="s">
        <v>67</v>
      </c>
      <c r="F70" s="8" t="s">
        <v>94</v>
      </c>
      <c r="G70" s="6" t="s">
        <v>918</v>
      </c>
      <c r="H70" s="67">
        <v>62.47</v>
      </c>
      <c r="I70" s="67">
        <v>62.47</v>
      </c>
      <c r="J70" s="68" t="s">
        <v>658</v>
      </c>
      <c r="K70" s="68"/>
      <c r="L70" s="8"/>
      <c r="M70" s="60" t="s">
        <v>98</v>
      </c>
      <c r="N70" s="49" t="s">
        <v>2</v>
      </c>
      <c r="O70" s="8"/>
      <c r="P70" s="8" t="s">
        <v>920</v>
      </c>
      <c r="Q70" s="8" t="s">
        <v>980</v>
      </c>
      <c r="R70" s="8">
        <v>0</v>
      </c>
      <c r="S70" s="8"/>
      <c r="T70" s="51"/>
      <c r="U70" s="8" t="b">
        <v>0</v>
      </c>
      <c r="V70" s="8" t="s">
        <v>981</v>
      </c>
      <c r="W70" s="8" t="s">
        <v>982</v>
      </c>
      <c r="X70" s="8">
        <v>294.91000000000003</v>
      </c>
      <c r="Y70" s="63" t="b">
        <v>0</v>
      </c>
      <c r="Z70" s="8"/>
      <c r="AA70" s="8"/>
      <c r="AB70" s="8"/>
      <c r="AC70" s="8"/>
      <c r="AD70" s="68"/>
      <c r="AE70" s="68"/>
      <c r="AF70" s="8"/>
      <c r="AG70" s="63" t="b">
        <v>0</v>
      </c>
      <c r="AH70" s="8">
        <v>0</v>
      </c>
      <c r="AI70" s="8" t="b">
        <v>0</v>
      </c>
      <c r="AJ70" s="8"/>
      <c r="AK70" s="8"/>
      <c r="AL70" s="63" t="b">
        <v>0</v>
      </c>
      <c r="AM70" s="8" t="b">
        <v>0</v>
      </c>
      <c r="AN70" s="8" t="b">
        <v>0</v>
      </c>
      <c r="AO70" s="8"/>
      <c r="AP70" s="54"/>
      <c r="AQ70" s="54"/>
      <c r="AR70" s="54" t="s">
        <v>1130</v>
      </c>
      <c r="AS70" s="8" t="s">
        <v>984</v>
      </c>
      <c r="AT70" s="8" t="s">
        <v>985</v>
      </c>
      <c r="AU70" s="8" t="b">
        <v>0</v>
      </c>
      <c r="AV70" s="6" t="b">
        <v>1</v>
      </c>
      <c r="AW70" s="8"/>
      <c r="AX70" s="8"/>
      <c r="AY70" s="8"/>
      <c r="AZ70" s="8" t="s">
        <v>919</v>
      </c>
      <c r="BA70" s="8" t="s">
        <v>919</v>
      </c>
      <c r="BB70" s="8">
        <v>100</v>
      </c>
      <c r="BC70" s="8">
        <v>8</v>
      </c>
      <c r="BD70" s="8" t="b">
        <v>0</v>
      </c>
      <c r="BE70" s="8" t="s">
        <v>93</v>
      </c>
      <c r="BF70" s="8">
        <v>0</v>
      </c>
      <c r="BG70" s="8">
        <v>1</v>
      </c>
      <c r="BH70" s="8">
        <v>8</v>
      </c>
      <c r="BI70" s="8" t="s">
        <v>986</v>
      </c>
      <c r="BJ70" s="8" t="b">
        <v>1</v>
      </c>
      <c r="BK70" s="8" t="b">
        <v>0</v>
      </c>
      <c r="BL70" s="8" t="b">
        <v>0</v>
      </c>
      <c r="BM70" s="8">
        <v>338</v>
      </c>
      <c r="BN70" s="8">
        <v>985</v>
      </c>
      <c r="BO70" s="8"/>
      <c r="BP70" s="8" t="s">
        <v>1131</v>
      </c>
      <c r="BQ70" s="68">
        <v>1</v>
      </c>
      <c r="BR70" s="68" t="b">
        <v>0</v>
      </c>
      <c r="BS70" s="9" t="str">
        <f>IFERROR(HYPERLINK("#Main!A"&amp;MATCH(A70,Main!A:A,0),"Open"),HYPERLINK("#Main!A1","Open"))</f>
        <v>Open</v>
      </c>
      <c r="BT70" s="9"/>
    </row>
    <row r="71" spans="1:72" ht="30" customHeight="1" x14ac:dyDescent="0.25">
      <c r="A71" s="58" t="s">
        <v>666</v>
      </c>
      <c r="B71" s="6">
        <v>200</v>
      </c>
      <c r="C71" s="11" t="s">
        <v>991</v>
      </c>
      <c r="D71" s="66">
        <v>59</v>
      </c>
      <c r="E71" s="61" t="s">
        <v>67</v>
      </c>
      <c r="F71" s="11" t="s">
        <v>94</v>
      </c>
      <c r="G71" s="6" t="s">
        <v>918</v>
      </c>
      <c r="H71" s="69">
        <v>43.88</v>
      </c>
      <c r="I71" s="69">
        <v>56.21</v>
      </c>
      <c r="J71" s="70" t="s">
        <v>666</v>
      </c>
      <c r="K71" s="70"/>
      <c r="L71" s="11"/>
      <c r="M71" s="60" t="s">
        <v>98</v>
      </c>
      <c r="N71" s="49" t="s">
        <v>2</v>
      </c>
      <c r="O71" s="11"/>
      <c r="P71" s="11" t="s">
        <v>920</v>
      </c>
      <c r="Q71" s="11" t="s">
        <v>980</v>
      </c>
      <c r="R71" s="11">
        <v>0</v>
      </c>
      <c r="S71" s="11"/>
      <c r="T71" s="55"/>
      <c r="U71" s="11" t="b">
        <v>0</v>
      </c>
      <c r="V71" s="11" t="s">
        <v>981</v>
      </c>
      <c r="W71" s="11" t="s">
        <v>982</v>
      </c>
      <c r="X71" s="11">
        <v>237.24</v>
      </c>
      <c r="Y71" s="63" t="b">
        <v>0</v>
      </c>
      <c r="Z71" s="11"/>
      <c r="AA71" s="11"/>
      <c r="AB71" s="11"/>
      <c r="AC71" s="11"/>
      <c r="AD71" s="70"/>
      <c r="AE71" s="70"/>
      <c r="AF71" s="11"/>
      <c r="AG71" s="63" t="b">
        <v>0</v>
      </c>
      <c r="AH71" s="11">
        <v>0</v>
      </c>
      <c r="AI71" s="11" t="b">
        <v>0</v>
      </c>
      <c r="AJ71" s="11"/>
      <c r="AK71" s="11"/>
      <c r="AL71" s="63" t="b">
        <v>0</v>
      </c>
      <c r="AM71" s="11" t="b">
        <v>0</v>
      </c>
      <c r="AN71" s="11" t="b">
        <v>0</v>
      </c>
      <c r="AO71" s="11"/>
      <c r="AP71" s="56"/>
      <c r="AQ71" s="56"/>
      <c r="AR71" s="56" t="s">
        <v>1132</v>
      </c>
      <c r="AS71" s="11" t="s">
        <v>984</v>
      </c>
      <c r="AT71" s="11" t="s">
        <v>985</v>
      </c>
      <c r="AU71" s="11" t="b">
        <v>0</v>
      </c>
      <c r="AV71" s="6" t="b">
        <v>1</v>
      </c>
      <c r="AW71" s="11"/>
      <c r="AX71" s="11"/>
      <c r="AY71" s="11"/>
      <c r="AZ71" s="11" t="s">
        <v>919</v>
      </c>
      <c r="BA71" s="11" t="s">
        <v>919</v>
      </c>
      <c r="BB71" s="11">
        <v>60</v>
      </c>
      <c r="BC71" s="11">
        <v>4</v>
      </c>
      <c r="BD71" s="11" t="b">
        <v>0</v>
      </c>
      <c r="BE71" s="11" t="s">
        <v>93</v>
      </c>
      <c r="BF71" s="11">
        <v>0</v>
      </c>
      <c r="BG71" s="11">
        <v>2</v>
      </c>
      <c r="BH71" s="11">
        <v>7</v>
      </c>
      <c r="BI71" s="11" t="s">
        <v>986</v>
      </c>
      <c r="BJ71" s="11" t="b">
        <v>1</v>
      </c>
      <c r="BK71" s="11" t="b">
        <v>0</v>
      </c>
      <c r="BL71" s="11" t="b">
        <v>0</v>
      </c>
      <c r="BM71" s="11">
        <v>345</v>
      </c>
      <c r="BN71" s="11">
        <v>2349</v>
      </c>
      <c r="BO71" s="11"/>
      <c r="BP71" s="11" t="s">
        <v>1133</v>
      </c>
      <c r="BQ71" s="70">
        <v>1</v>
      </c>
      <c r="BR71" s="70" t="b">
        <v>0</v>
      </c>
      <c r="BS71" t="str">
        <f>IFERROR(HYPERLINK("#Main!A"&amp;MATCH(A71,Main!A:A,0),"Open"),HYPERLINK("#Main!A1","Open"))</f>
        <v>Open</v>
      </c>
    </row>
    <row r="72" spans="1:72" ht="30" customHeight="1" x14ac:dyDescent="0.25">
      <c r="A72" s="59" t="s">
        <v>674</v>
      </c>
      <c r="B72" s="6">
        <v>200</v>
      </c>
      <c r="C72" s="8" t="s">
        <v>991</v>
      </c>
      <c r="D72" s="66">
        <v>56</v>
      </c>
      <c r="E72" s="61" t="s">
        <v>67</v>
      </c>
      <c r="F72" s="8" t="s">
        <v>94</v>
      </c>
      <c r="G72" s="6" t="s">
        <v>918</v>
      </c>
      <c r="H72" s="67">
        <v>72.67</v>
      </c>
      <c r="I72" s="67">
        <v>86.54</v>
      </c>
      <c r="J72" s="68" t="s">
        <v>674</v>
      </c>
      <c r="K72" s="68"/>
      <c r="L72" s="8"/>
      <c r="M72" s="60" t="s">
        <v>98</v>
      </c>
      <c r="N72" s="49" t="s">
        <v>2</v>
      </c>
      <c r="O72" s="8"/>
      <c r="P72" s="8" t="s">
        <v>920</v>
      </c>
      <c r="Q72" s="8" t="s">
        <v>980</v>
      </c>
      <c r="R72" s="8">
        <v>0</v>
      </c>
      <c r="S72" s="8"/>
      <c r="T72" s="51"/>
      <c r="U72" s="8" t="b">
        <v>0</v>
      </c>
      <c r="V72" s="8" t="s">
        <v>981</v>
      </c>
      <c r="W72" s="8" t="s">
        <v>982</v>
      </c>
      <c r="X72" s="8">
        <v>287.36</v>
      </c>
      <c r="Y72" s="63" t="b">
        <v>0</v>
      </c>
      <c r="Z72" s="8"/>
      <c r="AA72" s="8"/>
      <c r="AB72" s="8"/>
      <c r="AC72" s="8"/>
      <c r="AD72" s="68"/>
      <c r="AE72" s="68"/>
      <c r="AF72" s="8"/>
      <c r="AG72" s="63" t="b">
        <v>0</v>
      </c>
      <c r="AH72" s="8">
        <v>0</v>
      </c>
      <c r="AI72" s="8" t="b">
        <v>0</v>
      </c>
      <c r="AJ72" s="8"/>
      <c r="AK72" s="8"/>
      <c r="AL72" s="63" t="b">
        <v>0</v>
      </c>
      <c r="AM72" s="8" t="b">
        <v>0</v>
      </c>
      <c r="AN72" s="8" t="b">
        <v>0</v>
      </c>
      <c r="AO72" s="8"/>
      <c r="AP72" s="54"/>
      <c r="AQ72" s="54"/>
      <c r="AR72" s="54" t="s">
        <v>1134</v>
      </c>
      <c r="AS72" s="8" t="s">
        <v>984</v>
      </c>
      <c r="AT72" s="8" t="s">
        <v>985</v>
      </c>
      <c r="AU72" s="8" t="b">
        <v>0</v>
      </c>
      <c r="AV72" s="6" t="b">
        <v>1</v>
      </c>
      <c r="AW72" s="8"/>
      <c r="AX72" s="8"/>
      <c r="AY72" s="8"/>
      <c r="AZ72" s="8" t="s">
        <v>919</v>
      </c>
      <c r="BA72" s="8" t="s">
        <v>919</v>
      </c>
      <c r="BB72" s="8">
        <v>30</v>
      </c>
      <c r="BC72" s="8">
        <v>3</v>
      </c>
      <c r="BD72" s="8" t="b">
        <v>0</v>
      </c>
      <c r="BE72" s="8" t="s">
        <v>93</v>
      </c>
      <c r="BF72" s="8">
        <v>0</v>
      </c>
      <c r="BG72" s="8">
        <v>2</v>
      </c>
      <c r="BH72" s="8">
        <v>8</v>
      </c>
      <c r="BI72" s="8" t="s">
        <v>986</v>
      </c>
      <c r="BJ72" s="8" t="b">
        <v>1</v>
      </c>
      <c r="BK72" s="8" t="b">
        <v>0</v>
      </c>
      <c r="BL72" s="8" t="b">
        <v>0</v>
      </c>
      <c r="BM72" s="8">
        <v>424</v>
      </c>
      <c r="BN72" s="8">
        <v>1630</v>
      </c>
      <c r="BO72" s="8"/>
      <c r="BP72" s="8" t="s">
        <v>1135</v>
      </c>
      <c r="BQ72" s="68">
        <v>1</v>
      </c>
      <c r="BR72" s="68" t="b">
        <v>0</v>
      </c>
      <c r="BS72" s="9" t="str">
        <f>IFERROR(HYPERLINK("#Main!A"&amp;MATCH(A72,Main!A:A,0),"Open"),HYPERLINK("#Main!A1","Open"))</f>
        <v>Open</v>
      </c>
      <c r="BT72" s="9"/>
    </row>
    <row r="73" spans="1:72" ht="30" customHeight="1" x14ac:dyDescent="0.25">
      <c r="A73" s="58" t="s">
        <v>682</v>
      </c>
      <c r="B73" s="6">
        <v>200</v>
      </c>
      <c r="C73" s="11" t="s">
        <v>991</v>
      </c>
      <c r="D73" s="66">
        <v>66</v>
      </c>
      <c r="E73" s="61" t="s">
        <v>67</v>
      </c>
      <c r="F73" s="11" t="s">
        <v>94</v>
      </c>
      <c r="G73" s="6" t="s">
        <v>918</v>
      </c>
      <c r="H73" s="69">
        <v>131.58000000000001</v>
      </c>
      <c r="I73" s="69">
        <v>2255.7199999999998</v>
      </c>
      <c r="J73" s="70" t="s">
        <v>682</v>
      </c>
      <c r="K73" s="70"/>
      <c r="L73" s="11"/>
      <c r="M73" s="60" t="s">
        <v>98</v>
      </c>
      <c r="N73" s="49" t="s">
        <v>2</v>
      </c>
      <c r="O73" s="11"/>
      <c r="P73" s="11" t="s">
        <v>920</v>
      </c>
      <c r="Q73" s="11" t="s">
        <v>980</v>
      </c>
      <c r="R73" s="11">
        <v>0</v>
      </c>
      <c r="S73" s="11"/>
      <c r="T73" s="55"/>
      <c r="U73" s="11" t="b">
        <v>0</v>
      </c>
      <c r="V73" s="11" t="s">
        <v>981</v>
      </c>
      <c r="W73" s="11" t="s">
        <v>982</v>
      </c>
      <c r="X73" s="11">
        <v>329.02</v>
      </c>
      <c r="Y73" s="63" t="b">
        <v>0</v>
      </c>
      <c r="Z73" s="11"/>
      <c r="AA73" s="11"/>
      <c r="AB73" s="11"/>
      <c r="AC73" s="11"/>
      <c r="AD73" s="70"/>
      <c r="AE73" s="70"/>
      <c r="AF73" s="11"/>
      <c r="AG73" s="63" t="b">
        <v>0</v>
      </c>
      <c r="AH73" s="11">
        <v>0</v>
      </c>
      <c r="AI73" s="11" t="b">
        <v>0</v>
      </c>
      <c r="AJ73" s="11"/>
      <c r="AK73" s="11"/>
      <c r="AL73" s="63" t="b">
        <v>0</v>
      </c>
      <c r="AM73" s="11" t="b">
        <v>0</v>
      </c>
      <c r="AN73" s="11" t="b">
        <v>0</v>
      </c>
      <c r="AO73" s="11"/>
      <c r="AP73" s="56"/>
      <c r="AQ73" s="56"/>
      <c r="AR73" s="56" t="s">
        <v>1136</v>
      </c>
      <c r="AS73" s="11" t="s">
        <v>984</v>
      </c>
      <c r="AT73" s="11" t="s">
        <v>985</v>
      </c>
      <c r="AU73" s="11" t="b">
        <v>0</v>
      </c>
      <c r="AV73" s="6" t="b">
        <v>1</v>
      </c>
      <c r="AW73" s="11"/>
      <c r="AX73" s="11"/>
      <c r="AY73" s="11"/>
      <c r="AZ73" s="11" t="s">
        <v>919</v>
      </c>
      <c r="BA73" s="11" t="s">
        <v>919</v>
      </c>
      <c r="BB73" s="11">
        <v>50</v>
      </c>
      <c r="BC73" s="11">
        <v>3</v>
      </c>
      <c r="BD73" s="11" t="b">
        <v>0</v>
      </c>
      <c r="BE73" s="11" t="s">
        <v>93</v>
      </c>
      <c r="BF73" s="11">
        <v>0</v>
      </c>
      <c r="BG73" s="11">
        <v>1</v>
      </c>
      <c r="BH73" s="11">
        <v>8</v>
      </c>
      <c r="BI73" s="11" t="s">
        <v>986</v>
      </c>
      <c r="BJ73" s="11" t="b">
        <v>1</v>
      </c>
      <c r="BK73" s="11" t="b">
        <v>0</v>
      </c>
      <c r="BL73" s="11" t="b">
        <v>0</v>
      </c>
      <c r="BM73" s="11">
        <v>331</v>
      </c>
      <c r="BN73" s="11">
        <v>992</v>
      </c>
      <c r="BO73" s="11"/>
      <c r="BP73" s="11" t="s">
        <v>1137</v>
      </c>
      <c r="BQ73" s="70">
        <v>1</v>
      </c>
      <c r="BR73" s="70" t="b">
        <v>0</v>
      </c>
      <c r="BS73" t="str">
        <f>IFERROR(HYPERLINK("#Main!A"&amp;MATCH(A73,Main!A:A,0),"Open"),HYPERLINK("#Main!A1","Open"))</f>
        <v>Open</v>
      </c>
    </row>
    <row r="74" spans="1:72" ht="30" customHeight="1" x14ac:dyDescent="0.25">
      <c r="A74" s="59" t="s">
        <v>690</v>
      </c>
      <c r="B74" s="6">
        <v>200</v>
      </c>
      <c r="C74" s="8" t="s">
        <v>991</v>
      </c>
      <c r="D74" s="66">
        <v>59</v>
      </c>
      <c r="E74" s="61" t="s">
        <v>67</v>
      </c>
      <c r="F74" s="8" t="s">
        <v>94</v>
      </c>
      <c r="G74" s="6" t="s">
        <v>918</v>
      </c>
      <c r="H74" s="67">
        <v>52.42</v>
      </c>
      <c r="I74" s="67">
        <v>66.44</v>
      </c>
      <c r="J74" s="68" t="s">
        <v>690</v>
      </c>
      <c r="K74" s="68"/>
      <c r="L74" s="8"/>
      <c r="M74" s="60" t="s">
        <v>98</v>
      </c>
      <c r="N74" s="49" t="s">
        <v>2</v>
      </c>
      <c r="O74" s="8"/>
      <c r="P74" s="8" t="s">
        <v>920</v>
      </c>
      <c r="Q74" s="8" t="s">
        <v>980</v>
      </c>
      <c r="R74" s="8">
        <v>0</v>
      </c>
      <c r="S74" s="8"/>
      <c r="T74" s="51"/>
      <c r="U74" s="8" t="b">
        <v>0</v>
      </c>
      <c r="V74" s="8" t="s">
        <v>981</v>
      </c>
      <c r="W74" s="8" t="s">
        <v>982</v>
      </c>
      <c r="X74" s="8">
        <v>606.38</v>
      </c>
      <c r="Y74" s="63" t="b">
        <v>0</v>
      </c>
      <c r="Z74" s="8"/>
      <c r="AA74" s="8"/>
      <c r="AB74" s="8"/>
      <c r="AC74" s="8"/>
      <c r="AD74" s="68"/>
      <c r="AE74" s="68"/>
      <c r="AF74" s="8"/>
      <c r="AG74" s="63" t="b">
        <v>0</v>
      </c>
      <c r="AH74" s="8">
        <v>0</v>
      </c>
      <c r="AI74" s="8" t="b">
        <v>0</v>
      </c>
      <c r="AJ74" s="8"/>
      <c r="AK74" s="8"/>
      <c r="AL74" s="63" t="b">
        <v>0</v>
      </c>
      <c r="AM74" s="8" t="b">
        <v>0</v>
      </c>
      <c r="AN74" s="8" t="b">
        <v>0</v>
      </c>
      <c r="AO74" s="8"/>
      <c r="AP74" s="54"/>
      <c r="AQ74" s="54"/>
      <c r="AR74" s="54" t="s">
        <v>1138</v>
      </c>
      <c r="AS74" s="8" t="s">
        <v>984</v>
      </c>
      <c r="AT74" s="8" t="s">
        <v>985</v>
      </c>
      <c r="AU74" s="8" t="b">
        <v>0</v>
      </c>
      <c r="AV74" s="6" t="b">
        <v>1</v>
      </c>
      <c r="AW74" s="8"/>
      <c r="AX74" s="8"/>
      <c r="AY74" s="8"/>
      <c r="AZ74" s="8" t="s">
        <v>919</v>
      </c>
      <c r="BA74" s="8" t="s">
        <v>919</v>
      </c>
      <c r="BB74" s="8">
        <v>100</v>
      </c>
      <c r="BC74" s="8">
        <v>10</v>
      </c>
      <c r="BD74" s="8" t="b">
        <v>0</v>
      </c>
      <c r="BE74" s="8" t="s">
        <v>93</v>
      </c>
      <c r="BF74" s="8">
        <v>0</v>
      </c>
      <c r="BG74" s="8">
        <v>2</v>
      </c>
      <c r="BH74" s="8">
        <v>7</v>
      </c>
      <c r="BI74" s="8" t="s">
        <v>986</v>
      </c>
      <c r="BJ74" s="8" t="b">
        <v>1</v>
      </c>
      <c r="BK74" s="8" t="b">
        <v>0</v>
      </c>
      <c r="BL74" s="8" t="b">
        <v>0</v>
      </c>
      <c r="BM74" s="8">
        <v>244</v>
      </c>
      <c r="BN74" s="8">
        <v>992</v>
      </c>
      <c r="BO74" s="8"/>
      <c r="BP74" s="8" t="s">
        <v>1139</v>
      </c>
      <c r="BQ74" s="68">
        <v>1</v>
      </c>
      <c r="BR74" s="68" t="b">
        <v>0</v>
      </c>
      <c r="BS74" s="9" t="str">
        <f>IFERROR(HYPERLINK("#Main!A"&amp;MATCH(A74,Main!A:A,0),"Open"),HYPERLINK("#Main!A1","Open"))</f>
        <v>Open</v>
      </c>
      <c r="BT74" s="9"/>
    </row>
    <row r="75" spans="1:72" ht="30" customHeight="1" x14ac:dyDescent="0.25">
      <c r="A75" s="58" t="s">
        <v>698</v>
      </c>
      <c r="B75" s="6">
        <v>200</v>
      </c>
      <c r="C75" s="11" t="s">
        <v>991</v>
      </c>
      <c r="D75" s="66">
        <v>56</v>
      </c>
      <c r="E75" s="61" t="s">
        <v>67</v>
      </c>
      <c r="F75" s="11" t="s">
        <v>94</v>
      </c>
      <c r="G75" s="6" t="s">
        <v>918</v>
      </c>
      <c r="H75" s="69">
        <v>161.72999999999999</v>
      </c>
      <c r="I75" s="69">
        <v>175.13</v>
      </c>
      <c r="J75" s="70" t="s">
        <v>698</v>
      </c>
      <c r="K75" s="70"/>
      <c r="L75" s="11"/>
      <c r="M75" s="60" t="s">
        <v>98</v>
      </c>
      <c r="N75" s="49" t="s">
        <v>2</v>
      </c>
      <c r="O75" s="11"/>
      <c r="P75" s="11" t="s">
        <v>920</v>
      </c>
      <c r="Q75" s="11" t="s">
        <v>980</v>
      </c>
      <c r="R75" s="11">
        <v>0</v>
      </c>
      <c r="S75" s="11"/>
      <c r="T75" s="55"/>
      <c r="U75" s="11" t="b">
        <v>0</v>
      </c>
      <c r="V75" s="11" t="s">
        <v>981</v>
      </c>
      <c r="W75" s="11" t="s">
        <v>982</v>
      </c>
      <c r="X75" s="11">
        <v>336.9</v>
      </c>
      <c r="Y75" s="63" t="b">
        <v>0</v>
      </c>
      <c r="Z75" s="11"/>
      <c r="AA75" s="11"/>
      <c r="AB75" s="11"/>
      <c r="AC75" s="11"/>
      <c r="AD75" s="70"/>
      <c r="AE75" s="70"/>
      <c r="AF75" s="11"/>
      <c r="AG75" s="63" t="b">
        <v>0</v>
      </c>
      <c r="AH75" s="11">
        <v>0</v>
      </c>
      <c r="AI75" s="11" t="b">
        <v>0</v>
      </c>
      <c r="AJ75" s="11"/>
      <c r="AK75" s="11"/>
      <c r="AL75" s="63" t="b">
        <v>0</v>
      </c>
      <c r="AM75" s="11" t="b">
        <v>0</v>
      </c>
      <c r="AN75" s="11" t="b">
        <v>0</v>
      </c>
      <c r="AO75" s="11"/>
      <c r="AP75" s="56"/>
      <c r="AQ75" s="56"/>
      <c r="AR75" s="56" t="s">
        <v>1140</v>
      </c>
      <c r="AS75" s="11" t="s">
        <v>984</v>
      </c>
      <c r="AT75" s="11" t="s">
        <v>985</v>
      </c>
      <c r="AU75" s="11" t="b">
        <v>0</v>
      </c>
      <c r="AV75" s="6" t="b">
        <v>1</v>
      </c>
      <c r="AW75" s="11"/>
      <c r="AX75" s="11"/>
      <c r="AY75" s="11"/>
      <c r="AZ75" s="11" t="s">
        <v>919</v>
      </c>
      <c r="BA75" s="11" t="s">
        <v>919</v>
      </c>
      <c r="BB75" s="11">
        <v>40</v>
      </c>
      <c r="BC75" s="11">
        <v>4</v>
      </c>
      <c r="BD75" s="11" t="b">
        <v>0</v>
      </c>
      <c r="BE75" s="11" t="s">
        <v>93</v>
      </c>
      <c r="BF75" s="11">
        <v>0</v>
      </c>
      <c r="BG75" s="11">
        <v>2</v>
      </c>
      <c r="BH75" s="11">
        <v>8</v>
      </c>
      <c r="BI75" s="11" t="s">
        <v>986</v>
      </c>
      <c r="BJ75" s="11" t="b">
        <v>1</v>
      </c>
      <c r="BK75" s="11" t="b">
        <v>0</v>
      </c>
      <c r="BL75" s="11" t="b">
        <v>0</v>
      </c>
      <c r="BM75" s="11">
        <v>302</v>
      </c>
      <c r="BN75" s="11">
        <v>2585</v>
      </c>
      <c r="BO75" s="11" t="s">
        <v>1027</v>
      </c>
      <c r="BP75" s="11" t="s">
        <v>1141</v>
      </c>
      <c r="BQ75" s="70">
        <v>1</v>
      </c>
      <c r="BR75" s="70" t="b">
        <v>0</v>
      </c>
      <c r="BS75" t="str">
        <f>IFERROR(HYPERLINK("#Main!A"&amp;MATCH(A75,Main!A:A,0),"Open"),HYPERLINK("#Main!A1","Open"))</f>
        <v>Open</v>
      </c>
    </row>
    <row r="76" spans="1:72" ht="30" customHeight="1" x14ac:dyDescent="0.25">
      <c r="A76" s="59" t="s">
        <v>704</v>
      </c>
      <c r="B76" s="6">
        <v>200</v>
      </c>
      <c r="C76" s="8" t="s">
        <v>991</v>
      </c>
      <c r="D76" s="66">
        <v>69</v>
      </c>
      <c r="E76" s="61" t="s">
        <v>67</v>
      </c>
      <c r="F76" s="8" t="s">
        <v>94</v>
      </c>
      <c r="G76" s="6" t="s">
        <v>918</v>
      </c>
      <c r="H76" s="67">
        <v>81.77</v>
      </c>
      <c r="I76" s="67">
        <v>82.77</v>
      </c>
      <c r="J76" s="68" t="s">
        <v>704</v>
      </c>
      <c r="K76" s="68"/>
      <c r="L76" s="8"/>
      <c r="M76" s="60" t="s">
        <v>98</v>
      </c>
      <c r="N76" s="49" t="s">
        <v>2</v>
      </c>
      <c r="O76" s="8"/>
      <c r="P76" s="8" t="s">
        <v>920</v>
      </c>
      <c r="Q76" s="8" t="s">
        <v>980</v>
      </c>
      <c r="R76" s="8">
        <v>0</v>
      </c>
      <c r="S76" s="8"/>
      <c r="T76" s="51"/>
      <c r="U76" s="8" t="b">
        <v>0</v>
      </c>
      <c r="V76" s="8" t="s">
        <v>981</v>
      </c>
      <c r="W76" s="8" t="s">
        <v>982</v>
      </c>
      <c r="X76" s="8">
        <v>260.08999999999997</v>
      </c>
      <c r="Y76" s="63" t="b">
        <v>0</v>
      </c>
      <c r="Z76" s="8"/>
      <c r="AA76" s="8"/>
      <c r="AB76" s="8"/>
      <c r="AC76" s="8"/>
      <c r="AD76" s="68"/>
      <c r="AE76" s="68"/>
      <c r="AF76" s="8"/>
      <c r="AG76" s="63" t="b">
        <v>0</v>
      </c>
      <c r="AH76" s="8">
        <v>0</v>
      </c>
      <c r="AI76" s="8" t="b">
        <v>0</v>
      </c>
      <c r="AJ76" s="8"/>
      <c r="AK76" s="8"/>
      <c r="AL76" s="63" t="b">
        <v>0</v>
      </c>
      <c r="AM76" s="8" t="b">
        <v>0</v>
      </c>
      <c r="AN76" s="8" t="b">
        <v>0</v>
      </c>
      <c r="AO76" s="8"/>
      <c r="AP76" s="54"/>
      <c r="AQ76" s="54"/>
      <c r="AR76" s="54" t="s">
        <v>1142</v>
      </c>
      <c r="AS76" s="8" t="s">
        <v>984</v>
      </c>
      <c r="AT76" s="8" t="s">
        <v>985</v>
      </c>
      <c r="AU76" s="8" t="b">
        <v>0</v>
      </c>
      <c r="AV76" s="6" t="b">
        <v>1</v>
      </c>
      <c r="AW76" s="8"/>
      <c r="AX76" s="8"/>
      <c r="AY76" s="8"/>
      <c r="AZ76" s="8" t="s">
        <v>919</v>
      </c>
      <c r="BA76" s="8" t="s">
        <v>919</v>
      </c>
      <c r="BB76" s="8">
        <v>30</v>
      </c>
      <c r="BC76" s="8">
        <v>3</v>
      </c>
      <c r="BD76" s="8" t="b">
        <v>0</v>
      </c>
      <c r="BE76" s="8" t="s">
        <v>93</v>
      </c>
      <c r="BF76" s="8">
        <v>0</v>
      </c>
      <c r="BG76" s="8">
        <v>1</v>
      </c>
      <c r="BH76" s="8">
        <v>7</v>
      </c>
      <c r="BI76" s="8" t="s">
        <v>986</v>
      </c>
      <c r="BJ76" s="8" t="b">
        <v>1</v>
      </c>
      <c r="BK76" s="8" t="b">
        <v>0</v>
      </c>
      <c r="BL76" s="8" t="b">
        <v>0</v>
      </c>
      <c r="BM76" s="8">
        <v>345</v>
      </c>
      <c r="BN76" s="8">
        <v>2430</v>
      </c>
      <c r="BO76" s="8"/>
      <c r="BP76" s="8" t="s">
        <v>1143</v>
      </c>
      <c r="BQ76" s="68">
        <v>1</v>
      </c>
      <c r="BR76" s="68" t="b">
        <v>0</v>
      </c>
      <c r="BS76" s="9" t="str">
        <f>IFERROR(HYPERLINK("#Main!A"&amp;MATCH(A76,Main!A:A,0),"Open"),HYPERLINK("#Main!A1","Open"))</f>
        <v>Open</v>
      </c>
      <c r="BT76" s="9"/>
    </row>
    <row r="77" spans="1:72" ht="30" customHeight="1" x14ac:dyDescent="0.25">
      <c r="A77" s="58" t="s">
        <v>712</v>
      </c>
      <c r="B77" s="6">
        <v>200</v>
      </c>
      <c r="C77" s="11" t="s">
        <v>991</v>
      </c>
      <c r="D77" s="66">
        <v>59</v>
      </c>
      <c r="E77" s="61" t="s">
        <v>67</v>
      </c>
      <c r="F77" s="11" t="s">
        <v>94</v>
      </c>
      <c r="G77" s="6" t="s">
        <v>918</v>
      </c>
      <c r="H77" s="69">
        <v>39.96</v>
      </c>
      <c r="I77" s="69">
        <v>53.77</v>
      </c>
      <c r="J77" s="70" t="s">
        <v>712</v>
      </c>
      <c r="K77" s="70"/>
      <c r="L77" s="11"/>
      <c r="M77" s="60" t="s">
        <v>98</v>
      </c>
      <c r="N77" s="49" t="s">
        <v>2</v>
      </c>
      <c r="O77" s="11"/>
      <c r="P77" s="11" t="s">
        <v>920</v>
      </c>
      <c r="Q77" s="11" t="s">
        <v>980</v>
      </c>
      <c r="R77" s="11">
        <v>0</v>
      </c>
      <c r="S77" s="11"/>
      <c r="T77" s="55"/>
      <c r="U77" s="11" t="b">
        <v>0</v>
      </c>
      <c r="V77" s="11" t="s">
        <v>981</v>
      </c>
      <c r="W77" s="11" t="s">
        <v>982</v>
      </c>
      <c r="X77" s="11">
        <v>335.75</v>
      </c>
      <c r="Y77" s="63" t="b">
        <v>0</v>
      </c>
      <c r="Z77" s="11"/>
      <c r="AA77" s="11"/>
      <c r="AB77" s="11"/>
      <c r="AC77" s="11"/>
      <c r="AD77" s="70"/>
      <c r="AE77" s="70"/>
      <c r="AF77" s="11"/>
      <c r="AG77" s="63" t="b">
        <v>0</v>
      </c>
      <c r="AH77" s="11">
        <v>0</v>
      </c>
      <c r="AI77" s="11" t="b">
        <v>0</v>
      </c>
      <c r="AJ77" s="11"/>
      <c r="AK77" s="11"/>
      <c r="AL77" s="63" t="b">
        <v>0</v>
      </c>
      <c r="AM77" s="11" t="b">
        <v>0</v>
      </c>
      <c r="AN77" s="11" t="b">
        <v>0</v>
      </c>
      <c r="AO77" s="11"/>
      <c r="AP77" s="56"/>
      <c r="AQ77" s="56"/>
      <c r="AR77" s="56" t="s">
        <v>1144</v>
      </c>
      <c r="AS77" s="11" t="s">
        <v>984</v>
      </c>
      <c r="AT77" s="11" t="s">
        <v>985</v>
      </c>
      <c r="AU77" s="11" t="b">
        <v>0</v>
      </c>
      <c r="AV77" s="6" t="b">
        <v>1</v>
      </c>
      <c r="AW77" s="11"/>
      <c r="AX77" s="11"/>
      <c r="AY77" s="11"/>
      <c r="AZ77" s="11" t="s">
        <v>919</v>
      </c>
      <c r="BA77" s="11" t="s">
        <v>919</v>
      </c>
      <c r="BB77" s="11">
        <v>100</v>
      </c>
      <c r="BC77" s="11">
        <v>16</v>
      </c>
      <c r="BD77" s="11" t="b">
        <v>0</v>
      </c>
      <c r="BE77" s="11" t="s">
        <v>93</v>
      </c>
      <c r="BF77" s="11">
        <v>0</v>
      </c>
      <c r="BG77" s="11">
        <v>2</v>
      </c>
      <c r="BH77" s="11">
        <v>7</v>
      </c>
      <c r="BI77" s="11" t="s">
        <v>986</v>
      </c>
      <c r="BJ77" s="11" t="b">
        <v>1</v>
      </c>
      <c r="BK77" s="11" t="b">
        <v>0</v>
      </c>
      <c r="BL77" s="11" t="b">
        <v>0</v>
      </c>
      <c r="BM77" s="11">
        <v>309</v>
      </c>
      <c r="BN77" s="11">
        <v>7291</v>
      </c>
      <c r="BO77" s="11"/>
      <c r="BP77" s="11" t="s">
        <v>1145</v>
      </c>
      <c r="BQ77" s="70">
        <v>1</v>
      </c>
      <c r="BR77" s="70" t="b">
        <v>0</v>
      </c>
      <c r="BS77" t="str">
        <f>IFERROR(HYPERLINK("#Main!A"&amp;MATCH(A77,Main!A:A,0),"Open"),HYPERLINK("#Main!A1","Open"))</f>
        <v>Open</v>
      </c>
    </row>
    <row r="78" spans="1:72" ht="30" customHeight="1" x14ac:dyDescent="0.25">
      <c r="A78" s="59" t="s">
        <v>720</v>
      </c>
      <c r="B78" s="6">
        <v>200</v>
      </c>
      <c r="C78" s="8" t="s">
        <v>991</v>
      </c>
      <c r="D78" s="66">
        <v>56</v>
      </c>
      <c r="E78" s="61" t="s">
        <v>67</v>
      </c>
      <c r="F78" s="8" t="s">
        <v>94</v>
      </c>
      <c r="G78" s="6" t="s">
        <v>918</v>
      </c>
      <c r="H78" s="67">
        <v>56.98</v>
      </c>
      <c r="I78" s="67">
        <v>78.42</v>
      </c>
      <c r="J78" s="68" t="s">
        <v>720</v>
      </c>
      <c r="K78" s="68"/>
      <c r="L78" s="8"/>
      <c r="M78" s="60" t="s">
        <v>98</v>
      </c>
      <c r="N78" s="49" t="s">
        <v>2</v>
      </c>
      <c r="O78" s="8"/>
      <c r="P78" s="8" t="s">
        <v>920</v>
      </c>
      <c r="Q78" s="8" t="s">
        <v>980</v>
      </c>
      <c r="R78" s="8">
        <v>0</v>
      </c>
      <c r="S78" s="8"/>
      <c r="T78" s="51"/>
      <c r="U78" s="8" t="b">
        <v>0</v>
      </c>
      <c r="V78" s="8" t="s">
        <v>981</v>
      </c>
      <c r="W78" s="8" t="s">
        <v>982</v>
      </c>
      <c r="X78" s="8">
        <v>248.68</v>
      </c>
      <c r="Y78" s="63" t="b">
        <v>0</v>
      </c>
      <c r="Z78" s="8"/>
      <c r="AA78" s="8"/>
      <c r="AB78" s="8"/>
      <c r="AC78" s="8"/>
      <c r="AD78" s="68"/>
      <c r="AE78" s="68"/>
      <c r="AF78" s="8"/>
      <c r="AG78" s="63" t="b">
        <v>0</v>
      </c>
      <c r="AH78" s="8">
        <v>0</v>
      </c>
      <c r="AI78" s="8" t="b">
        <v>0</v>
      </c>
      <c r="AJ78" s="8"/>
      <c r="AK78" s="8"/>
      <c r="AL78" s="63" t="b">
        <v>0</v>
      </c>
      <c r="AM78" s="8" t="b">
        <v>0</v>
      </c>
      <c r="AN78" s="8" t="b">
        <v>0</v>
      </c>
      <c r="AO78" s="8"/>
      <c r="AP78" s="54"/>
      <c r="AQ78" s="54"/>
      <c r="AR78" s="54" t="s">
        <v>1146</v>
      </c>
      <c r="AS78" s="8" t="s">
        <v>984</v>
      </c>
      <c r="AT78" s="8" t="s">
        <v>985</v>
      </c>
      <c r="AU78" s="8" t="b">
        <v>0</v>
      </c>
      <c r="AV78" s="6" t="b">
        <v>1</v>
      </c>
      <c r="AW78" s="8"/>
      <c r="AX78" s="8"/>
      <c r="AY78" s="8"/>
      <c r="AZ78" s="8" t="s">
        <v>919</v>
      </c>
      <c r="BA78" s="8" t="s">
        <v>919</v>
      </c>
      <c r="BB78" s="8">
        <v>30</v>
      </c>
      <c r="BC78" s="8">
        <v>3</v>
      </c>
      <c r="BD78" s="8" t="b">
        <v>0</v>
      </c>
      <c r="BE78" s="8" t="s">
        <v>93</v>
      </c>
      <c r="BF78" s="8">
        <v>0</v>
      </c>
      <c r="BG78" s="8">
        <v>2</v>
      </c>
      <c r="BH78" s="8">
        <v>8</v>
      </c>
      <c r="BI78" s="8" t="s">
        <v>986</v>
      </c>
      <c r="BJ78" s="8" t="b">
        <v>1</v>
      </c>
      <c r="BK78" s="8" t="b">
        <v>0</v>
      </c>
      <c r="BL78" s="8" t="b">
        <v>0</v>
      </c>
      <c r="BM78" s="8">
        <v>352</v>
      </c>
      <c r="BN78" s="8">
        <v>2300</v>
      </c>
      <c r="BO78" s="8"/>
      <c r="BP78" s="8" t="s">
        <v>1147</v>
      </c>
      <c r="BQ78" s="68">
        <v>1</v>
      </c>
      <c r="BR78" s="68" t="b">
        <v>0</v>
      </c>
      <c r="BS78" s="9" t="str">
        <f>IFERROR(HYPERLINK("#Main!A"&amp;MATCH(A78,Main!A:A,0),"Open"),HYPERLINK("#Main!A1","Open"))</f>
        <v>Open</v>
      </c>
      <c r="BT78" s="9"/>
    </row>
    <row r="79" spans="1:72" ht="30" customHeight="1" x14ac:dyDescent="0.25">
      <c r="A79" s="58" t="s">
        <v>727</v>
      </c>
      <c r="B79" s="6">
        <v>200</v>
      </c>
      <c r="C79" s="11" t="s">
        <v>991</v>
      </c>
      <c r="D79" s="66">
        <v>56</v>
      </c>
      <c r="E79" s="61" t="s">
        <v>67</v>
      </c>
      <c r="F79" s="11" t="s">
        <v>94</v>
      </c>
      <c r="G79" s="6" t="s">
        <v>918</v>
      </c>
      <c r="H79" s="69">
        <v>73.040000000000006</v>
      </c>
      <c r="I79" s="69">
        <v>105.56</v>
      </c>
      <c r="J79" s="70" t="s">
        <v>727</v>
      </c>
      <c r="K79" s="70"/>
      <c r="L79" s="11"/>
      <c r="M79" s="60" t="s">
        <v>98</v>
      </c>
      <c r="N79" s="49" t="s">
        <v>2</v>
      </c>
      <c r="O79" s="11"/>
      <c r="P79" s="11" t="s">
        <v>920</v>
      </c>
      <c r="Q79" s="11" t="s">
        <v>980</v>
      </c>
      <c r="R79" s="11">
        <v>0</v>
      </c>
      <c r="S79" s="11"/>
      <c r="T79" s="55"/>
      <c r="U79" s="11" t="b">
        <v>0</v>
      </c>
      <c r="V79" s="11" t="s">
        <v>981</v>
      </c>
      <c r="W79" s="11" t="s">
        <v>982</v>
      </c>
      <c r="X79" s="11">
        <v>401.37</v>
      </c>
      <c r="Y79" s="63" t="b">
        <v>0</v>
      </c>
      <c r="Z79" s="11"/>
      <c r="AA79" s="11"/>
      <c r="AB79" s="11"/>
      <c r="AC79" s="11"/>
      <c r="AD79" s="70"/>
      <c r="AE79" s="70"/>
      <c r="AF79" s="11"/>
      <c r="AG79" s="63" t="b">
        <v>0</v>
      </c>
      <c r="AH79" s="11">
        <v>0</v>
      </c>
      <c r="AI79" s="11" t="b">
        <v>0</v>
      </c>
      <c r="AJ79" s="11"/>
      <c r="AK79" s="11"/>
      <c r="AL79" s="63" t="b">
        <v>0</v>
      </c>
      <c r="AM79" s="11" t="b">
        <v>0</v>
      </c>
      <c r="AN79" s="11" t="b">
        <v>0</v>
      </c>
      <c r="AO79" s="11"/>
      <c r="AP79" s="56"/>
      <c r="AQ79" s="56"/>
      <c r="AR79" s="56" t="s">
        <v>1148</v>
      </c>
      <c r="AS79" s="11" t="s">
        <v>984</v>
      </c>
      <c r="AT79" s="11" t="s">
        <v>985</v>
      </c>
      <c r="AU79" s="11" t="b">
        <v>0</v>
      </c>
      <c r="AV79" s="6" t="b">
        <v>1</v>
      </c>
      <c r="AW79" s="11"/>
      <c r="AX79" s="11"/>
      <c r="AY79" s="11"/>
      <c r="AZ79" s="11" t="s">
        <v>919</v>
      </c>
      <c r="BA79" s="11" t="s">
        <v>919</v>
      </c>
      <c r="BB79" s="11">
        <v>30</v>
      </c>
      <c r="BC79" s="11">
        <v>3</v>
      </c>
      <c r="BD79" s="11" t="b">
        <v>0</v>
      </c>
      <c r="BE79" s="11" t="s">
        <v>93</v>
      </c>
      <c r="BF79" s="11">
        <v>0</v>
      </c>
      <c r="BG79" s="11">
        <v>2</v>
      </c>
      <c r="BH79" s="11">
        <v>8</v>
      </c>
      <c r="BI79" s="11" t="s">
        <v>986</v>
      </c>
      <c r="BJ79" s="11" t="b">
        <v>1</v>
      </c>
      <c r="BK79" s="11" t="b">
        <v>0</v>
      </c>
      <c r="BL79" s="11" t="b">
        <v>0</v>
      </c>
      <c r="BM79" s="11">
        <v>367</v>
      </c>
      <c r="BN79" s="11">
        <v>1897</v>
      </c>
      <c r="BO79" s="11"/>
      <c r="BP79" s="11" t="s">
        <v>1149</v>
      </c>
      <c r="BQ79" s="70">
        <v>1</v>
      </c>
      <c r="BR79" s="70" t="b">
        <v>0</v>
      </c>
      <c r="BS79" t="str">
        <f>IFERROR(HYPERLINK("#Main!A"&amp;MATCH(A79,Main!A:A,0),"Open"),HYPERLINK("#Main!A1","Open"))</f>
        <v>Open</v>
      </c>
    </row>
    <row r="80" spans="1:72" ht="30" customHeight="1" x14ac:dyDescent="0.25">
      <c r="A80" s="59" t="s">
        <v>735</v>
      </c>
      <c r="B80" s="6">
        <v>200</v>
      </c>
      <c r="C80" s="8" t="s">
        <v>991</v>
      </c>
      <c r="D80" s="66">
        <v>56</v>
      </c>
      <c r="E80" s="61" t="s">
        <v>67</v>
      </c>
      <c r="F80" s="8" t="s">
        <v>94</v>
      </c>
      <c r="G80" s="6" t="s">
        <v>918</v>
      </c>
      <c r="H80" s="67">
        <v>67.7</v>
      </c>
      <c r="I80" s="67">
        <v>78.13</v>
      </c>
      <c r="J80" s="68" t="s">
        <v>735</v>
      </c>
      <c r="K80" s="68"/>
      <c r="L80" s="8"/>
      <c r="M80" s="60" t="s">
        <v>98</v>
      </c>
      <c r="N80" s="49" t="s">
        <v>2</v>
      </c>
      <c r="O80" s="8"/>
      <c r="P80" s="8" t="s">
        <v>920</v>
      </c>
      <c r="Q80" s="8" t="s">
        <v>980</v>
      </c>
      <c r="R80" s="8">
        <v>0</v>
      </c>
      <c r="S80" s="8"/>
      <c r="T80" s="51"/>
      <c r="U80" s="8" t="b">
        <v>0</v>
      </c>
      <c r="V80" s="8" t="s">
        <v>981</v>
      </c>
      <c r="W80" s="8" t="s">
        <v>982</v>
      </c>
      <c r="X80" s="8">
        <v>262.35000000000002</v>
      </c>
      <c r="Y80" s="63" t="b">
        <v>0</v>
      </c>
      <c r="Z80" s="8"/>
      <c r="AA80" s="8"/>
      <c r="AB80" s="8"/>
      <c r="AC80" s="8"/>
      <c r="AD80" s="68"/>
      <c r="AE80" s="68"/>
      <c r="AF80" s="8"/>
      <c r="AG80" s="63" t="b">
        <v>0</v>
      </c>
      <c r="AH80" s="8">
        <v>0</v>
      </c>
      <c r="AI80" s="8" t="b">
        <v>0</v>
      </c>
      <c r="AJ80" s="8"/>
      <c r="AK80" s="8"/>
      <c r="AL80" s="63" t="b">
        <v>0</v>
      </c>
      <c r="AM80" s="8" t="b">
        <v>0</v>
      </c>
      <c r="AN80" s="8" t="b">
        <v>0</v>
      </c>
      <c r="AO80" s="8"/>
      <c r="AP80" s="54"/>
      <c r="AQ80" s="54"/>
      <c r="AR80" s="54" t="s">
        <v>1150</v>
      </c>
      <c r="AS80" s="8" t="s">
        <v>984</v>
      </c>
      <c r="AT80" s="8" t="s">
        <v>985</v>
      </c>
      <c r="AU80" s="8" t="b">
        <v>0</v>
      </c>
      <c r="AV80" s="6" t="b">
        <v>1</v>
      </c>
      <c r="AW80" s="8"/>
      <c r="AX80" s="8"/>
      <c r="AY80" s="8"/>
      <c r="AZ80" s="8" t="s">
        <v>919</v>
      </c>
      <c r="BA80" s="8" t="s">
        <v>919</v>
      </c>
      <c r="BB80" s="8">
        <v>40</v>
      </c>
      <c r="BC80" s="8">
        <v>4</v>
      </c>
      <c r="BD80" s="8" t="b">
        <v>0</v>
      </c>
      <c r="BE80" s="8" t="s">
        <v>93</v>
      </c>
      <c r="BF80" s="8">
        <v>0</v>
      </c>
      <c r="BG80" s="8">
        <v>2</v>
      </c>
      <c r="BH80" s="8">
        <v>8</v>
      </c>
      <c r="BI80" s="8" t="s">
        <v>986</v>
      </c>
      <c r="BJ80" s="8" t="b">
        <v>1</v>
      </c>
      <c r="BK80" s="8" t="b">
        <v>0</v>
      </c>
      <c r="BL80" s="8" t="b">
        <v>0</v>
      </c>
      <c r="BM80" s="8">
        <v>604</v>
      </c>
      <c r="BN80" s="8">
        <v>657</v>
      </c>
      <c r="BO80" s="8"/>
      <c r="BP80" s="8" t="s">
        <v>1151</v>
      </c>
      <c r="BQ80" s="68">
        <v>1</v>
      </c>
      <c r="BR80" s="68" t="b">
        <v>0</v>
      </c>
      <c r="BS80" s="9" t="str">
        <f>IFERROR(HYPERLINK("#Main!A"&amp;MATCH(A80,Main!A:A,0),"Open"),HYPERLINK("#Main!A1","Open"))</f>
        <v>Open</v>
      </c>
      <c r="BT80" s="9"/>
    </row>
    <row r="81" spans="1:72" ht="30" customHeight="1" x14ac:dyDescent="0.25">
      <c r="A81" s="58" t="s">
        <v>743</v>
      </c>
      <c r="B81" s="6">
        <v>200</v>
      </c>
      <c r="C81" s="11" t="s">
        <v>991</v>
      </c>
      <c r="D81" s="66">
        <v>56</v>
      </c>
      <c r="E81" s="61" t="s">
        <v>67</v>
      </c>
      <c r="F81" s="11" t="s">
        <v>94</v>
      </c>
      <c r="G81" s="6" t="s">
        <v>918</v>
      </c>
      <c r="H81" s="69">
        <v>68.69</v>
      </c>
      <c r="I81" s="69">
        <v>79.27</v>
      </c>
      <c r="J81" s="70" t="s">
        <v>743</v>
      </c>
      <c r="K81" s="70"/>
      <c r="L81" s="11"/>
      <c r="M81" s="60" t="s">
        <v>98</v>
      </c>
      <c r="N81" s="49" t="s">
        <v>2</v>
      </c>
      <c r="O81" s="11"/>
      <c r="P81" s="11" t="s">
        <v>920</v>
      </c>
      <c r="Q81" s="11" t="s">
        <v>980</v>
      </c>
      <c r="R81" s="11">
        <v>0</v>
      </c>
      <c r="S81" s="11"/>
      <c r="T81" s="55"/>
      <c r="U81" s="11" t="b">
        <v>0</v>
      </c>
      <c r="V81" s="11" t="s">
        <v>981</v>
      </c>
      <c r="W81" s="11" t="s">
        <v>982</v>
      </c>
      <c r="X81" s="11">
        <v>266.87</v>
      </c>
      <c r="Y81" s="63" t="b">
        <v>0</v>
      </c>
      <c r="Z81" s="11"/>
      <c r="AA81" s="11"/>
      <c r="AB81" s="11"/>
      <c r="AC81" s="11"/>
      <c r="AD81" s="70"/>
      <c r="AE81" s="70"/>
      <c r="AF81" s="11"/>
      <c r="AG81" s="63" t="b">
        <v>0</v>
      </c>
      <c r="AH81" s="11">
        <v>0</v>
      </c>
      <c r="AI81" s="11" t="b">
        <v>0</v>
      </c>
      <c r="AJ81" s="11"/>
      <c r="AK81" s="11"/>
      <c r="AL81" s="63" t="b">
        <v>0</v>
      </c>
      <c r="AM81" s="11" t="b">
        <v>0</v>
      </c>
      <c r="AN81" s="11" t="b">
        <v>0</v>
      </c>
      <c r="AO81" s="11"/>
      <c r="AP81" s="56"/>
      <c r="AQ81" s="56"/>
      <c r="AR81" s="56" t="s">
        <v>1152</v>
      </c>
      <c r="AS81" s="11" t="s">
        <v>984</v>
      </c>
      <c r="AT81" s="11" t="s">
        <v>985</v>
      </c>
      <c r="AU81" s="11" t="b">
        <v>0</v>
      </c>
      <c r="AV81" s="6" t="b">
        <v>1</v>
      </c>
      <c r="AW81" s="11"/>
      <c r="AX81" s="11"/>
      <c r="AY81" s="11"/>
      <c r="AZ81" s="11" t="s">
        <v>919</v>
      </c>
      <c r="BA81" s="11" t="s">
        <v>919</v>
      </c>
      <c r="BB81" s="11">
        <v>30</v>
      </c>
      <c r="BC81" s="11">
        <v>3</v>
      </c>
      <c r="BD81" s="11" t="b">
        <v>0</v>
      </c>
      <c r="BE81" s="11" t="s">
        <v>93</v>
      </c>
      <c r="BF81" s="11">
        <v>0</v>
      </c>
      <c r="BG81" s="11">
        <v>2</v>
      </c>
      <c r="BH81" s="11">
        <v>8</v>
      </c>
      <c r="BI81" s="11" t="s">
        <v>986</v>
      </c>
      <c r="BJ81" s="11" t="b">
        <v>1</v>
      </c>
      <c r="BK81" s="11" t="b">
        <v>0</v>
      </c>
      <c r="BL81" s="11" t="b">
        <v>0</v>
      </c>
      <c r="BM81" s="11">
        <v>561</v>
      </c>
      <c r="BN81" s="11">
        <v>1190</v>
      </c>
      <c r="BO81" s="11"/>
      <c r="BP81" s="11" t="s">
        <v>1153</v>
      </c>
      <c r="BQ81" s="70">
        <v>1</v>
      </c>
      <c r="BR81" s="70" t="b">
        <v>0</v>
      </c>
      <c r="BS81" t="str">
        <f>IFERROR(HYPERLINK("#Main!A"&amp;MATCH(A81,Main!A:A,0),"Open"),HYPERLINK("#Main!A1","Open"))</f>
        <v>Open</v>
      </c>
    </row>
    <row r="82" spans="1:72" ht="30" customHeight="1" x14ac:dyDescent="0.25">
      <c r="A82" s="59" t="s">
        <v>750</v>
      </c>
      <c r="B82" s="6">
        <v>200</v>
      </c>
      <c r="C82" s="8" t="s">
        <v>991</v>
      </c>
      <c r="D82" s="66">
        <v>56</v>
      </c>
      <c r="E82" s="61" t="s">
        <v>67</v>
      </c>
      <c r="F82" s="8" t="s">
        <v>94</v>
      </c>
      <c r="G82" s="6" t="s">
        <v>918</v>
      </c>
      <c r="H82" s="67">
        <v>46.43</v>
      </c>
      <c r="I82" s="67">
        <v>57.48</v>
      </c>
      <c r="J82" s="68" t="s">
        <v>750</v>
      </c>
      <c r="K82" s="68"/>
      <c r="L82" s="8"/>
      <c r="M82" s="60" t="s">
        <v>98</v>
      </c>
      <c r="N82" s="49" t="s">
        <v>2</v>
      </c>
      <c r="O82" s="8"/>
      <c r="P82" s="8" t="s">
        <v>920</v>
      </c>
      <c r="Q82" s="8" t="s">
        <v>980</v>
      </c>
      <c r="R82" s="8">
        <v>0</v>
      </c>
      <c r="S82" s="8"/>
      <c r="T82" s="51"/>
      <c r="U82" s="8" t="b">
        <v>0</v>
      </c>
      <c r="V82" s="8" t="s">
        <v>981</v>
      </c>
      <c r="W82" s="8" t="s">
        <v>982</v>
      </c>
      <c r="X82" s="8">
        <v>252.37</v>
      </c>
      <c r="Y82" s="63" t="b">
        <v>0</v>
      </c>
      <c r="Z82" s="8"/>
      <c r="AA82" s="8"/>
      <c r="AB82" s="8"/>
      <c r="AC82" s="8"/>
      <c r="AD82" s="68"/>
      <c r="AE82" s="68"/>
      <c r="AF82" s="8"/>
      <c r="AG82" s="63" t="b">
        <v>0</v>
      </c>
      <c r="AH82" s="8">
        <v>0</v>
      </c>
      <c r="AI82" s="8" t="b">
        <v>0</v>
      </c>
      <c r="AJ82" s="8"/>
      <c r="AK82" s="8"/>
      <c r="AL82" s="63" t="b">
        <v>0</v>
      </c>
      <c r="AM82" s="8" t="b">
        <v>0</v>
      </c>
      <c r="AN82" s="8" t="b">
        <v>0</v>
      </c>
      <c r="AO82" s="8"/>
      <c r="AP82" s="54"/>
      <c r="AQ82" s="54"/>
      <c r="AR82" s="54" t="s">
        <v>1154</v>
      </c>
      <c r="AS82" s="8" t="s">
        <v>984</v>
      </c>
      <c r="AT82" s="8" t="s">
        <v>985</v>
      </c>
      <c r="AU82" s="8" t="b">
        <v>0</v>
      </c>
      <c r="AV82" s="6" t="b">
        <v>1</v>
      </c>
      <c r="AW82" s="8"/>
      <c r="AX82" s="8"/>
      <c r="AY82" s="8"/>
      <c r="AZ82" s="8" t="s">
        <v>919</v>
      </c>
      <c r="BA82" s="8" t="s">
        <v>919</v>
      </c>
      <c r="BB82" s="8">
        <v>50</v>
      </c>
      <c r="BC82" s="8">
        <v>3</v>
      </c>
      <c r="BD82" s="8" t="b">
        <v>0</v>
      </c>
      <c r="BE82" s="8" t="s">
        <v>93</v>
      </c>
      <c r="BF82" s="8">
        <v>0</v>
      </c>
      <c r="BG82" s="8">
        <v>2</v>
      </c>
      <c r="BH82" s="8">
        <v>8</v>
      </c>
      <c r="BI82" s="8" t="s">
        <v>986</v>
      </c>
      <c r="BJ82" s="8" t="b">
        <v>1</v>
      </c>
      <c r="BK82" s="8" t="b">
        <v>0</v>
      </c>
      <c r="BL82" s="8" t="b">
        <v>0</v>
      </c>
      <c r="BM82" s="8">
        <v>424</v>
      </c>
      <c r="BN82" s="8">
        <v>2139</v>
      </c>
      <c r="BO82" s="8"/>
      <c r="BP82" s="8" t="s">
        <v>1155</v>
      </c>
      <c r="BQ82" s="68">
        <v>1</v>
      </c>
      <c r="BR82" s="68" t="b">
        <v>0</v>
      </c>
      <c r="BS82" s="9" t="str">
        <f>IFERROR(HYPERLINK("#Main!A"&amp;MATCH(A82,Main!A:A,0),"Open"),HYPERLINK("#Main!A1","Open"))</f>
        <v>Open</v>
      </c>
      <c r="BT82" s="9"/>
    </row>
    <row r="83" spans="1:72" ht="30" customHeight="1" x14ac:dyDescent="0.25">
      <c r="A83" s="58" t="s">
        <v>758</v>
      </c>
      <c r="B83" s="6">
        <v>200</v>
      </c>
      <c r="C83" s="11" t="s">
        <v>991</v>
      </c>
      <c r="D83" s="66">
        <v>56</v>
      </c>
      <c r="E83" s="61" t="s">
        <v>67</v>
      </c>
      <c r="F83" s="11" t="s">
        <v>94</v>
      </c>
      <c r="G83" s="6" t="s">
        <v>918</v>
      </c>
      <c r="H83" s="69">
        <v>39.1</v>
      </c>
      <c r="I83" s="69">
        <v>50.1</v>
      </c>
      <c r="J83" s="70" t="s">
        <v>758</v>
      </c>
      <c r="K83" s="70"/>
      <c r="L83" s="11"/>
      <c r="M83" s="60" t="s">
        <v>98</v>
      </c>
      <c r="N83" s="49" t="s">
        <v>2</v>
      </c>
      <c r="O83" s="11"/>
      <c r="P83" s="11" t="s">
        <v>920</v>
      </c>
      <c r="Q83" s="11" t="s">
        <v>980</v>
      </c>
      <c r="R83" s="11">
        <v>0</v>
      </c>
      <c r="S83" s="11"/>
      <c r="T83" s="55"/>
      <c r="U83" s="11" t="b">
        <v>0</v>
      </c>
      <c r="V83" s="11" t="s">
        <v>981</v>
      </c>
      <c r="W83" s="11" t="s">
        <v>982</v>
      </c>
      <c r="X83" s="11">
        <v>266.95</v>
      </c>
      <c r="Y83" s="63" t="b">
        <v>0</v>
      </c>
      <c r="Z83" s="11"/>
      <c r="AA83" s="11"/>
      <c r="AB83" s="11"/>
      <c r="AC83" s="11"/>
      <c r="AD83" s="70"/>
      <c r="AE83" s="70"/>
      <c r="AF83" s="11"/>
      <c r="AG83" s="63" t="b">
        <v>0</v>
      </c>
      <c r="AH83" s="11">
        <v>0</v>
      </c>
      <c r="AI83" s="11" t="b">
        <v>0</v>
      </c>
      <c r="AJ83" s="11"/>
      <c r="AK83" s="11"/>
      <c r="AL83" s="63" t="b">
        <v>0</v>
      </c>
      <c r="AM83" s="11" t="b">
        <v>0</v>
      </c>
      <c r="AN83" s="11" t="b">
        <v>0</v>
      </c>
      <c r="AO83" s="11"/>
      <c r="AP83" s="56"/>
      <c r="AQ83" s="56"/>
      <c r="AR83" s="56" t="s">
        <v>1156</v>
      </c>
      <c r="AS83" s="11" t="s">
        <v>984</v>
      </c>
      <c r="AT83" s="11" t="s">
        <v>985</v>
      </c>
      <c r="AU83" s="11" t="b">
        <v>0</v>
      </c>
      <c r="AV83" s="6" t="b">
        <v>1</v>
      </c>
      <c r="AW83" s="11"/>
      <c r="AX83" s="11"/>
      <c r="AY83" s="11"/>
      <c r="AZ83" s="11" t="s">
        <v>919</v>
      </c>
      <c r="BA83" s="11" t="s">
        <v>919</v>
      </c>
      <c r="BB83" s="11">
        <v>30</v>
      </c>
      <c r="BC83" s="11">
        <v>3</v>
      </c>
      <c r="BD83" s="11" t="b">
        <v>0</v>
      </c>
      <c r="BE83" s="11" t="s">
        <v>93</v>
      </c>
      <c r="BF83" s="11">
        <v>0</v>
      </c>
      <c r="BG83" s="11">
        <v>2</v>
      </c>
      <c r="BH83" s="11">
        <v>8</v>
      </c>
      <c r="BI83" s="11" t="s">
        <v>986</v>
      </c>
      <c r="BJ83" s="11" t="b">
        <v>1</v>
      </c>
      <c r="BK83" s="11" t="b">
        <v>0</v>
      </c>
      <c r="BL83" s="11" t="b">
        <v>0</v>
      </c>
      <c r="BM83" s="11">
        <v>482</v>
      </c>
      <c r="BN83" s="11">
        <v>347</v>
      </c>
      <c r="BO83" s="11"/>
      <c r="BP83" s="11" t="s">
        <v>1157</v>
      </c>
      <c r="BQ83" s="70">
        <v>1</v>
      </c>
      <c r="BR83" s="70" t="b">
        <v>0</v>
      </c>
      <c r="BS83" t="str">
        <f>IFERROR(HYPERLINK("#Main!A"&amp;MATCH(A83,Main!A:A,0),"Open"),HYPERLINK("#Main!A1","Open"))</f>
        <v>Open</v>
      </c>
    </row>
    <row r="84" spans="1:72" ht="30" customHeight="1" x14ac:dyDescent="0.25">
      <c r="A84" s="59" t="s">
        <v>766</v>
      </c>
      <c r="B84" s="6">
        <v>200</v>
      </c>
      <c r="C84" s="8" t="s">
        <v>991</v>
      </c>
      <c r="D84" s="66">
        <v>56</v>
      </c>
      <c r="E84" s="61" t="s">
        <v>67</v>
      </c>
      <c r="F84" s="8" t="s">
        <v>94</v>
      </c>
      <c r="G84" s="6" t="s">
        <v>918</v>
      </c>
      <c r="H84" s="67">
        <v>46.09</v>
      </c>
      <c r="I84" s="67">
        <v>56.32</v>
      </c>
      <c r="J84" s="68" t="s">
        <v>766</v>
      </c>
      <c r="K84" s="68"/>
      <c r="L84" s="8"/>
      <c r="M84" s="60" t="s">
        <v>98</v>
      </c>
      <c r="N84" s="49" t="s">
        <v>2</v>
      </c>
      <c r="O84" s="8"/>
      <c r="P84" s="8" t="s">
        <v>920</v>
      </c>
      <c r="Q84" s="8" t="s">
        <v>980</v>
      </c>
      <c r="R84" s="8">
        <v>0</v>
      </c>
      <c r="S84" s="8"/>
      <c r="T84" s="51"/>
      <c r="U84" s="8" t="b">
        <v>0</v>
      </c>
      <c r="V84" s="8" t="s">
        <v>981</v>
      </c>
      <c r="W84" s="8" t="s">
        <v>982</v>
      </c>
      <c r="X84" s="8">
        <v>245.48</v>
      </c>
      <c r="Y84" s="63" t="b">
        <v>0</v>
      </c>
      <c r="Z84" s="8"/>
      <c r="AA84" s="8"/>
      <c r="AB84" s="8"/>
      <c r="AC84" s="8"/>
      <c r="AD84" s="68"/>
      <c r="AE84" s="68"/>
      <c r="AF84" s="8"/>
      <c r="AG84" s="63" t="b">
        <v>0</v>
      </c>
      <c r="AH84" s="8">
        <v>0</v>
      </c>
      <c r="AI84" s="8" t="b">
        <v>0</v>
      </c>
      <c r="AJ84" s="8"/>
      <c r="AK84" s="8"/>
      <c r="AL84" s="63" t="b">
        <v>0</v>
      </c>
      <c r="AM84" s="8" t="b">
        <v>0</v>
      </c>
      <c r="AN84" s="8" t="b">
        <v>0</v>
      </c>
      <c r="AO84" s="8"/>
      <c r="AP84" s="54"/>
      <c r="AQ84" s="54"/>
      <c r="AR84" s="54" t="s">
        <v>1158</v>
      </c>
      <c r="AS84" s="8" t="s">
        <v>984</v>
      </c>
      <c r="AT84" s="8" t="s">
        <v>985</v>
      </c>
      <c r="AU84" s="8" t="b">
        <v>0</v>
      </c>
      <c r="AV84" s="6" t="b">
        <v>1</v>
      </c>
      <c r="AW84" s="8"/>
      <c r="AX84" s="8"/>
      <c r="AY84" s="8"/>
      <c r="AZ84" s="8" t="s">
        <v>919</v>
      </c>
      <c r="BA84" s="8" t="s">
        <v>919</v>
      </c>
      <c r="BB84" s="8">
        <v>30</v>
      </c>
      <c r="BC84" s="8">
        <v>3</v>
      </c>
      <c r="BD84" s="8" t="b">
        <v>0</v>
      </c>
      <c r="BE84" s="8" t="s">
        <v>93</v>
      </c>
      <c r="BF84" s="8">
        <v>0</v>
      </c>
      <c r="BG84" s="8">
        <v>2</v>
      </c>
      <c r="BH84" s="8">
        <v>8</v>
      </c>
      <c r="BI84" s="8" t="s">
        <v>986</v>
      </c>
      <c r="BJ84" s="8" t="b">
        <v>1</v>
      </c>
      <c r="BK84" s="8" t="b">
        <v>0</v>
      </c>
      <c r="BL84" s="8" t="b">
        <v>0</v>
      </c>
      <c r="BM84" s="8">
        <v>482</v>
      </c>
      <c r="BN84" s="8">
        <v>347</v>
      </c>
      <c r="BO84" s="8"/>
      <c r="BP84" s="8" t="s">
        <v>1159</v>
      </c>
      <c r="BQ84" s="68">
        <v>1</v>
      </c>
      <c r="BR84" s="68" t="b">
        <v>0</v>
      </c>
      <c r="BS84" s="9" t="str">
        <f>IFERROR(HYPERLINK("#Main!A"&amp;MATCH(A84,Main!A:A,0),"Open"),HYPERLINK("#Main!A1","Open"))</f>
        <v>Open</v>
      </c>
      <c r="BT84" s="9"/>
    </row>
    <row r="85" spans="1:72" ht="30" customHeight="1" x14ac:dyDescent="0.25">
      <c r="A85" s="58" t="s">
        <v>774</v>
      </c>
      <c r="B85" s="6">
        <v>200</v>
      </c>
      <c r="C85" s="11" t="s">
        <v>991</v>
      </c>
      <c r="D85" s="66">
        <v>56</v>
      </c>
      <c r="E85" s="61" t="s">
        <v>67</v>
      </c>
      <c r="F85" s="11" t="s">
        <v>94</v>
      </c>
      <c r="G85" s="6" t="s">
        <v>918</v>
      </c>
      <c r="H85" s="69">
        <v>49.95</v>
      </c>
      <c r="I85" s="69">
        <v>63.95</v>
      </c>
      <c r="J85" s="70" t="s">
        <v>774</v>
      </c>
      <c r="K85" s="70"/>
      <c r="L85" s="11"/>
      <c r="M85" s="60" t="s">
        <v>98</v>
      </c>
      <c r="N85" s="49" t="s">
        <v>2</v>
      </c>
      <c r="O85" s="11"/>
      <c r="P85" s="11" t="s">
        <v>920</v>
      </c>
      <c r="Q85" s="11" t="s">
        <v>980</v>
      </c>
      <c r="R85" s="11">
        <v>0</v>
      </c>
      <c r="S85" s="11"/>
      <c r="T85" s="55"/>
      <c r="U85" s="11" t="b">
        <v>0</v>
      </c>
      <c r="V85" s="11" t="s">
        <v>981</v>
      </c>
      <c r="W85" s="11" t="s">
        <v>982</v>
      </c>
      <c r="X85" s="11">
        <v>253.81</v>
      </c>
      <c r="Y85" s="63" t="b">
        <v>0</v>
      </c>
      <c r="Z85" s="11"/>
      <c r="AA85" s="11"/>
      <c r="AB85" s="11"/>
      <c r="AC85" s="11"/>
      <c r="AD85" s="70"/>
      <c r="AE85" s="70"/>
      <c r="AF85" s="11"/>
      <c r="AG85" s="63" t="b">
        <v>0</v>
      </c>
      <c r="AH85" s="11">
        <v>0</v>
      </c>
      <c r="AI85" s="11" t="b">
        <v>0</v>
      </c>
      <c r="AJ85" s="11"/>
      <c r="AK85" s="11"/>
      <c r="AL85" s="63" t="b">
        <v>0</v>
      </c>
      <c r="AM85" s="11" t="b">
        <v>0</v>
      </c>
      <c r="AN85" s="11" t="b">
        <v>0</v>
      </c>
      <c r="AO85" s="11"/>
      <c r="AP85" s="56"/>
      <c r="AQ85" s="56"/>
      <c r="AR85" s="56" t="s">
        <v>1160</v>
      </c>
      <c r="AS85" s="11" t="s">
        <v>984</v>
      </c>
      <c r="AT85" s="11" t="s">
        <v>985</v>
      </c>
      <c r="AU85" s="11" t="b">
        <v>0</v>
      </c>
      <c r="AV85" s="6" t="b">
        <v>1</v>
      </c>
      <c r="AW85" s="11"/>
      <c r="AX85" s="11"/>
      <c r="AY85" s="11"/>
      <c r="AZ85" s="11" t="s">
        <v>919</v>
      </c>
      <c r="BA85" s="11" t="s">
        <v>919</v>
      </c>
      <c r="BB85" s="11">
        <v>30</v>
      </c>
      <c r="BC85" s="11">
        <v>3</v>
      </c>
      <c r="BD85" s="11" t="b">
        <v>0</v>
      </c>
      <c r="BE85" s="11" t="s">
        <v>93</v>
      </c>
      <c r="BF85" s="11">
        <v>0</v>
      </c>
      <c r="BG85" s="11">
        <v>2</v>
      </c>
      <c r="BH85" s="11">
        <v>8</v>
      </c>
      <c r="BI85" s="11" t="s">
        <v>986</v>
      </c>
      <c r="BJ85" s="11" t="b">
        <v>1</v>
      </c>
      <c r="BK85" s="11" t="b">
        <v>0</v>
      </c>
      <c r="BL85" s="11" t="b">
        <v>0</v>
      </c>
      <c r="BM85" s="11">
        <v>352</v>
      </c>
      <c r="BN85" s="11">
        <v>2182</v>
      </c>
      <c r="BO85" s="11"/>
      <c r="BP85" s="11" t="s">
        <v>1161</v>
      </c>
      <c r="BQ85" s="70">
        <v>1</v>
      </c>
      <c r="BR85" s="70" t="b">
        <v>0</v>
      </c>
      <c r="BS85" t="str">
        <f>IFERROR(HYPERLINK("#Main!A"&amp;MATCH(A85,Main!A:A,0),"Open"),HYPERLINK("#Main!A1","Open"))</f>
        <v>Open</v>
      </c>
    </row>
    <row r="86" spans="1:72" ht="30" customHeight="1" x14ac:dyDescent="0.25">
      <c r="A86" s="59" t="s">
        <v>782</v>
      </c>
      <c r="B86" s="6">
        <v>200</v>
      </c>
      <c r="C86" s="8" t="s">
        <v>991</v>
      </c>
      <c r="D86" s="66">
        <v>59</v>
      </c>
      <c r="E86" s="61" t="s">
        <v>67</v>
      </c>
      <c r="F86" s="8" t="s">
        <v>94</v>
      </c>
      <c r="G86" s="6" t="s">
        <v>918</v>
      </c>
      <c r="H86" s="67">
        <v>44.18</v>
      </c>
      <c r="I86" s="67">
        <v>58.25</v>
      </c>
      <c r="J86" s="68" t="s">
        <v>782</v>
      </c>
      <c r="K86" s="68"/>
      <c r="L86" s="8"/>
      <c r="M86" s="60" t="s">
        <v>98</v>
      </c>
      <c r="N86" s="49" t="s">
        <v>2</v>
      </c>
      <c r="O86" s="8"/>
      <c r="P86" s="8" t="s">
        <v>920</v>
      </c>
      <c r="Q86" s="8" t="s">
        <v>980</v>
      </c>
      <c r="R86" s="8">
        <v>0</v>
      </c>
      <c r="S86" s="8"/>
      <c r="T86" s="51"/>
      <c r="U86" s="8" t="b">
        <v>0</v>
      </c>
      <c r="V86" s="8" t="s">
        <v>981</v>
      </c>
      <c r="W86" s="8" t="s">
        <v>982</v>
      </c>
      <c r="X86" s="8">
        <v>361.15</v>
      </c>
      <c r="Y86" s="63" t="b">
        <v>0</v>
      </c>
      <c r="Z86" s="8"/>
      <c r="AA86" s="8"/>
      <c r="AB86" s="8"/>
      <c r="AC86" s="8"/>
      <c r="AD86" s="68"/>
      <c r="AE86" s="68"/>
      <c r="AF86" s="8"/>
      <c r="AG86" s="63" t="b">
        <v>0</v>
      </c>
      <c r="AH86" s="8">
        <v>0</v>
      </c>
      <c r="AI86" s="8" t="b">
        <v>0</v>
      </c>
      <c r="AJ86" s="8"/>
      <c r="AK86" s="8"/>
      <c r="AL86" s="63" t="b">
        <v>0</v>
      </c>
      <c r="AM86" s="8" t="b">
        <v>0</v>
      </c>
      <c r="AN86" s="8" t="b">
        <v>0</v>
      </c>
      <c r="AO86" s="8"/>
      <c r="AP86" s="54"/>
      <c r="AQ86" s="54"/>
      <c r="AR86" s="54" t="s">
        <v>1162</v>
      </c>
      <c r="AS86" s="8" t="s">
        <v>984</v>
      </c>
      <c r="AT86" s="8" t="s">
        <v>985</v>
      </c>
      <c r="AU86" s="8" t="b">
        <v>0</v>
      </c>
      <c r="AV86" s="6" t="b">
        <v>1</v>
      </c>
      <c r="AW86" s="8"/>
      <c r="AX86" s="8"/>
      <c r="AY86" s="8"/>
      <c r="AZ86" s="8" t="s">
        <v>919</v>
      </c>
      <c r="BA86" s="8" t="s">
        <v>919</v>
      </c>
      <c r="BB86" s="8">
        <v>30</v>
      </c>
      <c r="BC86" s="8">
        <v>3</v>
      </c>
      <c r="BD86" s="8" t="b">
        <v>0</v>
      </c>
      <c r="BE86" s="8" t="s">
        <v>93</v>
      </c>
      <c r="BF86" s="8">
        <v>0</v>
      </c>
      <c r="BG86" s="8">
        <v>2</v>
      </c>
      <c r="BH86" s="8">
        <v>7</v>
      </c>
      <c r="BI86" s="8" t="s">
        <v>986</v>
      </c>
      <c r="BJ86" s="8" t="b">
        <v>1</v>
      </c>
      <c r="BK86" s="8" t="b">
        <v>0</v>
      </c>
      <c r="BL86" s="8" t="b">
        <v>0</v>
      </c>
      <c r="BM86" s="8">
        <v>367</v>
      </c>
      <c r="BN86" s="8">
        <v>2151</v>
      </c>
      <c r="BO86" s="8"/>
      <c r="BP86" s="8" t="s">
        <v>1163</v>
      </c>
      <c r="BQ86" s="68">
        <v>1</v>
      </c>
      <c r="BR86" s="68" t="b">
        <v>0</v>
      </c>
      <c r="BS86" s="9" t="str">
        <f>IFERROR(HYPERLINK("#Main!A"&amp;MATCH(A86,Main!A:A,0),"Open"),HYPERLINK("#Main!A1","Open"))</f>
        <v>Open</v>
      </c>
      <c r="BT86" s="9"/>
    </row>
  </sheetData>
  <autoFilter ref="A1:BT86" xr:uid="{00000000-0009-0000-0000-000005000000}"/>
  <conditionalFormatting sqref="B2:B86">
    <cfRule type="cellIs" dxfId="36" priority="1" operator="equal">
      <formula>200</formula>
    </cfRule>
    <cfRule type="cellIs" dxfId="35" priority="2" operator="between">
      <formula>300</formula>
      <formula>399</formula>
    </cfRule>
    <cfRule type="cellIs" dxfId="34" priority="3" operator="greaterThanOrEqual">
      <formula>400</formula>
    </cfRule>
  </conditionalFormatting>
  <conditionalFormatting sqref="D2:D86">
    <cfRule type="colorScale" priority="6">
      <colorScale>
        <cfvo type="min"/>
        <cfvo type="percentile" val="50"/>
        <cfvo type="max"/>
        <color rgb="FFF8696B"/>
        <color rgb="FFFFEB84"/>
        <color rgb="FF63BE7B"/>
      </colorScale>
    </cfRule>
  </conditionalFormatting>
  <conditionalFormatting sqref="E2:E86">
    <cfRule type="expression" dxfId="33" priority="9" stopIfTrue="1">
      <formula>LOWER(E2)="critical"</formula>
    </cfRule>
    <cfRule type="expression" dxfId="32" priority="10" stopIfTrue="1">
      <formula>LOWER(E2)="warning"</formula>
    </cfRule>
    <cfRule type="expression" dxfId="31" priority="11" stopIfTrue="1">
      <formula>OR(LOWER(E2)="pass",LOWER(E2)="observation")</formula>
    </cfRule>
  </conditionalFormatting>
  <conditionalFormatting sqref="F2:F86">
    <cfRule type="expression" dxfId="30" priority="7" stopIfTrue="1">
      <formula>LOWER(F2)="yes"</formula>
    </cfRule>
    <cfRule type="expression" dxfId="29" priority="8" stopIfTrue="1">
      <formula>LOWER(F2)="no"</formula>
    </cfRule>
  </conditionalFormatting>
  <conditionalFormatting sqref="H2:H86">
    <cfRule type="colorScale" priority="4">
      <colorScale>
        <cfvo type="min"/>
        <cfvo type="percentile" val="50"/>
        <cfvo type="max"/>
        <color rgb="FF63BE7B"/>
        <color rgb="FFFFEB84"/>
        <color rgb="FFF8696B"/>
      </colorScale>
    </cfRule>
    <cfRule type="dataBar" priority="5">
      <dataBar>
        <cfvo type="min"/>
        <cfvo type="max"/>
        <color rgb="FF638EC6"/>
      </dataBar>
    </cfRule>
  </conditionalFormatting>
  <conditionalFormatting sqref="N2:N86">
    <cfRule type="expression" dxfId="28" priority="12" stopIfTrue="1">
      <formula>LOWER(N2)="done"</formula>
    </cfRule>
    <cfRule type="expression" dxfId="27" priority="13" stopIfTrue="1">
      <formula>OR(LOWER(N2)="to do",LOWER(N2)="in progress",LOWER(N2)="in review")</formula>
    </cfRule>
  </conditionalFormatting>
  <dataValidations count="78">
    <dataValidation type="custom" allowBlank="1" showInputMessage="1" promptTitle="URL" prompt="URL. Use this URL to inspect the page directly or jump to related tabs." sqref="A1" xr:uid="{00000000-0002-0000-0500-000000000000}">
      <formula1>TRUE</formula1>
    </dataValidation>
    <dataValidation type="custom" allowBlank="1" showInputMessage="1" promptTitle="Status Code" prompt="HTTP response code returned for this page/resource. Fix: Resolve 4xx/5xx errors and reduce unnecessary redirects." sqref="B1" xr:uid="{00000000-0002-0000-0500-000001000000}">
      <formula1>TRUE</formula1>
    </dataValidation>
    <dataValidation type="custom" allowBlank="1" showInputMessage="1" promptTitle="Status Class" prompt="Grouped HTTP class (2xx/3xx/4xx/5xx). Use this to quickly triage crawl health and error concentration." sqref="C1" xr:uid="{00000000-0002-0000-05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500-000003000000}">
      <formula1>TRUE</formula1>
    </dataValidation>
    <dataValidation type="custom" allowBlank="1" showInputMessage="1" promptTitle="Severity Badge" prompt="Issue impact level. Fix: Resolve Critical first, then Warning, then improvement opportunities." sqref="E1" xr:uid="{00000000-0002-0000-0500-000004000000}">
      <formula1>TRUE</formula1>
    </dataValidation>
    <dataValidation type="custom" allowBlank="1" showInputMessage="1" promptTitle="Action Needed" prompt="Action Needed. Review this metric to identify risk, then use linked tabs for details and remediation." sqref="F1" xr:uid="{00000000-0002-0000-0500-000005000000}">
      <formula1>TRUE</formula1>
    </dataValidation>
    <dataValidation type="custom" allowBlank="1" showInputMessage="1" promptTitle="Indexability Reason" prompt="Indexing/canonicalization signal. Fix: ensure indexable pages use correct canonicals and non-conflicting directives." sqref="G1" xr:uid="{00000000-0002-0000-0500-000006000000}">
      <formula1>TRUE</formula1>
    </dataValidation>
    <dataValidation type="custom" allowBlank="1" showInputMessage="1" promptTitle="TTFB (ms)" prompt="Time to First Byte: server responsiveness signal. Fix: optimise backend performance, caching, and CDN usage." sqref="H1" xr:uid="{00000000-0002-0000-0500-000007000000}">
      <formula1>TRUE</formula1>
    </dataValidation>
    <dataValidation type="custom" allowBlank="1" showInputMessage="1" promptTitle="Total Request Time (ms)" prompt="Page/request speed metric. Fix: optimise assets, server response time, and blocking resources." sqref="I1" xr:uid="{00000000-0002-0000-0500-000008000000}">
      <formula1>TRUE</formula1>
    </dataValidation>
    <dataValidation type="custom" allowBlank="1" showInputMessage="1" promptTitle="Final URL" prompt="Final URL. Use this URL to inspect the page directly or jump to related tabs." sqref="J1" xr:uid="{00000000-0002-0000-0500-000009000000}">
      <formula1>TRUE</formula1>
    </dataValidation>
    <dataValidation type="custom" allowBlank="1" showInputMessage="1" promptTitle="Canonical URL" prompt="Canonical URL. Use this URL to inspect the page directly or jump to related tabs." sqref="K1" xr:uid="{00000000-0002-0000-0500-00000A000000}">
      <formula1>TRUE</formula1>
    </dataValidation>
    <dataValidation type="custom" allowBlank="1" showInputMessage="1" promptTitle="Canonical Type" prompt="Indexing/canonicalization signal. Fix: ensure indexable pages use correct canonicals and non-conflicting directives." sqref="L1" xr:uid="{00000000-0002-0000-0500-00000B000000}">
      <formula1>TRUE</formula1>
    </dataValidation>
    <dataValidation type="custom" allowBlank="1" showInputMessage="1" promptTitle="Owner" prompt="Workflow management field for planning and tracking remediation progress." sqref="M1" xr:uid="{00000000-0002-0000-0500-00000C000000}">
      <formula1>TRUE</formula1>
    </dataValidation>
    <dataValidation type="custom" allowBlank="1" showInputMessage="1" promptTitle="Status" prompt="Workflow management field for planning and tracking remediation progress." sqref="N1" xr:uid="{00000000-0002-0000-0500-00000D000000}">
      <formula1>TRUE</formula1>
    </dataValidation>
    <dataValidation type="custom" allowBlank="1" showInputMessage="1" promptTitle="Sprint" prompt="Workflow management field for planning and tracking remediation progress." sqref="O1" xr:uid="{00000000-0002-0000-0500-00000E000000}">
      <formula1>TRUE</formula1>
    </dataValidation>
    <dataValidation type="custom" allowBlank="1" showInputMessage="1" promptTitle="Health Icon" prompt="Health Icon. Review this metric to identify risk, then use linked tabs for details and remediation." sqref="P1" xr:uid="{00000000-0002-0000-0500-00000F000000}">
      <formula1>TRUE</formula1>
    </dataValidation>
    <dataValidation type="custom" allowBlank="1" showInputMessage="1" promptTitle="Protocol" prompt="Protocol. Review this metric to identify risk, then use linked tabs for details and remediation." sqref="Q1" xr:uid="{00000000-0002-0000-0500-000010000000}">
      <formula1>TRUE</formula1>
    </dataValidation>
    <dataValidation type="custom" allowBlank="1" showInputMessage="1" promptTitle="Redirect Chain Length" prompt="Redirect Chain Length. Review this metric to identify risk, then use linked tabs for details and remediation." sqref="R1" xr:uid="{00000000-0002-0000-0500-000011000000}">
      <formula1>TRUE</formula1>
    </dataValidation>
    <dataValidation type="custom" allowBlank="1" showInputMessage="1" promptTitle="Redirect Target" prompt="Redirect Target. Review this metric to identify risk, then use linked tabs for details and remediation." sqref="S1" xr:uid="{00000000-0002-0000-0500-000012000000}">
      <formula1>TRUE</formula1>
    </dataValidation>
    <dataValidation type="custom" allowBlank="1" showInputMessage="1" promptTitle="Redirect Hops" prompt="Redirect Hops. Review this metric to identify risk, then use linked tabs for details and remediation." sqref="T1" xr:uid="{00000000-0002-0000-0500-000013000000}">
      <formula1>TRUE</formula1>
    </dataValidation>
    <dataValidation type="custom" allowBlank="1" showInputMessage="1" promptTitle="HTTP-&gt;HTTPS Redirect" prompt="HTTP-&gt;HTTPS Redirect. Review this metric to identify risk, then use linked tabs for details and remediation." sqref="U1" xr:uid="{00000000-0002-0000-0500-000014000000}">
      <formula1>TRUE</formula1>
    </dataValidation>
    <dataValidation type="custom" allowBlank="1" showInputMessage="1" promptTitle="Content-Type" prompt="Content-Type. Review this metric to identify risk, then use linked tabs for details and remediation." sqref="V1" xr:uid="{00000000-0002-0000-0500-000015000000}">
      <formula1>TRUE</formula1>
    </dataValidation>
    <dataValidation type="custom" allowBlank="1" showInputMessage="1" promptTitle="HTTP Version" prompt="HTTP Version. Review this metric to identify risk, then use linked tabs for details and remediation." sqref="W1" xr:uid="{00000000-0002-0000-0500-000016000000}">
      <formula1>TRUE</formula1>
    </dataValidation>
    <dataValidation type="custom" allowBlank="1" showInputMessage="1" promptTitle="HTML Size (KB)" prompt="HTML Size (KB). Review this metric to identify risk, then use linked tabs for details and remediation." sqref="X1" xr:uid="{00000000-0002-0000-0500-000017000000}">
      <formula1>TRUE</formula1>
    </dataValidation>
    <dataValidation type="custom" allowBlank="1" showInputMessage="1" promptTitle="Compression Enabled" prompt="Compression Enabled. Review this metric to identify risk, then use linked tabs for details and remediation." sqref="Y1" xr:uid="{00000000-0002-0000-0500-000018000000}">
      <formula1>TRUE</formula1>
    </dataValidation>
    <dataValidation type="custom" allowBlank="1" showInputMessage="1" promptTitle="Cache-Control" prompt="Cache-Control. Review this metric to identify risk, then use linked tabs for details and remediation." sqref="Z1" xr:uid="{00000000-0002-0000-0500-000019000000}">
      <formula1>TRUE</formula1>
    </dataValidation>
    <dataValidation type="custom" allowBlank="1" showInputMessage="1" promptTitle="ETag" prompt="ETag. Review this metric to identify risk, then use linked tabs for details and remediation." sqref="AA1" xr:uid="{00000000-0002-0000-0500-00001A000000}">
      <formula1>TRUE</formula1>
    </dataValidation>
    <dataValidation type="custom" allowBlank="1" showInputMessage="1" promptTitle="X-Robots-Tag" prompt="Robots directives that influence indexation. Fix: remove unintended noindex/nofollow values on important pages." sqref="AB1" xr:uid="{00000000-0002-0000-0500-00001B000000}">
      <formula1>TRUE</formula1>
    </dataValidation>
    <dataValidation type="custom" allowBlank="1" showInputMessage="1" promptTitle="Meta Robots Raw" prompt="Robots directives that influence indexation. Fix: remove unintended noindex/nofollow values on important pages." sqref="AC1" xr:uid="{00000000-0002-0000-0500-00001C000000}">
      <formula1>TRUE</formula1>
    </dataValidation>
    <dataValidation type="custom" allowBlank="1" showInputMessage="1" promptTitle="Canonical Matches Final URL" prompt="Canonical Matches Final URL. Use this URL to inspect the page directly or jump to related tabs." sqref="AD1" xr:uid="{00000000-0002-0000-0500-00001D000000}">
      <formula1>TRUE</formula1>
    </dataValidation>
    <dataValidation type="custom" allowBlank="1" showInputMessage="1" promptTitle="Canonical Absolute URL" prompt="Canonical Absolute URL. Use this URL to inspect the page directly or jump to related tabs." sqref="AE1" xr:uid="{00000000-0002-0000-0500-00001E000000}">
      <formula1>TRUE</formula1>
    </dataValidation>
    <dataValidation type="custom" allowBlank="1" showInputMessage="1" promptTitle="Canonical in Sitemap Match" prompt="Indexing/canonicalization signal. Fix: ensure indexable pages use correct canonicals and non-conflicting directives." sqref="AF1" xr:uid="{00000000-0002-0000-0500-00001F000000}">
      <formula1>TRUE</formula1>
    </dataValidation>
    <dataValidation type="custom" allowBlank="1" showInputMessage="1" promptTitle="Hreflang Present" prompt="Hreflang Present. Review this metric to identify risk, then use linked tabs for details and remediation." sqref="AG1" xr:uid="{00000000-0002-0000-0500-000020000000}">
      <formula1>TRUE</formula1>
    </dataValidation>
    <dataValidation type="custom" allowBlank="1" showInputMessage="1" promptTitle="Hreflang Count" prompt="Hreflang Count. Review this metric to identify risk, then use linked tabs for details and remediation." sqref="AH1" xr:uid="{00000000-0002-0000-0500-000021000000}">
      <formula1>TRUE</formula1>
    </dataValidation>
    <dataValidation type="custom" allowBlank="1" showInputMessage="1" promptTitle="Hreflang Self Reference" prompt="Hreflang Self Reference. Review this metric to identify risk, then use linked tabs for details and remediation." sqref="AI1" xr:uid="{00000000-0002-0000-0500-000022000000}">
      <formula1>TRUE</formula1>
    </dataValidation>
    <dataValidation type="custom" allowBlank="1" showInputMessage="1" promptTitle="Hreflang Reciprocal Check" prompt="Hreflang Reciprocal Check. Review this metric to identify risk, then use linked tabs for details and remediation." sqref="AJ1" xr:uid="{00000000-0002-0000-0500-000023000000}">
      <formula1>TRUE</formula1>
    </dataValidation>
    <dataValidation type="custom" allowBlank="1" showInputMessage="1" promptTitle="Hreflang Canonical Consistency" prompt="Indexing/canonicalization signal. Fix: ensure indexable pages use correct canonicals and non-conflicting directives." sqref="AK1" xr:uid="{00000000-0002-0000-0500-000024000000}">
      <formula1>TRUE</formula1>
    </dataValidation>
    <dataValidation type="custom" allowBlank="1" showInputMessage="1" promptTitle="x-default Present" prompt="x-default Present. Review this metric to identify risk, then use linked tabs for details and remediation." sqref="AL1" xr:uid="{00000000-0002-0000-0500-000025000000}">
      <formula1>TRUE</formula1>
    </dataValidation>
    <dataValidation type="custom" allowBlank="1" showInputMessage="1" promptTitle="Pagination rel=next" prompt="Pagination rel=next. Review this metric to identify risk, then use linked tabs for details and remediation." sqref="AM1" xr:uid="{00000000-0002-0000-0500-000026000000}">
      <formula1>TRUE</formula1>
    </dataValidation>
    <dataValidation type="custom" allowBlank="1" showInputMessage="1" promptTitle="Pagination rel=prev" prompt="Pagination rel=prev. Review this metric to identify risk, then use linked tabs for details and remediation." sqref="AN1" xr:uid="{00000000-0002-0000-0500-000027000000}">
      <formula1>TRUE</formula1>
    </dataValidation>
    <dataValidation type="custom" allowBlank="1" showInputMessage="1" promptTitle="Last-Modified" prompt="Last-Modified. Review this metric to identify risk, then use linked tabs for details and remediation." sqref="AO1" xr:uid="{00000000-0002-0000-0500-000028000000}">
      <formula1>TRUE</formula1>
    </dataValidation>
    <dataValidation type="custom" allowBlank="1" showInputMessage="1" promptTitle="Published Date" prompt="Published Date. Review this metric to identify risk, then use linked tabs for details and remediation." sqref="AP1" xr:uid="{00000000-0002-0000-0500-000029000000}">
      <formula1>TRUE</formula1>
    </dataValidation>
    <dataValidation type="custom" allowBlank="1" showInputMessage="1" promptTitle="Modified Date" prompt="Modified Date. Review this metric to identify risk, then use linked tabs for details and remediation." sqref="AQ1" xr:uid="{00000000-0002-0000-0500-00002A000000}">
      <formula1>TRUE</formula1>
    </dataValidation>
    <dataValidation type="custom" allowBlank="1" showInputMessage="1" promptTitle="Last Updated" prompt="Last Updated. Review this metric to identify risk, then use linked tabs for details and remediation." sqref="AR1" xr:uid="{00000000-0002-0000-0500-00002B000000}">
      <formula1>TRUE</formula1>
    </dataValidation>
    <dataValidation type="custom" allowBlank="1" showInputMessage="1" promptTitle="Change Frequency" prompt="Change Frequency. Review this metric to identify risk, then use linked tabs for details and remediation." sqref="AS1" xr:uid="{00000000-0002-0000-0500-00002C000000}">
      <formula1>TRUE</formula1>
    </dataValidation>
    <dataValidation type="custom" allowBlank="1" showInputMessage="1" promptTitle="Priority" prompt="Priority. Review this metric to identify risk, then use linked tabs for details and remediation." sqref="AT1" xr:uid="{00000000-0002-0000-0500-00002D000000}">
      <formula1>TRUE</formula1>
    </dataValidation>
    <dataValidation type="custom" allowBlank="1" showInputMessage="1" promptTitle="AI Crawlers Allowed (GPTBot/Clau" prompt="AI Crawlers Allowed (GPTBot/ClaudeBot/PerplexityBot). Review this metric to identify risk, then use linked tabs for details and remediation." sqref="AU1" xr:uid="{00000000-0002-0000-0500-00002E000000}">
      <formula1>TRUE</formula1>
    </dataValidation>
    <dataValidation type="custom" allowBlank="1" showInputMessage="1" promptTitle="llms.txt Present" prompt="llms.txt Present. Review this metric to identify risk, then use linked tabs for details and remediation." sqref="AV1" xr:uid="{00000000-0002-0000-0500-00002F000000}">
      <formula1>TRUE</formula1>
    </dataValidation>
    <dataValidation type="custom" allowBlank="1" showInputMessage="1" promptTitle="CWV LCP (s)" prompt="CWV LCP (s). Review this metric to identify risk, then use linked tabs for details and remediation." sqref="AW1" xr:uid="{00000000-0002-0000-0500-000030000000}">
      <formula1>TRUE</formula1>
    </dataValidation>
    <dataValidation type="custom" allowBlank="1" showInputMessage="1" promptTitle="CWV INP (ms)" prompt="CWV INP (ms). Review this metric to identify risk, then use linked tabs for details and remediation." sqref="AX1" xr:uid="{00000000-0002-0000-0500-000031000000}">
      <formula1>TRUE</formula1>
    </dataValidation>
    <dataValidation type="custom" allowBlank="1" showInputMessage="1" promptTitle="CWV CLS" prompt="CWV CLS. Review this metric to identify risk, then use linked tabs for details and remediation." sqref="AY1" xr:uid="{00000000-0002-0000-0500-000032000000}">
      <formula1>TRUE</formula1>
    </dataValidation>
    <dataValidation type="custom" allowBlank="1" showInputMessage="1" promptTitle="CWV Data Source" prompt="CWV Data Source. Review this metric to identify risk, then use linked tabs for details and remediation." sqref="AZ1" xr:uid="{00000000-0002-0000-0500-000033000000}">
      <formula1>TRUE</formula1>
    </dataValidation>
    <dataValidation type="custom" allowBlank="1" showInputMessage="1" promptTitle="Field vs Lab" prompt="Field vs Lab. Review this metric to identify risk, then use linked tabs for details and remediation." sqref="BA1" xr:uid="{00000000-0002-0000-0500-000034000000}">
      <formula1>TRUE</formula1>
    </dataValidation>
    <dataValidation type="custom" allowBlank="1" showInputMessage="1" promptTitle="Regional Authority Score" prompt="Regional Authority Score. Review this metric to identify risk, then use linked tabs for details and remediation." sqref="BB1" xr:uid="{00000000-0002-0000-0500-000035000000}">
      <formula1>TRUE</formula1>
    </dataValidation>
    <dataValidation type="custom" allowBlank="1" showInputMessage="1" promptTitle="Regional Entity Hits" prompt="Regional Entity Hits. Review this metric to identify risk, then use linked tabs for details and remediation." sqref="BC1" xr:uid="{00000000-0002-0000-0500-000036000000}">
      <formula1>TRUE</formula1>
    </dataValidation>
    <dataValidation type="custom" allowBlank="1" showInputMessage="1" promptTitle="Answer Block Detected (First 60 " prompt="Answer Block Detected (First 60 Words). Review this metric to identify risk, then use linked tabs for details and remediation." sqref="BD1" xr:uid="{00000000-0002-0000-0500-000037000000}">
      <formula1>TRUE</formula1>
    </dataValidation>
    <dataValidation type="custom" allowBlank="1" showInputMessage="1" promptTitle="AEO Extractability Score" prompt="AEO Extractability Score. Review this metric to identify risk, then use linked tabs for details and remediation." sqref="BE1" xr:uid="{00000000-0002-0000-0500-000038000000}">
      <formula1>TRUE</formula1>
    </dataValidation>
    <dataValidation type="custom" allowBlank="1" showInputMessage="1" promptTitle="Critical Issues Count" prompt="Critical Issues Count. Review this metric to identify risk, then use linked tabs for details and remediation." sqref="BF1" xr:uid="{00000000-0002-0000-0500-000039000000}">
      <formula1>TRUE</formula1>
    </dataValidation>
    <dataValidation type="custom" allowBlank="1" showInputMessage="1" promptTitle="Warning Issues Count" prompt="Warning Issues Count. Review this metric to identify risk, then use linked tabs for details and remediation." sqref="BG1" xr:uid="{00000000-0002-0000-0500-00003A000000}">
      <formula1>TRUE</formula1>
    </dataValidation>
    <dataValidation type="custom" allowBlank="1" showInputMessage="1" promptTitle="Observation Issues Count" prompt="Observation Issues Count. Review this metric to identify risk, then use linked tabs for details and remediation." sqref="BH1" xr:uid="{00000000-0002-0000-0500-00003B000000}">
      <formula1>TRUE</formula1>
    </dataValidation>
    <dataValidation type="custom" allowBlank="1" showInputMessage="1" promptTitle="Inlinks Bucket" prompt="Link quality and crawl-path metric. Fix: repair broken links and improve internal linking relevance." sqref="BI1" xr:uid="{00000000-0002-0000-0500-00003C000000}">
      <formula1>TRUE</formula1>
    </dataValidation>
    <dataValidation type="custom" allowBlank="1" showInputMessage="1" promptTitle="Important But Underlinked" prompt="Link quality and crawl-path metric. Fix: repair broken links and improve internal linking relevance." sqref="BJ1" xr:uid="{00000000-0002-0000-0500-00003D000000}">
      <formula1>TRUE</formula1>
    </dataValidation>
    <dataValidation type="custom" allowBlank="1" showInputMessage="1" promptTitle="SERP Title Truncation Risk" prompt="SERP Title Truncation Risk. Review this metric to identify risk, then use linked tabs for details and remediation." sqref="BK1" xr:uid="{00000000-0002-0000-0500-00003E000000}">
      <formula1>TRUE</formula1>
    </dataValidation>
    <dataValidation type="custom" allowBlank="1" showInputMessage="1" promptTitle="SERP Meta Truncation Risk" prompt="SERP Meta Truncation Risk. Review this metric to identify risk, then use linked tabs for details and remediation." sqref="BL1" xr:uid="{00000000-0002-0000-0500-00003F000000}">
      <formula1>TRUE</formula1>
    </dataValidation>
    <dataValidation type="custom" allowBlank="1" showInputMessage="1" promptTitle="SERP Title Pixel Approx" prompt="SERP Title Pixel Approx. Review this metric to identify risk, then use linked tabs for details and remediation." sqref="BM1" xr:uid="{00000000-0002-0000-0500-000040000000}">
      <formula1>TRUE</formula1>
    </dataValidation>
    <dataValidation type="custom" allowBlank="1" showInputMessage="1" promptTitle="SERP Meta Pixel Approx" prompt="SERP Meta Pixel Approx. Review this metric to identify risk, then use linked tabs for details and remediation." sqref="BN1" xr:uid="{00000000-0002-0000-0500-000041000000}">
      <formula1>TRUE</formula1>
    </dataValidation>
    <dataValidation type="custom" allowBlank="1" showInputMessage="1" promptTitle="Cannibalization Hint" prompt="Cannibalization Hint. Review this metric to identify risk, then use linked tabs for details and remediation." sqref="BO1" xr:uid="{00000000-0002-0000-0500-000042000000}">
      <formula1>TRUE</formula1>
    </dataValidation>
    <dataValidation type="custom" allowBlank="1" showInputMessage="1" promptTitle="Stable Issue IDs" prompt="Stable Issue IDs. Review this metric to identify risk, then use linked tabs for details and remediation." sqref="BP1" xr:uid="{00000000-0002-0000-0500-000043000000}">
      <formula1>TRUE</formula1>
    </dataValidation>
    <dataValidation type="custom" allowBlank="1" showInputMessage="1" promptTitle="URL Depth" prompt="URL Depth. Use this URL to inspect the page directly or jump to related tabs." sqref="BQ1" xr:uid="{00000000-0002-0000-0500-000044000000}">
      <formula1>TRUE</formula1>
    </dataValidation>
    <dataValidation type="custom" allowBlank="1" showInputMessage="1" promptTitle="Param URL Flag" prompt="Param URL Flag. Use this URL to inspect the page directly or jump to related tabs." sqref="BR1" xr:uid="{00000000-0002-0000-0500-000045000000}">
      <formula1>TRUE</formula1>
    </dataValidation>
    <dataValidation type="custom" allowBlank="1" showInputMessage="1" promptTitle="Open in Main" prompt="Navigation helper. Click to jump directly to the related record in another tab." sqref="BS1" xr:uid="{00000000-0002-0000-0500-000046000000}">
      <formula1>TRUE</formula1>
    </dataValidation>
    <dataValidation type="custom" allowBlank="1" showInputMessage="1" promptTitle="BACK TO DASHBOARD" prompt="BACK TO DASHBOARD. Review this metric to identify risk, then use linked tabs for details and remediation." sqref="BT1" xr:uid="{00000000-0002-0000-0500-000047000000}">
      <formula1>TRUE</formula1>
    </dataValidation>
    <dataValidation type="custom" allowBlank="1" showInputMessage="1" promptTitle="TTFB (ms)" prompt="Time to First Byte. Measures server responsiveness. Fix: Optimize server-side code or use a CDN." sqref="H1" xr:uid="{00000000-0002-0000-0500-000048000000}">
      <formula1>TRUE</formula1>
    </dataValidation>
    <dataValidation type="custom" allowBlank="1" showInputMessage="1" promptTitle="Indexability Reason" prompt="Primary reason this URL may not be indexed. Fix: Resolve noindex directives, non-200 responses, and canonical mismatches." sqref="G1" xr:uid="{00000000-0002-0000-0500-000049000000}">
      <formula1>TRUE</formula1>
    </dataValidation>
    <dataValidation type="custom" allowBlank="1" showInputMessage="1" promptTitle="Status Code" prompt="HTTP status returned for the URL. Fix: Resolve 4xx/5xx errors and remove unnecessary redirect chains." sqref="B1" xr:uid="{00000000-0002-0000-0500-00004A000000}">
      <formula1>TRUE</formula1>
    </dataValidation>
    <dataValidation type="custom" allowBlank="1" showInputMessage="1" promptTitle="SEO Health Score" prompt="Weighted technical SEO quality score for this URL. Fix: Prioritize critical issues and improve warnings in FixPlan." sqref="D1" xr:uid="{00000000-0002-0000-0500-00004B000000}">
      <formula1>TRUE</formula1>
    </dataValidation>
    <dataValidation type="custom" allowBlank="1" showInputMessage="1" promptTitle="Canonical Type" prompt="Canonical relationship classification. Fix: Use self-canonical on indexable pages; avoid unintended cross-canonicals." sqref="L1" xr:uid="{00000000-0002-0000-0500-00004C000000}">
      <formula1>TRUE</formula1>
    </dataValidation>
    <dataValidation type="custom" allowBlank="1" showInputMessage="1" promptTitle="Redirect Chain Length" prompt="Number of redirect hops before final destination. Fix: Reduce to a single hop where possible." sqref="R1" xr:uid="{00000000-0002-0000-0500-00004D000000}">
      <formula1>TRUE</formula1>
    </dataValidation>
  </dataValidations>
  <hyperlinks>
    <hyperlink ref="BT1" location="Dashboard!A1" display="BACK TO DASHBOARD" xr:uid="{00000000-0004-0000-0500-000000000000}"/>
    <hyperlink ref="A2" r:id="rId1" xr:uid="{00000000-0004-0000-0500-000001000000}"/>
    <hyperlink ref="A3" r:id="rId2" xr:uid="{00000000-0004-0000-0500-000002000000}"/>
    <hyperlink ref="A4" r:id="rId3" xr:uid="{00000000-0004-0000-0500-000003000000}"/>
    <hyperlink ref="A5" r:id="rId4" xr:uid="{00000000-0004-0000-0500-000004000000}"/>
    <hyperlink ref="A6" r:id="rId5" xr:uid="{00000000-0004-0000-0500-000005000000}"/>
    <hyperlink ref="A7" r:id="rId6" xr:uid="{00000000-0004-0000-0500-000006000000}"/>
    <hyperlink ref="A8" r:id="rId7" xr:uid="{00000000-0004-0000-0500-000007000000}"/>
    <hyperlink ref="A9" r:id="rId8" xr:uid="{00000000-0004-0000-0500-000008000000}"/>
    <hyperlink ref="A10" r:id="rId9" xr:uid="{00000000-0004-0000-0500-000009000000}"/>
    <hyperlink ref="A11" r:id="rId10" xr:uid="{00000000-0004-0000-0500-00000A000000}"/>
    <hyperlink ref="A12" r:id="rId11" xr:uid="{00000000-0004-0000-0500-00000B000000}"/>
    <hyperlink ref="A13" r:id="rId12" xr:uid="{00000000-0004-0000-0500-00000C000000}"/>
    <hyperlink ref="A14" r:id="rId13" xr:uid="{00000000-0004-0000-0500-00000D000000}"/>
    <hyperlink ref="A15" r:id="rId14" xr:uid="{00000000-0004-0000-0500-00000E000000}"/>
    <hyperlink ref="A16" r:id="rId15" xr:uid="{00000000-0004-0000-0500-00000F000000}"/>
    <hyperlink ref="A17" r:id="rId16" xr:uid="{00000000-0004-0000-0500-000010000000}"/>
    <hyperlink ref="A18" r:id="rId17" xr:uid="{00000000-0004-0000-0500-000011000000}"/>
    <hyperlink ref="A19" r:id="rId18" xr:uid="{00000000-0004-0000-0500-000012000000}"/>
    <hyperlink ref="A20" r:id="rId19" xr:uid="{00000000-0004-0000-0500-000013000000}"/>
    <hyperlink ref="A21" r:id="rId20" xr:uid="{00000000-0004-0000-0500-000014000000}"/>
    <hyperlink ref="A22" r:id="rId21" xr:uid="{00000000-0004-0000-0500-000015000000}"/>
    <hyperlink ref="A23" r:id="rId22" xr:uid="{00000000-0004-0000-0500-000016000000}"/>
    <hyperlink ref="A24" r:id="rId23" xr:uid="{00000000-0004-0000-0500-000017000000}"/>
    <hyperlink ref="A25" r:id="rId24" xr:uid="{00000000-0004-0000-0500-000018000000}"/>
    <hyperlink ref="A26" r:id="rId25" xr:uid="{00000000-0004-0000-0500-000019000000}"/>
    <hyperlink ref="A27" r:id="rId26" xr:uid="{00000000-0004-0000-0500-00001A000000}"/>
    <hyperlink ref="A28" r:id="rId27" xr:uid="{00000000-0004-0000-0500-00001B000000}"/>
    <hyperlink ref="A29" r:id="rId28" xr:uid="{00000000-0004-0000-0500-00001C000000}"/>
    <hyperlink ref="A30" r:id="rId29" xr:uid="{00000000-0004-0000-0500-00001D000000}"/>
    <hyperlink ref="A31" r:id="rId30" xr:uid="{00000000-0004-0000-0500-00001E000000}"/>
    <hyperlink ref="A32" r:id="rId31" xr:uid="{00000000-0004-0000-0500-00001F000000}"/>
    <hyperlink ref="A33" r:id="rId32" xr:uid="{00000000-0004-0000-0500-000020000000}"/>
    <hyperlink ref="A34" r:id="rId33" xr:uid="{00000000-0004-0000-0500-000021000000}"/>
    <hyperlink ref="A35" r:id="rId34" xr:uid="{00000000-0004-0000-0500-000022000000}"/>
    <hyperlink ref="A36" r:id="rId35" xr:uid="{00000000-0004-0000-0500-000023000000}"/>
    <hyperlink ref="A37" r:id="rId36" xr:uid="{00000000-0004-0000-0500-000024000000}"/>
    <hyperlink ref="A38" r:id="rId37" xr:uid="{00000000-0004-0000-0500-000025000000}"/>
    <hyperlink ref="A39" r:id="rId38" xr:uid="{00000000-0004-0000-0500-000026000000}"/>
    <hyperlink ref="A40" r:id="rId39" xr:uid="{00000000-0004-0000-0500-000027000000}"/>
    <hyperlink ref="A41" r:id="rId40" xr:uid="{00000000-0004-0000-0500-000028000000}"/>
    <hyperlink ref="A42" r:id="rId41" xr:uid="{00000000-0004-0000-0500-000029000000}"/>
    <hyperlink ref="A43" r:id="rId42" xr:uid="{00000000-0004-0000-0500-00002A000000}"/>
    <hyperlink ref="A44" r:id="rId43" xr:uid="{00000000-0004-0000-0500-00002B000000}"/>
    <hyperlink ref="A45" r:id="rId44" xr:uid="{00000000-0004-0000-0500-00002C000000}"/>
    <hyperlink ref="A46" r:id="rId45" xr:uid="{00000000-0004-0000-0500-00002D000000}"/>
    <hyperlink ref="A47" r:id="rId46" xr:uid="{00000000-0004-0000-0500-00002E000000}"/>
    <hyperlink ref="A48" r:id="rId47" xr:uid="{00000000-0004-0000-0500-00002F000000}"/>
    <hyperlink ref="A49" r:id="rId48" xr:uid="{00000000-0004-0000-0500-000030000000}"/>
    <hyperlink ref="A50" r:id="rId49" xr:uid="{00000000-0004-0000-0500-000031000000}"/>
    <hyperlink ref="A51" r:id="rId50" xr:uid="{00000000-0004-0000-0500-000032000000}"/>
    <hyperlink ref="A52" r:id="rId51" xr:uid="{00000000-0004-0000-0500-000033000000}"/>
    <hyperlink ref="A53" r:id="rId52" xr:uid="{00000000-0004-0000-0500-000034000000}"/>
    <hyperlink ref="A54" r:id="rId53" xr:uid="{00000000-0004-0000-0500-000035000000}"/>
    <hyperlink ref="A55" r:id="rId54" xr:uid="{00000000-0004-0000-0500-000036000000}"/>
    <hyperlink ref="A56" r:id="rId55" xr:uid="{00000000-0004-0000-0500-000037000000}"/>
    <hyperlink ref="A57" r:id="rId56" xr:uid="{00000000-0004-0000-0500-000038000000}"/>
    <hyperlink ref="A58" r:id="rId57" xr:uid="{00000000-0004-0000-0500-000039000000}"/>
    <hyperlink ref="A59" r:id="rId58" xr:uid="{00000000-0004-0000-0500-00003A000000}"/>
    <hyperlink ref="A60" r:id="rId59" xr:uid="{00000000-0004-0000-0500-00003B000000}"/>
    <hyperlink ref="A61" r:id="rId60" xr:uid="{00000000-0004-0000-0500-00003C000000}"/>
    <hyperlink ref="A62" r:id="rId61" xr:uid="{00000000-0004-0000-0500-00003D000000}"/>
    <hyperlink ref="A63" r:id="rId62" xr:uid="{00000000-0004-0000-0500-00003E000000}"/>
    <hyperlink ref="A64" r:id="rId63" xr:uid="{00000000-0004-0000-0500-00003F000000}"/>
    <hyperlink ref="A65" r:id="rId64" xr:uid="{00000000-0004-0000-0500-000040000000}"/>
    <hyperlink ref="A66" r:id="rId65" xr:uid="{00000000-0004-0000-0500-000041000000}"/>
    <hyperlink ref="A67" r:id="rId66" xr:uid="{00000000-0004-0000-0500-000042000000}"/>
    <hyperlink ref="A68" r:id="rId67" xr:uid="{00000000-0004-0000-0500-000043000000}"/>
    <hyperlink ref="A69" r:id="rId68" xr:uid="{00000000-0004-0000-0500-000044000000}"/>
    <hyperlink ref="A70" r:id="rId69" xr:uid="{00000000-0004-0000-0500-000045000000}"/>
    <hyperlink ref="A71" r:id="rId70" xr:uid="{00000000-0004-0000-0500-000046000000}"/>
    <hyperlink ref="A72" r:id="rId71" xr:uid="{00000000-0004-0000-0500-000047000000}"/>
    <hyperlink ref="A73" r:id="rId72" xr:uid="{00000000-0004-0000-0500-000048000000}"/>
    <hyperlink ref="A74" r:id="rId73" xr:uid="{00000000-0004-0000-0500-000049000000}"/>
    <hyperlink ref="A75" r:id="rId74" xr:uid="{00000000-0004-0000-0500-00004A000000}"/>
    <hyperlink ref="A76" r:id="rId75" xr:uid="{00000000-0004-0000-0500-00004B000000}"/>
    <hyperlink ref="A77" r:id="rId76" xr:uid="{00000000-0004-0000-0500-00004C000000}"/>
    <hyperlink ref="A78" r:id="rId77" xr:uid="{00000000-0004-0000-0500-00004D000000}"/>
    <hyperlink ref="A79" r:id="rId78" xr:uid="{00000000-0004-0000-0500-00004E000000}"/>
    <hyperlink ref="A80" r:id="rId79" xr:uid="{00000000-0004-0000-0500-00004F000000}"/>
    <hyperlink ref="A81" r:id="rId80" xr:uid="{00000000-0004-0000-0500-000050000000}"/>
    <hyperlink ref="A82" r:id="rId81" xr:uid="{00000000-0004-0000-0500-000051000000}"/>
    <hyperlink ref="A83" r:id="rId82" xr:uid="{00000000-0004-0000-0500-000052000000}"/>
    <hyperlink ref="A84" r:id="rId83" xr:uid="{00000000-0004-0000-0500-000053000000}"/>
    <hyperlink ref="A85" r:id="rId84" xr:uid="{00000000-0004-0000-0500-000054000000}"/>
    <hyperlink ref="A86" r:id="rId85" xr:uid="{00000000-0004-0000-0500-000055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86"/>
  <sheetViews>
    <sheetView workbookViewId="0">
      <pane ySplit="1" topLeftCell="A2" activePane="bottomLeft" state="frozen"/>
      <selection pane="bottomLeft"/>
    </sheetView>
  </sheetViews>
  <sheetFormatPr defaultRowHeight="15" x14ac:dyDescent="0.25"/>
  <cols>
    <col min="1" max="1" width="45" customWidth="1"/>
    <col min="2" max="2" width="12" customWidth="1"/>
    <col min="3" max="3" width="17" customWidth="1"/>
    <col min="4" max="4" width="28" customWidth="1"/>
    <col min="5" max="5" width="10" customWidth="1"/>
    <col min="6" max="6" width="17" customWidth="1"/>
    <col min="7" max="7" width="18" customWidth="1"/>
    <col min="8" max="8" width="15" customWidth="1"/>
    <col min="9" max="9" width="26" customWidth="1"/>
    <col min="10" max="10" width="19" customWidth="1"/>
    <col min="11" max="11" width="16" customWidth="1"/>
    <col min="12" max="12" width="25" customWidth="1"/>
  </cols>
  <sheetData>
    <row r="1" spans="1:14" ht="45" x14ac:dyDescent="0.25">
      <c r="A1" s="5" t="s">
        <v>118</v>
      </c>
      <c r="B1" s="5" t="s">
        <v>1164</v>
      </c>
      <c r="C1" s="5" t="s">
        <v>1165</v>
      </c>
      <c r="D1" s="5" t="s">
        <v>1166</v>
      </c>
      <c r="E1" s="5" t="s">
        <v>1167</v>
      </c>
      <c r="F1" s="5" t="s">
        <v>1168</v>
      </c>
      <c r="G1" s="5" t="s">
        <v>1169</v>
      </c>
      <c r="H1" s="5" t="s">
        <v>1170</v>
      </c>
      <c r="I1" s="5" t="s">
        <v>1171</v>
      </c>
      <c r="J1" s="5" t="s">
        <v>1172</v>
      </c>
      <c r="K1" s="5" t="s">
        <v>1173</v>
      </c>
      <c r="L1" s="5" t="s">
        <v>1174</v>
      </c>
      <c r="M1" s="5" t="s">
        <v>135</v>
      </c>
      <c r="N1" s="39" t="s">
        <v>136</v>
      </c>
    </row>
    <row r="2" spans="1:14" ht="30" customHeight="1" x14ac:dyDescent="0.25">
      <c r="A2" s="59" t="s">
        <v>682</v>
      </c>
      <c r="B2" s="8">
        <v>97</v>
      </c>
      <c r="C2" s="49" t="s">
        <v>1175</v>
      </c>
      <c r="D2" s="8">
        <v>182.22</v>
      </c>
      <c r="E2" s="8">
        <v>1</v>
      </c>
      <c r="F2" s="6" t="b">
        <v>0</v>
      </c>
      <c r="G2" s="8" t="b">
        <v>0</v>
      </c>
      <c r="H2" s="6" t="b">
        <v>0</v>
      </c>
      <c r="I2" s="6" t="b">
        <v>0</v>
      </c>
      <c r="J2" s="49" t="b">
        <v>1</v>
      </c>
      <c r="K2" s="8">
        <v>4</v>
      </c>
      <c r="L2" s="8"/>
      <c r="M2" s="9" t="str">
        <f>IFERROR(HYPERLINK("#Main!A"&amp;MATCH(A2,Main!A:A,0),"Open"),HYPERLINK("#Main!A1","Open"))</f>
        <v>Open</v>
      </c>
      <c r="N2" s="9"/>
    </row>
    <row r="3" spans="1:14" ht="15.75" x14ac:dyDescent="0.25">
      <c r="A3" s="58" t="s">
        <v>140</v>
      </c>
      <c r="B3" s="11">
        <v>35</v>
      </c>
      <c r="C3" s="49" t="s">
        <v>1175</v>
      </c>
      <c r="D3" s="11">
        <v>189.07</v>
      </c>
      <c r="E3" s="11">
        <v>5</v>
      </c>
      <c r="F3" s="6" t="b">
        <v>0</v>
      </c>
      <c r="G3" s="11" t="b">
        <v>1</v>
      </c>
      <c r="H3" s="6" t="b">
        <v>0</v>
      </c>
      <c r="I3" s="6" t="b">
        <v>0</v>
      </c>
      <c r="J3" s="49" t="b">
        <v>1</v>
      </c>
      <c r="K3" s="11">
        <v>2</v>
      </c>
      <c r="L3" s="11"/>
      <c r="M3" t="str">
        <f>IFERROR(HYPERLINK("#Main!A"&amp;MATCH(A3,Main!A:A,0),"Open"),HYPERLINK("#Main!A1","Open"))</f>
        <v>Open</v>
      </c>
    </row>
    <row r="4" spans="1:14" ht="30" customHeight="1" x14ac:dyDescent="0.25">
      <c r="A4" s="59" t="s">
        <v>674</v>
      </c>
      <c r="B4" s="8">
        <v>115</v>
      </c>
      <c r="C4" s="49" t="s">
        <v>1175</v>
      </c>
      <c r="D4" s="8">
        <v>90.11</v>
      </c>
      <c r="E4" s="8">
        <v>0</v>
      </c>
      <c r="F4" s="49" t="b">
        <v>1</v>
      </c>
      <c r="G4" s="8" t="b">
        <v>0</v>
      </c>
      <c r="H4" s="6" t="b">
        <v>0</v>
      </c>
      <c r="I4" s="6" t="b">
        <v>0</v>
      </c>
      <c r="J4" s="49" t="b">
        <v>1</v>
      </c>
      <c r="K4" s="8">
        <v>1</v>
      </c>
      <c r="L4" s="8"/>
      <c r="M4" s="9" t="str">
        <f>IFERROR(HYPERLINK("#Main!A"&amp;MATCH(A4,Main!A:A,0),"Open"),HYPERLINK("#Main!A1","Open"))</f>
        <v>Open</v>
      </c>
      <c r="N4" s="9"/>
    </row>
    <row r="5" spans="1:14" ht="30" customHeight="1" x14ac:dyDescent="0.25">
      <c r="A5" s="58" t="s">
        <v>642</v>
      </c>
      <c r="B5" s="11">
        <v>164</v>
      </c>
      <c r="C5" s="49" t="s">
        <v>1175</v>
      </c>
      <c r="D5" s="11">
        <v>183.06</v>
      </c>
      <c r="E5" s="11">
        <v>1</v>
      </c>
      <c r="F5" s="6" t="b">
        <v>0</v>
      </c>
      <c r="G5" s="11" t="b">
        <v>0</v>
      </c>
      <c r="H5" s="6" t="b">
        <v>0</v>
      </c>
      <c r="I5" s="6" t="b">
        <v>0</v>
      </c>
      <c r="J5" s="49" t="b">
        <v>1</v>
      </c>
      <c r="K5" s="11">
        <v>7</v>
      </c>
      <c r="L5" s="11"/>
      <c r="M5" t="str">
        <f>IFERROR(HYPERLINK("#Main!A"&amp;MATCH(A5,Main!A:A,0),"Open"),HYPERLINK("#Main!A1","Open"))</f>
        <v>Open</v>
      </c>
    </row>
    <row r="6" spans="1:14" ht="30" customHeight="1" x14ac:dyDescent="0.25">
      <c r="A6" s="59" t="s">
        <v>322</v>
      </c>
      <c r="B6" s="8">
        <v>1125</v>
      </c>
      <c r="C6" s="6" t="s">
        <v>1176</v>
      </c>
      <c r="D6" s="8">
        <v>170</v>
      </c>
      <c r="E6" s="8">
        <v>1</v>
      </c>
      <c r="F6" s="6" t="b">
        <v>0</v>
      </c>
      <c r="G6" s="8" t="b">
        <v>0</v>
      </c>
      <c r="H6" s="6" t="b">
        <v>0</v>
      </c>
      <c r="I6" s="6" t="b">
        <v>0</v>
      </c>
      <c r="J6" s="6" t="b">
        <v>0</v>
      </c>
      <c r="K6" s="8">
        <v>31</v>
      </c>
      <c r="L6" s="8"/>
      <c r="M6" s="9" t="str">
        <f>IFERROR(HYPERLINK("#Main!A"&amp;MATCH(A6,Main!A:A,0),"Open"),HYPERLINK("#Main!A1","Open"))</f>
        <v>Open</v>
      </c>
      <c r="N6" s="9"/>
    </row>
    <row r="7" spans="1:14" ht="30" customHeight="1" x14ac:dyDescent="0.25">
      <c r="A7" s="58" t="s">
        <v>519</v>
      </c>
      <c r="B7" s="11">
        <v>885</v>
      </c>
      <c r="C7" s="6" t="s">
        <v>1176</v>
      </c>
      <c r="D7" s="11">
        <v>173.57</v>
      </c>
      <c r="E7" s="11">
        <v>0</v>
      </c>
      <c r="F7" s="49" t="b">
        <v>1</v>
      </c>
      <c r="G7" s="11" t="b">
        <v>0</v>
      </c>
      <c r="H7" s="6" t="b">
        <v>0</v>
      </c>
      <c r="I7" s="6" t="b">
        <v>0</v>
      </c>
      <c r="J7" s="6" t="b">
        <v>0</v>
      </c>
      <c r="K7" s="11">
        <v>27</v>
      </c>
      <c r="L7" s="11"/>
      <c r="M7" t="str">
        <f>IFERROR(HYPERLINK("#Main!A"&amp;MATCH(A7,Main!A:A,0),"Open"),HYPERLINK("#Main!A1","Open"))</f>
        <v>Open</v>
      </c>
    </row>
    <row r="8" spans="1:14" ht="30" customHeight="1" x14ac:dyDescent="0.25">
      <c r="A8" s="59" t="s">
        <v>551</v>
      </c>
      <c r="B8" s="8">
        <v>311</v>
      </c>
      <c r="C8" s="63" t="s">
        <v>1177</v>
      </c>
      <c r="D8" s="8">
        <v>184.29</v>
      </c>
      <c r="E8" s="8">
        <v>1</v>
      </c>
      <c r="F8" s="6" t="b">
        <v>0</v>
      </c>
      <c r="G8" s="8" t="b">
        <v>0</v>
      </c>
      <c r="H8" s="6" t="b">
        <v>0</v>
      </c>
      <c r="I8" s="6" t="b">
        <v>0</v>
      </c>
      <c r="J8" s="6" t="b">
        <v>0</v>
      </c>
      <c r="K8" s="8">
        <v>14</v>
      </c>
      <c r="L8" s="8"/>
      <c r="M8" s="9" t="str">
        <f>IFERROR(HYPERLINK("#Main!A"&amp;MATCH(A8,Main!A:A,0),"Open"),HYPERLINK("#Main!A1","Open"))</f>
        <v>Open</v>
      </c>
      <c r="N8" s="9"/>
    </row>
    <row r="9" spans="1:14" ht="30" customHeight="1" x14ac:dyDescent="0.25">
      <c r="A9" s="58" t="s">
        <v>606</v>
      </c>
      <c r="B9" s="11">
        <v>654</v>
      </c>
      <c r="C9" s="63" t="s">
        <v>1177</v>
      </c>
      <c r="D9" s="11">
        <v>159.41999999999999</v>
      </c>
      <c r="E9" s="11">
        <v>0</v>
      </c>
      <c r="F9" s="49" t="b">
        <v>1</v>
      </c>
      <c r="G9" s="11" t="b">
        <v>0</v>
      </c>
      <c r="H9" s="6" t="b">
        <v>0</v>
      </c>
      <c r="I9" s="6" t="b">
        <v>0</v>
      </c>
      <c r="J9" s="6" t="b">
        <v>0</v>
      </c>
      <c r="K9" s="11">
        <v>14</v>
      </c>
      <c r="L9" s="11"/>
      <c r="M9" t="str">
        <f>IFERROR(HYPERLINK("#Main!A"&amp;MATCH(A9,Main!A:A,0),"Open"),HYPERLINK("#Main!A1","Open"))</f>
        <v>Open</v>
      </c>
    </row>
    <row r="10" spans="1:14" ht="30" customHeight="1" x14ac:dyDescent="0.25">
      <c r="A10" s="59" t="s">
        <v>512</v>
      </c>
      <c r="B10" s="8">
        <v>1052</v>
      </c>
      <c r="C10" s="6" t="s">
        <v>1176</v>
      </c>
      <c r="D10" s="8">
        <v>176.33</v>
      </c>
      <c r="E10" s="8">
        <v>3</v>
      </c>
      <c r="F10" s="6" t="b">
        <v>0</v>
      </c>
      <c r="G10" s="8" t="b">
        <v>1</v>
      </c>
      <c r="H10" s="6" t="b">
        <v>0</v>
      </c>
      <c r="I10" s="6" t="b">
        <v>0</v>
      </c>
      <c r="J10" s="6" t="b">
        <v>0</v>
      </c>
      <c r="K10" s="8">
        <v>35</v>
      </c>
      <c r="L10" s="8"/>
      <c r="M10" s="9" t="str">
        <f>IFERROR(HYPERLINK("#Main!A"&amp;MATCH(A10,Main!A:A,0),"Open"),HYPERLINK("#Main!A1","Open"))</f>
        <v>Open</v>
      </c>
      <c r="N10" s="9"/>
    </row>
    <row r="11" spans="1:14" ht="30" customHeight="1" x14ac:dyDescent="0.25">
      <c r="A11" s="58" t="s">
        <v>582</v>
      </c>
      <c r="B11" s="11">
        <v>436</v>
      </c>
      <c r="C11" s="63" t="s">
        <v>1177</v>
      </c>
      <c r="D11" s="11">
        <v>96.2</v>
      </c>
      <c r="E11" s="11">
        <v>2</v>
      </c>
      <c r="F11" s="6" t="b">
        <v>0</v>
      </c>
      <c r="G11" s="11" t="b">
        <v>1</v>
      </c>
      <c r="H11" s="6" t="b">
        <v>0</v>
      </c>
      <c r="I11" s="6" t="b">
        <v>0</v>
      </c>
      <c r="J11" s="6" t="b">
        <v>0</v>
      </c>
      <c r="K11" s="11">
        <v>4</v>
      </c>
      <c r="L11" s="11"/>
      <c r="M11" t="str">
        <f>IFERROR(HYPERLINK("#Main!A"&amp;MATCH(A11,Main!A:A,0),"Open"),HYPERLINK("#Main!A1","Open"))</f>
        <v>Open</v>
      </c>
    </row>
    <row r="12" spans="1:14" ht="30" customHeight="1" x14ac:dyDescent="0.25">
      <c r="A12" s="59" t="s">
        <v>658</v>
      </c>
      <c r="B12" s="8">
        <v>35</v>
      </c>
      <c r="C12" s="49" t="s">
        <v>1175</v>
      </c>
      <c r="D12" s="8">
        <v>189.07</v>
      </c>
      <c r="E12" s="8">
        <v>1</v>
      </c>
      <c r="F12" s="6" t="b">
        <v>0</v>
      </c>
      <c r="G12" s="8" t="b">
        <v>0</v>
      </c>
      <c r="H12" s="6" t="b">
        <v>0</v>
      </c>
      <c r="I12" s="6" t="b">
        <v>0</v>
      </c>
      <c r="J12" s="49" t="b">
        <v>1</v>
      </c>
      <c r="K12" s="8">
        <v>2</v>
      </c>
      <c r="L12" s="8"/>
      <c r="M12" s="9" t="str">
        <f>IFERROR(HYPERLINK("#Main!A"&amp;MATCH(A12,Main!A:A,0),"Open"),HYPERLINK("#Main!A1","Open"))</f>
        <v>Open</v>
      </c>
      <c r="N12" s="9"/>
    </row>
    <row r="13" spans="1:14" ht="30" customHeight="1" x14ac:dyDescent="0.25">
      <c r="A13" s="58" t="s">
        <v>156</v>
      </c>
      <c r="B13" s="11">
        <v>339</v>
      </c>
      <c r="C13" s="63" t="s">
        <v>1177</v>
      </c>
      <c r="D13" s="11">
        <v>180.37</v>
      </c>
      <c r="E13" s="11">
        <v>2</v>
      </c>
      <c r="F13" s="6" t="b">
        <v>0</v>
      </c>
      <c r="G13" s="11" t="b">
        <v>1</v>
      </c>
      <c r="H13" s="6" t="b">
        <v>0</v>
      </c>
      <c r="I13" s="6" t="b">
        <v>0</v>
      </c>
      <c r="J13" s="6" t="b">
        <v>0</v>
      </c>
      <c r="K13" s="11">
        <v>13</v>
      </c>
      <c r="L13" s="11"/>
      <c r="M13" t="str">
        <f>IFERROR(HYPERLINK("#Main!A"&amp;MATCH(A13,Main!A:A,0),"Open"),HYPERLINK("#Main!A1","Open"))</f>
        <v>Open</v>
      </c>
    </row>
    <row r="14" spans="1:14" ht="30" customHeight="1" x14ac:dyDescent="0.25">
      <c r="A14" s="59" t="s">
        <v>650</v>
      </c>
      <c r="B14" s="8">
        <v>1707</v>
      </c>
      <c r="C14" s="6" t="s">
        <v>1176</v>
      </c>
      <c r="D14" s="8">
        <v>172.86</v>
      </c>
      <c r="E14" s="8">
        <v>1</v>
      </c>
      <c r="F14" s="6" t="b">
        <v>0</v>
      </c>
      <c r="G14" s="8" t="b">
        <v>0</v>
      </c>
      <c r="H14" s="6" t="b">
        <v>0</v>
      </c>
      <c r="I14" s="6" t="b">
        <v>0</v>
      </c>
      <c r="J14" s="6" t="b">
        <v>0</v>
      </c>
      <c r="K14" s="8">
        <v>51</v>
      </c>
      <c r="L14" s="8"/>
      <c r="M14" s="9" t="str">
        <f>IFERROR(HYPERLINK("#Main!A"&amp;MATCH(A14,Main!A:A,0),"Open"),HYPERLINK("#Main!A1","Open"))</f>
        <v>Open</v>
      </c>
      <c r="N14" s="9"/>
    </row>
    <row r="15" spans="1:14" ht="30" customHeight="1" x14ac:dyDescent="0.25">
      <c r="A15" s="58" t="s">
        <v>704</v>
      </c>
      <c r="B15" s="11">
        <v>412</v>
      </c>
      <c r="C15" s="63" t="s">
        <v>1177</v>
      </c>
      <c r="D15" s="11">
        <v>176.97</v>
      </c>
      <c r="E15" s="11">
        <v>1</v>
      </c>
      <c r="F15" s="6" t="b">
        <v>0</v>
      </c>
      <c r="G15" s="11" t="b">
        <v>0</v>
      </c>
      <c r="H15" s="6" t="b">
        <v>0</v>
      </c>
      <c r="I15" s="6" t="b">
        <v>0</v>
      </c>
      <c r="J15" s="6" t="b">
        <v>0</v>
      </c>
      <c r="K15" s="11">
        <v>14</v>
      </c>
      <c r="L15" s="11"/>
      <c r="M15" t="str">
        <f>IFERROR(HYPERLINK("#Main!A"&amp;MATCH(A15,Main!A:A,0),"Open"),HYPERLINK("#Main!A1","Open"))</f>
        <v>Open</v>
      </c>
    </row>
    <row r="16" spans="1:14" ht="30" customHeight="1" x14ac:dyDescent="0.25">
      <c r="A16" s="59" t="s">
        <v>148</v>
      </c>
      <c r="B16" s="8">
        <v>219</v>
      </c>
      <c r="C16" s="49" t="s">
        <v>1175</v>
      </c>
      <c r="D16" s="8">
        <v>175.08</v>
      </c>
      <c r="E16" s="8">
        <v>1</v>
      </c>
      <c r="F16" s="6" t="b">
        <v>0</v>
      </c>
      <c r="G16" s="8" t="b">
        <v>0</v>
      </c>
      <c r="H16" s="6" t="b">
        <v>0</v>
      </c>
      <c r="I16" s="6" t="b">
        <v>0</v>
      </c>
      <c r="J16" s="49" t="b">
        <v>1</v>
      </c>
      <c r="K16" s="8">
        <v>7</v>
      </c>
      <c r="L16" s="8"/>
      <c r="M16" s="9" t="str">
        <f>IFERROR(HYPERLINK("#Main!A"&amp;MATCH(A16,Main!A:A,0),"Open"),HYPERLINK("#Main!A1","Open"))</f>
        <v>Open</v>
      </c>
      <c r="N16" s="9"/>
    </row>
    <row r="17" spans="1:14" ht="30" customHeight="1" x14ac:dyDescent="0.25">
      <c r="A17" s="58" t="s">
        <v>497</v>
      </c>
      <c r="B17" s="11">
        <v>1053</v>
      </c>
      <c r="C17" s="6" t="s">
        <v>1176</v>
      </c>
      <c r="D17" s="11">
        <v>177.15</v>
      </c>
      <c r="E17" s="11">
        <v>3</v>
      </c>
      <c r="F17" s="6" t="b">
        <v>0</v>
      </c>
      <c r="G17" s="11" t="b">
        <v>1</v>
      </c>
      <c r="H17" s="6" t="b">
        <v>0</v>
      </c>
      <c r="I17" s="6" t="b">
        <v>0</v>
      </c>
      <c r="J17" s="6" t="b">
        <v>0</v>
      </c>
      <c r="K17" s="11">
        <v>36</v>
      </c>
      <c r="L17" s="11"/>
      <c r="M17" t="str">
        <f>IFERROR(HYPERLINK("#Main!A"&amp;MATCH(A17,Main!A:A,0),"Open"),HYPERLINK("#Main!A1","Open"))</f>
        <v>Open</v>
      </c>
    </row>
    <row r="18" spans="1:14" ht="30" customHeight="1" x14ac:dyDescent="0.25">
      <c r="A18" s="59" t="s">
        <v>505</v>
      </c>
      <c r="B18" s="8">
        <v>1061</v>
      </c>
      <c r="C18" s="6" t="s">
        <v>1176</v>
      </c>
      <c r="D18" s="8">
        <v>176.92</v>
      </c>
      <c r="E18" s="8">
        <v>3</v>
      </c>
      <c r="F18" s="6" t="b">
        <v>0</v>
      </c>
      <c r="G18" s="8" t="b">
        <v>1</v>
      </c>
      <c r="H18" s="6" t="b">
        <v>0</v>
      </c>
      <c r="I18" s="6" t="b">
        <v>0</v>
      </c>
      <c r="J18" s="6" t="b">
        <v>0</v>
      </c>
      <c r="K18" s="8">
        <v>36</v>
      </c>
      <c r="L18" s="8"/>
      <c r="M18" s="9" t="str">
        <f>IFERROR(HYPERLINK("#Main!A"&amp;MATCH(A18,Main!A:A,0),"Open"),HYPERLINK("#Main!A1","Open"))</f>
        <v>Open</v>
      </c>
      <c r="N18" s="9"/>
    </row>
    <row r="19" spans="1:14" ht="30" customHeight="1" x14ac:dyDescent="0.25">
      <c r="A19" s="58" t="s">
        <v>690</v>
      </c>
      <c r="B19" s="11">
        <v>3138</v>
      </c>
      <c r="C19" s="6" t="s">
        <v>1176</v>
      </c>
      <c r="D19" s="11">
        <v>183.24</v>
      </c>
      <c r="E19" s="11">
        <v>9</v>
      </c>
      <c r="F19" s="6" t="b">
        <v>0</v>
      </c>
      <c r="G19" s="11" t="b">
        <v>1</v>
      </c>
      <c r="H19" s="6" t="b">
        <v>0</v>
      </c>
      <c r="I19" s="6" t="b">
        <v>0</v>
      </c>
      <c r="J19" s="6" t="b">
        <v>0</v>
      </c>
      <c r="K19" s="11">
        <v>135</v>
      </c>
      <c r="L19" s="11"/>
      <c r="M19" t="str">
        <f>IFERROR(HYPERLINK("#Main!A"&amp;MATCH(A19,Main!A:A,0),"Open"),HYPERLINK("#Main!A1","Open"))</f>
        <v>Open</v>
      </c>
    </row>
    <row r="20" spans="1:14" ht="30" customHeight="1" x14ac:dyDescent="0.25">
      <c r="A20" s="59" t="s">
        <v>306</v>
      </c>
      <c r="B20" s="8">
        <v>178</v>
      </c>
      <c r="C20" s="49" t="s">
        <v>1175</v>
      </c>
      <c r="D20" s="8">
        <v>170.7</v>
      </c>
      <c r="E20" s="8">
        <v>2</v>
      </c>
      <c r="F20" s="6" t="b">
        <v>0</v>
      </c>
      <c r="G20" s="8" t="b">
        <v>1</v>
      </c>
      <c r="H20" s="6" t="b">
        <v>0</v>
      </c>
      <c r="I20" s="6" t="b">
        <v>0</v>
      </c>
      <c r="J20" s="49" t="b">
        <v>1</v>
      </c>
      <c r="K20" s="8">
        <v>5</v>
      </c>
      <c r="L20" s="8"/>
      <c r="M20" s="9" t="str">
        <f>IFERROR(HYPERLINK("#Main!A"&amp;MATCH(A20,Main!A:A,0),"Open"),HYPERLINK("#Main!A1","Open"))</f>
        <v>Open</v>
      </c>
      <c r="N20" s="9"/>
    </row>
    <row r="21" spans="1:14" ht="30" customHeight="1" x14ac:dyDescent="0.25">
      <c r="A21" s="58" t="s">
        <v>314</v>
      </c>
      <c r="B21" s="11">
        <v>161</v>
      </c>
      <c r="C21" s="49" t="s">
        <v>1175</v>
      </c>
      <c r="D21" s="11">
        <v>174.15</v>
      </c>
      <c r="E21" s="11">
        <v>2</v>
      </c>
      <c r="F21" s="6" t="b">
        <v>0</v>
      </c>
      <c r="G21" s="11" t="b">
        <v>1</v>
      </c>
      <c r="H21" s="6" t="b">
        <v>0</v>
      </c>
      <c r="I21" s="6" t="b">
        <v>0</v>
      </c>
      <c r="J21" s="49" t="b">
        <v>1</v>
      </c>
      <c r="K21" s="11">
        <v>5</v>
      </c>
      <c r="L21" s="11"/>
      <c r="M21" t="str">
        <f>IFERROR(HYPERLINK("#Main!A"&amp;MATCH(A21,Main!A:A,0),"Open"),HYPERLINK("#Main!A1","Open"))</f>
        <v>Open</v>
      </c>
    </row>
    <row r="22" spans="1:14" ht="30" customHeight="1" x14ac:dyDescent="0.25">
      <c r="A22" s="59" t="s">
        <v>366</v>
      </c>
      <c r="B22" s="8">
        <v>174</v>
      </c>
      <c r="C22" s="49" t="s">
        <v>1175</v>
      </c>
      <c r="D22" s="8">
        <v>171.51</v>
      </c>
      <c r="E22" s="8">
        <v>2</v>
      </c>
      <c r="F22" s="6" t="b">
        <v>0</v>
      </c>
      <c r="G22" s="8" t="b">
        <v>1</v>
      </c>
      <c r="H22" s="6" t="b">
        <v>0</v>
      </c>
      <c r="I22" s="6" t="b">
        <v>0</v>
      </c>
      <c r="J22" s="49" t="b">
        <v>1</v>
      </c>
      <c r="K22" s="8">
        <v>5</v>
      </c>
      <c r="L22" s="8"/>
      <c r="M22" s="9" t="str">
        <f>IFERROR(HYPERLINK("#Main!A"&amp;MATCH(A22,Main!A:A,0),"Open"),HYPERLINK("#Main!A1","Open"))</f>
        <v>Open</v>
      </c>
      <c r="N22" s="9"/>
    </row>
    <row r="23" spans="1:14" ht="30" customHeight="1" x14ac:dyDescent="0.25">
      <c r="A23" s="58" t="s">
        <v>417</v>
      </c>
      <c r="B23" s="11">
        <v>1207</v>
      </c>
      <c r="C23" s="6" t="s">
        <v>1176</v>
      </c>
      <c r="D23" s="11">
        <v>182.81</v>
      </c>
      <c r="E23" s="11">
        <v>1</v>
      </c>
      <c r="F23" s="6" t="b">
        <v>0</v>
      </c>
      <c r="G23" s="11" t="b">
        <v>0</v>
      </c>
      <c r="H23" s="6" t="b">
        <v>0</v>
      </c>
      <c r="I23" s="6" t="b">
        <v>0</v>
      </c>
      <c r="J23" s="6" t="b">
        <v>0</v>
      </c>
      <c r="K23" s="11">
        <v>51</v>
      </c>
      <c r="L23" s="11"/>
      <c r="M23" t="str">
        <f>IFERROR(HYPERLINK("#Main!A"&amp;MATCH(A23,Main!A:A,0),"Open"),HYPERLINK("#Main!A1","Open"))</f>
        <v>Open</v>
      </c>
    </row>
    <row r="24" spans="1:14" ht="30" customHeight="1" x14ac:dyDescent="0.25">
      <c r="A24" s="59" t="s">
        <v>290</v>
      </c>
      <c r="B24" s="8">
        <v>1853</v>
      </c>
      <c r="C24" s="6" t="s">
        <v>1176</v>
      </c>
      <c r="D24" s="8">
        <v>184.17</v>
      </c>
      <c r="E24" s="8">
        <v>10</v>
      </c>
      <c r="F24" s="6" t="b">
        <v>0</v>
      </c>
      <c r="G24" s="8" t="b">
        <v>1</v>
      </c>
      <c r="H24" s="6" t="b">
        <v>0</v>
      </c>
      <c r="I24" s="6" t="b">
        <v>0</v>
      </c>
      <c r="J24" s="6" t="b">
        <v>0</v>
      </c>
      <c r="K24" s="8">
        <v>83</v>
      </c>
      <c r="L24" s="8"/>
      <c r="M24" s="9" t="str">
        <f>IFERROR(HYPERLINK("#Main!A"&amp;MATCH(A24,Main!A:A,0),"Open"),HYPERLINK("#Main!A1","Open"))</f>
        <v>Open</v>
      </c>
      <c r="N24" s="9"/>
    </row>
    <row r="25" spans="1:14" ht="30" customHeight="1" x14ac:dyDescent="0.25">
      <c r="A25" s="58" t="s">
        <v>188</v>
      </c>
      <c r="B25" s="11">
        <v>32</v>
      </c>
      <c r="C25" s="49" t="s">
        <v>1175</v>
      </c>
      <c r="D25" s="11">
        <v>196.01</v>
      </c>
      <c r="E25" s="11">
        <v>0</v>
      </c>
      <c r="F25" s="49" t="b">
        <v>1</v>
      </c>
      <c r="G25" s="11" t="b">
        <v>0</v>
      </c>
      <c r="H25" s="6" t="b">
        <v>0</v>
      </c>
      <c r="I25" s="6" t="b">
        <v>0</v>
      </c>
      <c r="J25" s="49" t="b">
        <v>1</v>
      </c>
      <c r="K25" s="11">
        <v>3</v>
      </c>
      <c r="L25" s="11"/>
      <c r="M25" t="str">
        <f>IFERROR(HYPERLINK("#Main!A"&amp;MATCH(A25,Main!A:A,0),"Open"),HYPERLINK("#Main!A1","Open"))</f>
        <v>Open</v>
      </c>
    </row>
    <row r="26" spans="1:14" ht="30" customHeight="1" x14ac:dyDescent="0.25">
      <c r="A26" s="59" t="s">
        <v>242</v>
      </c>
      <c r="B26" s="8">
        <v>30</v>
      </c>
      <c r="C26" s="49" t="s">
        <v>1175</v>
      </c>
      <c r="D26" s="8">
        <v>176.39</v>
      </c>
      <c r="E26" s="8">
        <v>1</v>
      </c>
      <c r="F26" s="6" t="b">
        <v>0</v>
      </c>
      <c r="G26" s="8" t="b">
        <v>0</v>
      </c>
      <c r="H26" s="6" t="b">
        <v>0</v>
      </c>
      <c r="I26" s="6" t="b">
        <v>0</v>
      </c>
      <c r="J26" s="49" t="b">
        <v>1</v>
      </c>
      <c r="K26" s="8">
        <v>1</v>
      </c>
      <c r="L26" s="8"/>
      <c r="M26" s="9" t="str">
        <f>IFERROR(HYPERLINK("#Main!A"&amp;MATCH(A26,Main!A:A,0),"Open"),HYPERLINK("#Main!A1","Open"))</f>
        <v>Open</v>
      </c>
      <c r="N26" s="9"/>
    </row>
    <row r="27" spans="1:14" ht="30" customHeight="1" x14ac:dyDescent="0.25">
      <c r="A27" s="58" t="s">
        <v>574</v>
      </c>
      <c r="B27" s="11">
        <v>850</v>
      </c>
      <c r="C27" s="6" t="s">
        <v>1176</v>
      </c>
      <c r="D27" s="11">
        <v>83.59</v>
      </c>
      <c r="E27" s="11">
        <v>1</v>
      </c>
      <c r="F27" s="6" t="b">
        <v>0</v>
      </c>
      <c r="G27" s="11" t="b">
        <v>0</v>
      </c>
      <c r="H27" s="6" t="b">
        <v>0</v>
      </c>
      <c r="I27" s="6" t="b">
        <v>0</v>
      </c>
      <c r="J27" s="6" t="b">
        <v>0</v>
      </c>
      <c r="K27" s="11">
        <v>7</v>
      </c>
      <c r="L27" s="11"/>
      <c r="M27" t="str">
        <f>IFERROR(HYPERLINK("#Main!A"&amp;MATCH(A27,Main!A:A,0),"Open"),HYPERLINK("#Main!A1","Open"))</f>
        <v>Open</v>
      </c>
    </row>
    <row r="28" spans="1:14" ht="30" customHeight="1" x14ac:dyDescent="0.25">
      <c r="A28" s="59" t="s">
        <v>627</v>
      </c>
      <c r="B28" s="8">
        <v>957</v>
      </c>
      <c r="C28" s="6" t="s">
        <v>1176</v>
      </c>
      <c r="D28" s="8">
        <v>167.98</v>
      </c>
      <c r="E28" s="8">
        <v>1</v>
      </c>
      <c r="F28" s="6" t="b">
        <v>0</v>
      </c>
      <c r="G28" s="8" t="b">
        <v>0</v>
      </c>
      <c r="H28" s="6" t="b">
        <v>0</v>
      </c>
      <c r="I28" s="6" t="b">
        <v>0</v>
      </c>
      <c r="J28" s="6" t="b">
        <v>0</v>
      </c>
      <c r="K28" s="8">
        <v>25</v>
      </c>
      <c r="L28" s="8"/>
      <c r="M28" s="9" t="str">
        <f>IFERROR(HYPERLINK("#Main!A"&amp;MATCH(A28,Main!A:A,0),"Open"),HYPERLINK("#Main!A1","Open"))</f>
        <v>Open</v>
      </c>
      <c r="N28" s="9"/>
    </row>
    <row r="29" spans="1:14" ht="30" customHeight="1" x14ac:dyDescent="0.25">
      <c r="A29" s="58" t="s">
        <v>274</v>
      </c>
      <c r="B29" s="11">
        <v>1418</v>
      </c>
      <c r="C29" s="6" t="s">
        <v>1176</v>
      </c>
      <c r="D29" s="11">
        <v>126.88</v>
      </c>
      <c r="E29" s="11">
        <v>2</v>
      </c>
      <c r="F29" s="6" t="b">
        <v>0</v>
      </c>
      <c r="G29" s="11" t="b">
        <v>1</v>
      </c>
      <c r="H29" s="6" t="b">
        <v>0</v>
      </c>
      <c r="I29" s="6" t="b">
        <v>0</v>
      </c>
      <c r="J29" s="6" t="b">
        <v>0</v>
      </c>
      <c r="K29" s="11">
        <v>18</v>
      </c>
      <c r="L29" s="11"/>
      <c r="M29" t="str">
        <f>IFERROR(HYPERLINK("#Main!A"&amp;MATCH(A29,Main!A:A,0),"Open"),HYPERLINK("#Main!A1","Open"))</f>
        <v>Open</v>
      </c>
    </row>
    <row r="30" spans="1:14" ht="30" customHeight="1" x14ac:dyDescent="0.25">
      <c r="A30" s="59" t="s">
        <v>401</v>
      </c>
      <c r="B30" s="8">
        <v>45</v>
      </c>
      <c r="C30" s="49" t="s">
        <v>1175</v>
      </c>
      <c r="D30" s="8">
        <v>184</v>
      </c>
      <c r="E30" s="8">
        <v>2</v>
      </c>
      <c r="F30" s="6" t="b">
        <v>0</v>
      </c>
      <c r="G30" s="8" t="b">
        <v>1</v>
      </c>
      <c r="H30" s="6" t="b">
        <v>0</v>
      </c>
      <c r="I30" s="6" t="b">
        <v>0</v>
      </c>
      <c r="J30" s="49" t="b">
        <v>1</v>
      </c>
      <c r="K30" s="8">
        <v>2</v>
      </c>
      <c r="L30" s="8"/>
      <c r="M30" s="9" t="str">
        <f>IFERROR(HYPERLINK("#Main!A"&amp;MATCH(A30,Main!A:A,0),"Open"),HYPERLINK("#Main!A1","Open"))</f>
        <v>Open</v>
      </c>
      <c r="N30" s="9"/>
    </row>
    <row r="31" spans="1:14" ht="30" customHeight="1" x14ac:dyDescent="0.25">
      <c r="A31" s="58" t="s">
        <v>298</v>
      </c>
      <c r="B31" s="11">
        <v>1161</v>
      </c>
      <c r="C31" s="6" t="s">
        <v>1176</v>
      </c>
      <c r="D31" s="11">
        <v>167.55</v>
      </c>
      <c r="E31" s="11">
        <v>2</v>
      </c>
      <c r="F31" s="6" t="b">
        <v>0</v>
      </c>
      <c r="G31" s="11" t="b">
        <v>1</v>
      </c>
      <c r="H31" s="6" t="b">
        <v>0</v>
      </c>
      <c r="I31" s="6" t="b">
        <v>0</v>
      </c>
      <c r="J31" s="6" t="b">
        <v>0</v>
      </c>
      <c r="K31" s="11">
        <v>30</v>
      </c>
      <c r="L31" s="11"/>
      <c r="M31" t="str">
        <f>IFERROR(HYPERLINK("#Main!A"&amp;MATCH(A31,Main!A:A,0),"Open"),HYPERLINK("#Main!A1","Open"))</f>
        <v>Open</v>
      </c>
    </row>
    <row r="32" spans="1:14" ht="30" customHeight="1" x14ac:dyDescent="0.25">
      <c r="A32" s="59" t="s">
        <v>481</v>
      </c>
      <c r="B32" s="8">
        <v>1132</v>
      </c>
      <c r="C32" s="6" t="s">
        <v>1176</v>
      </c>
      <c r="D32" s="8">
        <v>139.25</v>
      </c>
      <c r="E32" s="8">
        <v>1</v>
      </c>
      <c r="F32" s="6" t="b">
        <v>0</v>
      </c>
      <c r="G32" s="8" t="b">
        <v>0</v>
      </c>
      <c r="H32" s="6" t="b">
        <v>0</v>
      </c>
      <c r="I32" s="6" t="b">
        <v>0</v>
      </c>
      <c r="J32" s="6" t="b">
        <v>0</v>
      </c>
      <c r="K32" s="8">
        <v>17</v>
      </c>
      <c r="L32" s="8"/>
      <c r="M32" s="9" t="str">
        <f>IFERROR(HYPERLINK("#Main!A"&amp;MATCH(A32,Main!A:A,0),"Open"),HYPERLINK("#Main!A1","Open"))</f>
        <v>Open</v>
      </c>
      <c r="N32" s="9"/>
    </row>
    <row r="33" spans="1:14" ht="30" customHeight="1" x14ac:dyDescent="0.25">
      <c r="A33" s="58" t="s">
        <v>172</v>
      </c>
      <c r="B33" s="11">
        <v>100</v>
      </c>
      <c r="C33" s="49" t="s">
        <v>1175</v>
      </c>
      <c r="D33" s="11">
        <v>156.09</v>
      </c>
      <c r="E33" s="11">
        <v>0</v>
      </c>
      <c r="F33" s="49" t="b">
        <v>1</v>
      </c>
      <c r="G33" s="11" t="b">
        <v>0</v>
      </c>
      <c r="H33" s="6" t="b">
        <v>0</v>
      </c>
      <c r="I33" s="6" t="b">
        <v>0</v>
      </c>
      <c r="J33" s="49" t="b">
        <v>1</v>
      </c>
      <c r="K33" s="11">
        <v>2</v>
      </c>
      <c r="L33" s="11"/>
      <c r="M33" t="str">
        <f>IFERROR(HYPERLINK("#Main!A"&amp;MATCH(A33,Main!A:A,0),"Open"),HYPERLINK("#Main!A1","Open"))</f>
        <v>Open</v>
      </c>
    </row>
    <row r="34" spans="1:14" ht="30" customHeight="1" x14ac:dyDescent="0.25">
      <c r="A34" s="59" t="s">
        <v>727</v>
      </c>
      <c r="B34" s="8">
        <v>150</v>
      </c>
      <c r="C34" s="49" t="s">
        <v>1175</v>
      </c>
      <c r="D34" s="8">
        <v>54.59</v>
      </c>
      <c r="E34" s="8">
        <v>0</v>
      </c>
      <c r="F34" s="49" t="b">
        <v>1</v>
      </c>
      <c r="G34" s="8" t="b">
        <v>0</v>
      </c>
      <c r="H34" s="6" t="b">
        <v>0</v>
      </c>
      <c r="I34" s="6" t="b">
        <v>0</v>
      </c>
      <c r="J34" s="49" t="b">
        <v>1</v>
      </c>
      <c r="K34" s="8">
        <v>1</v>
      </c>
      <c r="L34" s="8"/>
      <c r="M34" s="9" t="str">
        <f>IFERROR(HYPERLINK("#Main!A"&amp;MATCH(A34,Main!A:A,0),"Open"),HYPERLINK("#Main!A1","Open"))</f>
        <v>Open</v>
      </c>
      <c r="N34" s="9"/>
    </row>
    <row r="35" spans="1:14" ht="30" customHeight="1" x14ac:dyDescent="0.25">
      <c r="A35" s="58" t="s">
        <v>559</v>
      </c>
      <c r="B35" s="11">
        <v>23</v>
      </c>
      <c r="C35" s="49" t="s">
        <v>1175</v>
      </c>
      <c r="D35" s="11">
        <v>195.16</v>
      </c>
      <c r="E35" s="11">
        <v>0</v>
      </c>
      <c r="F35" s="49" t="b">
        <v>1</v>
      </c>
      <c r="G35" s="11" t="b">
        <v>0</v>
      </c>
      <c r="H35" s="6" t="b">
        <v>0</v>
      </c>
      <c r="I35" s="6" t="b">
        <v>0</v>
      </c>
      <c r="J35" s="49" t="b">
        <v>1</v>
      </c>
      <c r="K35" s="11">
        <v>2</v>
      </c>
      <c r="L35" s="11"/>
      <c r="M35" t="str">
        <f>IFERROR(HYPERLINK("#Main!A"&amp;MATCH(A35,Main!A:A,0),"Open"),HYPERLINK("#Main!A1","Open"))</f>
        <v>Open</v>
      </c>
    </row>
    <row r="36" spans="1:14" ht="30" customHeight="1" x14ac:dyDescent="0.25">
      <c r="A36" s="59" t="s">
        <v>393</v>
      </c>
      <c r="B36" s="8">
        <v>598</v>
      </c>
      <c r="C36" s="63" t="s">
        <v>1177</v>
      </c>
      <c r="D36" s="8">
        <v>130.96</v>
      </c>
      <c r="E36" s="8">
        <v>1</v>
      </c>
      <c r="F36" s="6" t="b">
        <v>0</v>
      </c>
      <c r="G36" s="8" t="b">
        <v>0</v>
      </c>
      <c r="H36" s="6" t="b">
        <v>0</v>
      </c>
      <c r="I36" s="6" t="b">
        <v>0</v>
      </c>
      <c r="J36" s="6" t="b">
        <v>0</v>
      </c>
      <c r="K36" s="8">
        <v>8</v>
      </c>
      <c r="L36" s="8"/>
      <c r="M36" s="9" t="str">
        <f>IFERROR(HYPERLINK("#Main!A"&amp;MATCH(A36,Main!A:A,0),"Open"),HYPERLINK("#Main!A1","Open"))</f>
        <v>Open</v>
      </c>
      <c r="N36" s="9"/>
    </row>
    <row r="37" spans="1:14" ht="30" customHeight="1" x14ac:dyDescent="0.25">
      <c r="A37" s="58" t="s">
        <v>566</v>
      </c>
      <c r="B37" s="11">
        <v>2199</v>
      </c>
      <c r="C37" s="6" t="s">
        <v>1176</v>
      </c>
      <c r="D37" s="11">
        <v>190.42</v>
      </c>
      <c r="E37" s="11">
        <v>1</v>
      </c>
      <c r="F37" s="6" t="b">
        <v>0</v>
      </c>
      <c r="G37" s="11" t="b">
        <v>0</v>
      </c>
      <c r="H37" s="6" t="b">
        <v>0</v>
      </c>
      <c r="I37" s="6" t="b">
        <v>0</v>
      </c>
      <c r="J37" s="6" t="b">
        <v>0</v>
      </c>
      <c r="K37" s="11">
        <v>136</v>
      </c>
      <c r="L37" s="11"/>
      <c r="M37" t="str">
        <f>IFERROR(HYPERLINK("#Main!A"&amp;MATCH(A37,Main!A:A,0),"Open"),HYPERLINK("#Main!A1","Open"))</f>
        <v>Open</v>
      </c>
    </row>
    <row r="38" spans="1:14" ht="45" customHeight="1" x14ac:dyDescent="0.25">
      <c r="A38" s="59" t="s">
        <v>377</v>
      </c>
      <c r="B38" s="8">
        <v>51</v>
      </c>
      <c r="C38" s="49" t="s">
        <v>1175</v>
      </c>
      <c r="D38" s="8">
        <v>193.89</v>
      </c>
      <c r="E38" s="8">
        <v>1</v>
      </c>
      <c r="F38" s="6" t="b">
        <v>0</v>
      </c>
      <c r="G38" s="8" t="b">
        <v>0</v>
      </c>
      <c r="H38" s="6" t="b">
        <v>0</v>
      </c>
      <c r="I38" s="6" t="b">
        <v>0</v>
      </c>
      <c r="J38" s="49" t="b">
        <v>1</v>
      </c>
      <c r="K38" s="8">
        <v>4</v>
      </c>
      <c r="L38" s="8"/>
      <c r="M38" s="9" t="str">
        <f>IFERROR(HYPERLINK("#Main!A"&amp;MATCH(A38,Main!A:A,0),"Open"),HYPERLINK("#Main!A1","Open"))</f>
        <v>Open</v>
      </c>
      <c r="N38" s="9"/>
    </row>
    <row r="39" spans="1:14" ht="30" customHeight="1" x14ac:dyDescent="0.25">
      <c r="A39" s="58" t="s">
        <v>385</v>
      </c>
      <c r="B39" s="11">
        <v>549</v>
      </c>
      <c r="C39" s="63" t="s">
        <v>1177</v>
      </c>
      <c r="D39" s="11">
        <v>67.53</v>
      </c>
      <c r="E39" s="11">
        <v>1</v>
      </c>
      <c r="F39" s="6" t="b">
        <v>0</v>
      </c>
      <c r="G39" s="11" t="b">
        <v>0</v>
      </c>
      <c r="H39" s="6" t="b">
        <v>0</v>
      </c>
      <c r="I39" s="6" t="b">
        <v>0</v>
      </c>
      <c r="J39" s="6" t="b">
        <v>0</v>
      </c>
      <c r="K39" s="11">
        <v>4</v>
      </c>
      <c r="L39" s="11"/>
      <c r="M39" t="str">
        <f>IFERROR(HYPERLINK("#Main!A"&amp;MATCH(A39,Main!A:A,0),"Open"),HYPERLINK("#Main!A1","Open"))</f>
        <v>Open</v>
      </c>
    </row>
    <row r="40" spans="1:14" ht="30" customHeight="1" x14ac:dyDescent="0.25">
      <c r="A40" s="59" t="s">
        <v>358</v>
      </c>
      <c r="B40" s="8">
        <v>36</v>
      </c>
      <c r="C40" s="49" t="s">
        <v>1175</v>
      </c>
      <c r="D40" s="8">
        <v>188.56</v>
      </c>
      <c r="E40" s="8">
        <v>0</v>
      </c>
      <c r="F40" s="49" t="b">
        <v>1</v>
      </c>
      <c r="G40" s="8" t="b">
        <v>0</v>
      </c>
      <c r="H40" s="6" t="b">
        <v>0</v>
      </c>
      <c r="I40" s="6" t="b">
        <v>0</v>
      </c>
      <c r="J40" s="49" t="b">
        <v>1</v>
      </c>
      <c r="K40" s="8">
        <v>2</v>
      </c>
      <c r="L40" s="8"/>
      <c r="M40" s="9" t="str">
        <f>IFERROR(HYPERLINK("#Main!A"&amp;MATCH(A40,Main!A:A,0),"Open"),HYPERLINK("#Main!A1","Open"))</f>
        <v>Open</v>
      </c>
      <c r="N40" s="9"/>
    </row>
    <row r="41" spans="1:14" ht="30" customHeight="1" x14ac:dyDescent="0.25">
      <c r="A41" s="58" t="s">
        <v>196</v>
      </c>
      <c r="B41" s="11">
        <v>399</v>
      </c>
      <c r="C41" s="63" t="s">
        <v>1177</v>
      </c>
      <c r="D41" s="11">
        <v>170.02</v>
      </c>
      <c r="E41" s="11">
        <v>1</v>
      </c>
      <c r="F41" s="6" t="b">
        <v>0</v>
      </c>
      <c r="G41" s="11" t="b">
        <v>0</v>
      </c>
      <c r="H41" s="6" t="b">
        <v>0</v>
      </c>
      <c r="I41" s="6" t="b">
        <v>0</v>
      </c>
      <c r="J41" s="6" t="b">
        <v>0</v>
      </c>
      <c r="K41" s="11">
        <v>11</v>
      </c>
      <c r="L41" s="11"/>
      <c r="M41" t="str">
        <f>IFERROR(HYPERLINK("#Main!A"&amp;MATCH(A41,Main!A:A,0),"Open"),HYPERLINK("#Main!A1","Open"))</f>
        <v>Open</v>
      </c>
    </row>
    <row r="42" spans="1:14" ht="30" customHeight="1" x14ac:dyDescent="0.25">
      <c r="A42" s="59" t="s">
        <v>164</v>
      </c>
      <c r="B42" s="8">
        <v>1637</v>
      </c>
      <c r="C42" s="6" t="s">
        <v>1176</v>
      </c>
      <c r="D42" s="8">
        <v>179.14</v>
      </c>
      <c r="E42" s="8">
        <v>2</v>
      </c>
      <c r="F42" s="6" t="b">
        <v>0</v>
      </c>
      <c r="G42" s="8" t="b">
        <v>1</v>
      </c>
      <c r="H42" s="6" t="b">
        <v>0</v>
      </c>
      <c r="I42" s="6" t="b">
        <v>0</v>
      </c>
      <c r="J42" s="6" t="b">
        <v>0</v>
      </c>
      <c r="K42" s="8">
        <v>60</v>
      </c>
      <c r="L42" s="8"/>
      <c r="M42" s="9" t="str">
        <f>IFERROR(HYPERLINK("#Main!A"&amp;MATCH(A42,Main!A:A,0),"Open"),HYPERLINK("#Main!A1","Open"))</f>
        <v>Open</v>
      </c>
      <c r="N42" s="9"/>
    </row>
    <row r="43" spans="1:14" ht="30" customHeight="1" x14ac:dyDescent="0.25">
      <c r="A43" s="58" t="s">
        <v>350</v>
      </c>
      <c r="B43" s="11">
        <v>1365</v>
      </c>
      <c r="C43" s="6" t="s">
        <v>1176</v>
      </c>
      <c r="D43" s="11">
        <v>100.26</v>
      </c>
      <c r="E43" s="11">
        <v>1</v>
      </c>
      <c r="F43" s="6" t="b">
        <v>0</v>
      </c>
      <c r="G43" s="11" t="b">
        <v>0</v>
      </c>
      <c r="H43" s="6" t="b">
        <v>0</v>
      </c>
      <c r="I43" s="6" t="b">
        <v>0</v>
      </c>
      <c r="J43" s="6" t="b">
        <v>0</v>
      </c>
      <c r="K43" s="11">
        <v>13</v>
      </c>
      <c r="L43" s="11"/>
      <c r="M43" t="str">
        <f>IFERROR(HYPERLINK("#Main!A"&amp;MATCH(A43,Main!A:A,0),"Open"),HYPERLINK("#Main!A1","Open"))</f>
        <v>Open</v>
      </c>
    </row>
    <row r="44" spans="1:14" ht="30" customHeight="1" x14ac:dyDescent="0.25">
      <c r="A44" s="59" t="s">
        <v>374</v>
      </c>
      <c r="B44" s="8">
        <v>1365</v>
      </c>
      <c r="C44" s="6" t="s">
        <v>1176</v>
      </c>
      <c r="D44" s="8">
        <v>100.26</v>
      </c>
      <c r="E44" s="8">
        <v>1</v>
      </c>
      <c r="F44" s="6" t="b">
        <v>0</v>
      </c>
      <c r="G44" s="8" t="b">
        <v>0</v>
      </c>
      <c r="H44" s="6" t="b">
        <v>0</v>
      </c>
      <c r="I44" s="6" t="b">
        <v>0</v>
      </c>
      <c r="J44" s="6" t="b">
        <v>0</v>
      </c>
      <c r="K44" s="8">
        <v>13</v>
      </c>
      <c r="L44" s="8"/>
      <c r="M44" s="9" t="str">
        <f>IFERROR(HYPERLINK("#Main!A"&amp;MATCH(A44,Main!A:A,0),"Open"),HYPERLINK("#Main!A1","Open"))</f>
        <v>Open</v>
      </c>
      <c r="N44" s="9"/>
    </row>
    <row r="45" spans="1:14" ht="45" customHeight="1" x14ac:dyDescent="0.25">
      <c r="A45" s="58" t="s">
        <v>409</v>
      </c>
      <c r="B45" s="11">
        <v>31</v>
      </c>
      <c r="C45" s="49" t="s">
        <v>1175</v>
      </c>
      <c r="D45" s="11">
        <v>191.1</v>
      </c>
      <c r="E45" s="11">
        <v>4</v>
      </c>
      <c r="F45" s="6" t="b">
        <v>0</v>
      </c>
      <c r="G45" s="11" t="b">
        <v>1</v>
      </c>
      <c r="H45" s="6" t="b">
        <v>0</v>
      </c>
      <c r="I45" s="6" t="b">
        <v>0</v>
      </c>
      <c r="J45" s="49" t="b">
        <v>1</v>
      </c>
      <c r="K45" s="11">
        <v>2</v>
      </c>
      <c r="L45" s="11"/>
      <c r="M45" t="str">
        <f>IFERROR(HYPERLINK("#Main!A"&amp;MATCH(A45,Main!A:A,0),"Open"),HYPERLINK("#Main!A1","Open"))</f>
        <v>Open</v>
      </c>
    </row>
    <row r="46" spans="1:14" ht="30" customHeight="1" x14ac:dyDescent="0.25">
      <c r="A46" s="59" t="s">
        <v>436</v>
      </c>
      <c r="B46" s="8">
        <v>31</v>
      </c>
      <c r="C46" s="49" t="s">
        <v>1175</v>
      </c>
      <c r="D46" s="8">
        <v>191.1</v>
      </c>
      <c r="E46" s="8">
        <v>4</v>
      </c>
      <c r="F46" s="6" t="b">
        <v>0</v>
      </c>
      <c r="G46" s="8" t="b">
        <v>1</v>
      </c>
      <c r="H46" s="6" t="b">
        <v>0</v>
      </c>
      <c r="I46" s="6" t="b">
        <v>0</v>
      </c>
      <c r="J46" s="49" t="b">
        <v>1</v>
      </c>
      <c r="K46" s="8">
        <v>2</v>
      </c>
      <c r="L46" s="8"/>
      <c r="M46" s="9" t="str">
        <f>IFERROR(HYPERLINK("#Main!A"&amp;MATCH(A46,Main!A:A,0),"Open"),HYPERLINK("#Main!A1","Open"))</f>
        <v>Open</v>
      </c>
      <c r="N46" s="9"/>
    </row>
    <row r="47" spans="1:14" ht="30" customHeight="1" x14ac:dyDescent="0.25">
      <c r="A47" s="58" t="s">
        <v>473</v>
      </c>
      <c r="B47" s="11">
        <v>573</v>
      </c>
      <c r="C47" s="63" t="s">
        <v>1177</v>
      </c>
      <c r="D47" s="11">
        <v>123.75</v>
      </c>
      <c r="E47" s="11">
        <v>1</v>
      </c>
      <c r="F47" s="6" t="b">
        <v>0</v>
      </c>
      <c r="G47" s="11" t="b">
        <v>0</v>
      </c>
      <c r="H47" s="6" t="b">
        <v>0</v>
      </c>
      <c r="I47" s="6" t="b">
        <v>0</v>
      </c>
      <c r="J47" s="6" t="b">
        <v>0</v>
      </c>
      <c r="K47" s="11">
        <v>7</v>
      </c>
      <c r="L47" s="11"/>
      <c r="M47" t="str">
        <f>IFERROR(HYPERLINK("#Main!A"&amp;MATCH(A47,Main!A:A,0),"Open"),HYPERLINK("#Main!A1","Open"))</f>
        <v>Open</v>
      </c>
    </row>
    <row r="48" spans="1:14" ht="30" customHeight="1" x14ac:dyDescent="0.25">
      <c r="A48" s="59" t="s">
        <v>489</v>
      </c>
      <c r="B48" s="8">
        <v>587</v>
      </c>
      <c r="C48" s="63" t="s">
        <v>1177</v>
      </c>
      <c r="D48" s="8">
        <v>57.88</v>
      </c>
      <c r="E48" s="8">
        <v>1</v>
      </c>
      <c r="F48" s="6" t="b">
        <v>0</v>
      </c>
      <c r="G48" s="8" t="b">
        <v>0</v>
      </c>
      <c r="H48" s="6" t="b">
        <v>0</v>
      </c>
      <c r="I48" s="6" t="b">
        <v>0</v>
      </c>
      <c r="J48" s="6" t="b">
        <v>0</v>
      </c>
      <c r="K48" s="8">
        <v>4</v>
      </c>
      <c r="L48" s="8"/>
      <c r="M48" s="9" t="str">
        <f>IFERROR(HYPERLINK("#Main!A"&amp;MATCH(A48,Main!A:A,0),"Open"),HYPERLINK("#Main!A1","Open"))</f>
        <v>Open</v>
      </c>
      <c r="N48" s="9"/>
    </row>
    <row r="49" spans="1:14" ht="30" customHeight="1" x14ac:dyDescent="0.25">
      <c r="A49" s="58" t="s">
        <v>338</v>
      </c>
      <c r="B49" s="11">
        <v>0</v>
      </c>
      <c r="C49" s="11"/>
      <c r="D49" s="11"/>
      <c r="E49" s="11">
        <v>0</v>
      </c>
      <c r="F49" s="6" t="b">
        <v>0</v>
      </c>
      <c r="G49" s="11" t="b">
        <v>0</v>
      </c>
      <c r="H49" s="49" t="b">
        <v>1</v>
      </c>
      <c r="I49" s="49" t="b">
        <v>1</v>
      </c>
      <c r="J49" s="6" t="b">
        <v>0</v>
      </c>
      <c r="K49" s="11">
        <v>0</v>
      </c>
      <c r="L49" s="11"/>
      <c r="M49" t="str">
        <f>IFERROR(HYPERLINK("#Main!A"&amp;MATCH(A49,Main!A:A,0),"Open"),HYPERLINK("#Main!A1","Open"))</f>
        <v>Open</v>
      </c>
    </row>
    <row r="50" spans="1:14" ht="30" customHeight="1" x14ac:dyDescent="0.25">
      <c r="A50" s="59" t="s">
        <v>433</v>
      </c>
      <c r="B50" s="8">
        <v>0</v>
      </c>
      <c r="C50" s="8"/>
      <c r="D50" s="8"/>
      <c r="E50" s="8">
        <v>0</v>
      </c>
      <c r="F50" s="6" t="b">
        <v>0</v>
      </c>
      <c r="G50" s="8" t="b">
        <v>0</v>
      </c>
      <c r="H50" s="49" t="b">
        <v>1</v>
      </c>
      <c r="I50" s="49" t="b">
        <v>1</v>
      </c>
      <c r="J50" s="6" t="b">
        <v>0</v>
      </c>
      <c r="K50" s="8">
        <v>0</v>
      </c>
      <c r="L50" s="8"/>
      <c r="M50" s="9" t="str">
        <f>IFERROR(HYPERLINK("#Main!A"&amp;MATCH(A50,Main!A:A,0),"Open"),HYPERLINK("#Main!A1","Open"))</f>
        <v>Open</v>
      </c>
      <c r="N50" s="9"/>
    </row>
    <row r="51" spans="1:14" ht="30" customHeight="1" x14ac:dyDescent="0.25">
      <c r="A51" s="58" t="s">
        <v>743</v>
      </c>
      <c r="B51" s="11">
        <v>43</v>
      </c>
      <c r="C51" s="49" t="s">
        <v>1175</v>
      </c>
      <c r="D51" s="11">
        <v>185.01</v>
      </c>
      <c r="E51" s="11">
        <v>0</v>
      </c>
      <c r="F51" s="49" t="b">
        <v>1</v>
      </c>
      <c r="G51" s="11" t="b">
        <v>0</v>
      </c>
      <c r="H51" s="6" t="b">
        <v>0</v>
      </c>
      <c r="I51" s="6" t="b">
        <v>0</v>
      </c>
      <c r="J51" s="49" t="b">
        <v>1</v>
      </c>
      <c r="K51" s="11">
        <v>2</v>
      </c>
      <c r="L51" s="11"/>
      <c r="M51" t="str">
        <f>IFERROR(HYPERLINK("#Main!A"&amp;MATCH(A51,Main!A:A,0),"Open"),HYPERLINK("#Main!A1","Open"))</f>
        <v>Open</v>
      </c>
    </row>
    <row r="52" spans="1:14" ht="30" customHeight="1" x14ac:dyDescent="0.25">
      <c r="A52" s="59" t="s">
        <v>598</v>
      </c>
      <c r="B52" s="8">
        <v>24</v>
      </c>
      <c r="C52" s="49" t="s">
        <v>1175</v>
      </c>
      <c r="D52" s="8">
        <v>194.66</v>
      </c>
      <c r="E52" s="8">
        <v>0</v>
      </c>
      <c r="F52" s="49" t="b">
        <v>1</v>
      </c>
      <c r="G52" s="8" t="b">
        <v>0</v>
      </c>
      <c r="H52" s="6" t="b">
        <v>0</v>
      </c>
      <c r="I52" s="6" t="b">
        <v>0</v>
      </c>
      <c r="J52" s="49" t="b">
        <v>1</v>
      </c>
      <c r="K52" s="8">
        <v>2</v>
      </c>
      <c r="L52" s="8"/>
      <c r="M52" s="9" t="str">
        <f>IFERROR(HYPERLINK("#Main!A"&amp;MATCH(A52,Main!A:A,0),"Open"),HYPERLINK("#Main!A1","Open"))</f>
        <v>Open</v>
      </c>
      <c r="N52" s="9"/>
    </row>
    <row r="53" spans="1:14" ht="30" customHeight="1" x14ac:dyDescent="0.25">
      <c r="A53" s="58" t="s">
        <v>735</v>
      </c>
      <c r="B53" s="11">
        <v>31</v>
      </c>
      <c r="C53" s="49" t="s">
        <v>1175</v>
      </c>
      <c r="D53" s="11">
        <v>175.37</v>
      </c>
      <c r="E53" s="11">
        <v>0</v>
      </c>
      <c r="F53" s="49" t="b">
        <v>1</v>
      </c>
      <c r="G53" s="11" t="b">
        <v>0</v>
      </c>
      <c r="H53" s="6" t="b">
        <v>0</v>
      </c>
      <c r="I53" s="6" t="b">
        <v>0</v>
      </c>
      <c r="J53" s="49" t="b">
        <v>1</v>
      </c>
      <c r="K53" s="11">
        <v>1</v>
      </c>
      <c r="L53" s="11"/>
      <c r="M53" t="str">
        <f>IFERROR(HYPERLINK("#Main!A"&amp;MATCH(A53,Main!A:A,0),"Open"),HYPERLINK("#Main!A1","Open"))</f>
        <v>Open</v>
      </c>
    </row>
    <row r="54" spans="1:14" ht="30" customHeight="1" x14ac:dyDescent="0.25">
      <c r="A54" s="59" t="s">
        <v>712</v>
      </c>
      <c r="B54" s="8">
        <v>438</v>
      </c>
      <c r="C54" s="63" t="s">
        <v>1177</v>
      </c>
      <c r="D54" s="8">
        <v>95.69</v>
      </c>
      <c r="E54" s="8">
        <v>0</v>
      </c>
      <c r="F54" s="49" t="b">
        <v>1</v>
      </c>
      <c r="G54" s="8" t="b">
        <v>0</v>
      </c>
      <c r="H54" s="6" t="b">
        <v>0</v>
      </c>
      <c r="I54" s="6" t="b">
        <v>0</v>
      </c>
      <c r="J54" s="6" t="b">
        <v>0</v>
      </c>
      <c r="K54" s="8">
        <v>4</v>
      </c>
      <c r="L54" s="8"/>
      <c r="M54" s="9" t="str">
        <f>IFERROR(HYPERLINK("#Main!A"&amp;MATCH(A54,Main!A:A,0),"Open"),HYPERLINK("#Main!A1","Open"))</f>
        <v>Open</v>
      </c>
      <c r="N54" s="9"/>
    </row>
    <row r="55" spans="1:14" ht="30" customHeight="1" x14ac:dyDescent="0.25">
      <c r="A55" s="58" t="s">
        <v>622</v>
      </c>
      <c r="B55" s="11">
        <v>15</v>
      </c>
      <c r="C55" s="49" t="s">
        <v>1175</v>
      </c>
      <c r="D55" s="11">
        <v>191.61</v>
      </c>
      <c r="E55" s="11">
        <v>0</v>
      </c>
      <c r="F55" s="49" t="b">
        <v>1</v>
      </c>
      <c r="G55" s="11" t="b">
        <v>0</v>
      </c>
      <c r="H55" s="6" t="b">
        <v>0</v>
      </c>
      <c r="I55" s="49" t="b">
        <v>1</v>
      </c>
      <c r="J55" s="49" t="b">
        <v>1</v>
      </c>
      <c r="K55" s="11">
        <v>1</v>
      </c>
      <c r="L55" s="11"/>
      <c r="M55" t="str">
        <f>IFERROR(HYPERLINK("#Main!A"&amp;MATCH(A55,Main!A:A,0),"Open"),HYPERLINK("#Main!A1","Open"))</f>
        <v>Open</v>
      </c>
    </row>
    <row r="56" spans="1:14" ht="30" customHeight="1" x14ac:dyDescent="0.25">
      <c r="A56" s="59" t="s">
        <v>535</v>
      </c>
      <c r="B56" s="8">
        <v>35</v>
      </c>
      <c r="C56" s="49" t="s">
        <v>1175</v>
      </c>
      <c r="D56" s="8">
        <v>189.07</v>
      </c>
      <c r="E56" s="8">
        <v>1</v>
      </c>
      <c r="F56" s="6" t="b">
        <v>0</v>
      </c>
      <c r="G56" s="8" t="b">
        <v>0</v>
      </c>
      <c r="H56" s="6" t="b">
        <v>0</v>
      </c>
      <c r="I56" s="6" t="b">
        <v>0</v>
      </c>
      <c r="J56" s="49" t="b">
        <v>1</v>
      </c>
      <c r="K56" s="8">
        <v>2</v>
      </c>
      <c r="L56" s="8"/>
      <c r="M56" s="9" t="str">
        <f>IFERROR(HYPERLINK("#Main!A"&amp;MATCH(A56,Main!A:A,0),"Open"),HYPERLINK("#Main!A1","Open"))</f>
        <v>Open</v>
      </c>
      <c r="N56" s="9"/>
    </row>
    <row r="57" spans="1:14" ht="30" customHeight="1" x14ac:dyDescent="0.25">
      <c r="A57" s="58" t="s">
        <v>527</v>
      </c>
      <c r="B57" s="11">
        <v>37</v>
      </c>
      <c r="C57" s="49" t="s">
        <v>1175</v>
      </c>
      <c r="D57" s="11">
        <v>188.06</v>
      </c>
      <c r="E57" s="11">
        <v>1</v>
      </c>
      <c r="F57" s="6" t="b">
        <v>0</v>
      </c>
      <c r="G57" s="11" t="b">
        <v>0</v>
      </c>
      <c r="H57" s="6" t="b">
        <v>0</v>
      </c>
      <c r="I57" s="6" t="b">
        <v>0</v>
      </c>
      <c r="J57" s="49" t="b">
        <v>1</v>
      </c>
      <c r="K57" s="11">
        <v>2</v>
      </c>
      <c r="L57" s="11"/>
      <c r="M57" t="str">
        <f>IFERROR(HYPERLINK("#Main!A"&amp;MATCH(A57,Main!A:A,0),"Open"),HYPERLINK("#Main!A1","Open"))</f>
        <v>Open</v>
      </c>
    </row>
    <row r="58" spans="1:14" ht="30" customHeight="1" x14ac:dyDescent="0.25">
      <c r="A58" s="59" t="s">
        <v>590</v>
      </c>
      <c r="B58" s="8">
        <v>28</v>
      </c>
      <c r="C58" s="49" t="s">
        <v>1175</v>
      </c>
      <c r="D58" s="8">
        <v>178.42</v>
      </c>
      <c r="E58" s="8">
        <v>0</v>
      </c>
      <c r="F58" s="49" t="b">
        <v>1</v>
      </c>
      <c r="G58" s="8" t="b">
        <v>0</v>
      </c>
      <c r="H58" s="6" t="b">
        <v>0</v>
      </c>
      <c r="I58" s="6" t="b">
        <v>0</v>
      </c>
      <c r="J58" s="49" t="b">
        <v>1</v>
      </c>
      <c r="K58" s="8">
        <v>1</v>
      </c>
      <c r="L58" s="8"/>
      <c r="M58" s="9" t="str">
        <f>IFERROR(HYPERLINK("#Main!A"&amp;MATCH(A58,Main!A:A,0),"Open"),HYPERLINK("#Main!A1","Open"))</f>
        <v>Open</v>
      </c>
      <c r="N58" s="9"/>
    </row>
    <row r="59" spans="1:14" ht="30" customHeight="1" x14ac:dyDescent="0.25">
      <c r="A59" s="58" t="s">
        <v>758</v>
      </c>
      <c r="B59" s="11">
        <v>23</v>
      </c>
      <c r="C59" s="49" t="s">
        <v>1175</v>
      </c>
      <c r="D59" s="11">
        <v>183.49</v>
      </c>
      <c r="E59" s="11">
        <v>0</v>
      </c>
      <c r="F59" s="49" t="b">
        <v>1</v>
      </c>
      <c r="G59" s="11" t="b">
        <v>0</v>
      </c>
      <c r="H59" s="6" t="b">
        <v>0</v>
      </c>
      <c r="I59" s="6" t="b">
        <v>0</v>
      </c>
      <c r="J59" s="49" t="b">
        <v>1</v>
      </c>
      <c r="K59" s="11">
        <v>1</v>
      </c>
      <c r="L59" s="11"/>
      <c r="M59" t="str">
        <f>IFERROR(HYPERLINK("#Main!A"&amp;MATCH(A59,Main!A:A,0),"Open"),HYPERLINK("#Main!A1","Open"))</f>
        <v>Open</v>
      </c>
    </row>
    <row r="60" spans="1:14" ht="30" customHeight="1" x14ac:dyDescent="0.25">
      <c r="A60" s="59" t="s">
        <v>282</v>
      </c>
      <c r="B60" s="8">
        <v>110</v>
      </c>
      <c r="C60" s="49" t="s">
        <v>1175</v>
      </c>
      <c r="D60" s="8">
        <v>151.01</v>
      </c>
      <c r="E60" s="8">
        <v>1</v>
      </c>
      <c r="F60" s="6" t="b">
        <v>0</v>
      </c>
      <c r="G60" s="8" t="b">
        <v>0</v>
      </c>
      <c r="H60" s="6" t="b">
        <v>0</v>
      </c>
      <c r="I60" s="6" t="b">
        <v>0</v>
      </c>
      <c r="J60" s="49" t="b">
        <v>1</v>
      </c>
      <c r="K60" s="8">
        <v>2</v>
      </c>
      <c r="L60" s="8"/>
      <c r="M60" s="9" t="str">
        <f>IFERROR(HYPERLINK("#Main!A"&amp;MATCH(A60,Main!A:A,0),"Open"),HYPERLINK("#Main!A1","Open"))</f>
        <v>Open</v>
      </c>
      <c r="N60" s="9"/>
    </row>
    <row r="61" spans="1:14" ht="30" customHeight="1" x14ac:dyDescent="0.25">
      <c r="A61" s="58" t="s">
        <v>766</v>
      </c>
      <c r="B61" s="11">
        <v>23</v>
      </c>
      <c r="C61" s="49" t="s">
        <v>1175</v>
      </c>
      <c r="D61" s="11">
        <v>183.49</v>
      </c>
      <c r="E61" s="11">
        <v>0</v>
      </c>
      <c r="F61" s="49" t="b">
        <v>1</v>
      </c>
      <c r="G61" s="11" t="b">
        <v>0</v>
      </c>
      <c r="H61" s="6" t="b">
        <v>0</v>
      </c>
      <c r="I61" s="6" t="b">
        <v>0</v>
      </c>
      <c r="J61" s="49" t="b">
        <v>1</v>
      </c>
      <c r="K61" s="11">
        <v>1</v>
      </c>
      <c r="L61" s="11"/>
      <c r="M61" t="str">
        <f>IFERROR(HYPERLINK("#Main!A"&amp;MATCH(A61,Main!A:A,0),"Open"),HYPERLINK("#Main!A1","Open"))</f>
        <v>Open</v>
      </c>
    </row>
    <row r="62" spans="1:14" ht="30" customHeight="1" x14ac:dyDescent="0.25">
      <c r="A62" s="59" t="s">
        <v>614</v>
      </c>
      <c r="B62" s="8">
        <v>49</v>
      </c>
      <c r="C62" s="49" t="s">
        <v>1175</v>
      </c>
      <c r="D62" s="8">
        <v>181.97</v>
      </c>
      <c r="E62" s="8">
        <v>0</v>
      </c>
      <c r="F62" s="49" t="b">
        <v>1</v>
      </c>
      <c r="G62" s="8" t="b">
        <v>0</v>
      </c>
      <c r="H62" s="6" t="b">
        <v>0</v>
      </c>
      <c r="I62" s="6" t="b">
        <v>0</v>
      </c>
      <c r="J62" s="49" t="b">
        <v>1</v>
      </c>
      <c r="K62" s="8">
        <v>2</v>
      </c>
      <c r="L62" s="8"/>
      <c r="M62" s="9" t="str">
        <f>IFERROR(HYPERLINK("#Main!A"&amp;MATCH(A62,Main!A:A,0),"Open"),HYPERLINK("#Main!A1","Open"))</f>
        <v>Open</v>
      </c>
      <c r="N62" s="9"/>
    </row>
    <row r="63" spans="1:14" ht="30" customHeight="1" x14ac:dyDescent="0.25">
      <c r="A63" s="58" t="s">
        <v>425</v>
      </c>
      <c r="B63" s="11">
        <v>1300</v>
      </c>
      <c r="C63" s="6" t="s">
        <v>1176</v>
      </c>
      <c r="D63" s="11">
        <v>140.86000000000001</v>
      </c>
      <c r="E63" s="11">
        <v>1</v>
      </c>
      <c r="F63" s="6" t="b">
        <v>0</v>
      </c>
      <c r="G63" s="11" t="b">
        <v>0</v>
      </c>
      <c r="H63" s="6" t="b">
        <v>0</v>
      </c>
      <c r="I63" s="6" t="b">
        <v>0</v>
      </c>
      <c r="J63" s="6" t="b">
        <v>0</v>
      </c>
      <c r="K63" s="11">
        <v>20</v>
      </c>
      <c r="L63" s="11"/>
      <c r="M63" t="str">
        <f>IFERROR(HYPERLINK("#Main!A"&amp;MATCH(A63,Main!A:A,0),"Open"),HYPERLINK("#Main!A1","Open"))</f>
        <v>Open</v>
      </c>
    </row>
    <row r="64" spans="1:14" ht="30" customHeight="1" x14ac:dyDescent="0.25">
      <c r="A64" s="59" t="s">
        <v>210</v>
      </c>
      <c r="B64" s="8">
        <v>310</v>
      </c>
      <c r="C64" s="63" t="s">
        <v>1177</v>
      </c>
      <c r="D64" s="8">
        <v>178.23</v>
      </c>
      <c r="E64" s="8">
        <v>1</v>
      </c>
      <c r="F64" s="6" t="b">
        <v>0</v>
      </c>
      <c r="G64" s="8" t="b">
        <v>0</v>
      </c>
      <c r="H64" s="6" t="b">
        <v>0</v>
      </c>
      <c r="I64" s="6" t="b">
        <v>0</v>
      </c>
      <c r="J64" s="6" t="b">
        <v>0</v>
      </c>
      <c r="K64" s="8">
        <v>11</v>
      </c>
      <c r="L64" s="8"/>
      <c r="M64" s="9" t="str">
        <f>IFERROR(HYPERLINK("#Main!A"&amp;MATCH(A64,Main!A:A,0),"Open"),HYPERLINK("#Main!A1","Open"))</f>
        <v>Open</v>
      </c>
      <c r="N64" s="9"/>
    </row>
    <row r="65" spans="1:14" ht="30" customHeight="1" x14ac:dyDescent="0.25">
      <c r="A65" s="58" t="s">
        <v>258</v>
      </c>
      <c r="B65" s="11">
        <v>678</v>
      </c>
      <c r="C65" s="63" t="s">
        <v>1177</v>
      </c>
      <c r="D65" s="11">
        <v>163.82</v>
      </c>
      <c r="E65" s="11">
        <v>1</v>
      </c>
      <c r="F65" s="6" t="b">
        <v>0</v>
      </c>
      <c r="G65" s="11" t="b">
        <v>0</v>
      </c>
      <c r="H65" s="6" t="b">
        <v>0</v>
      </c>
      <c r="I65" s="6" t="b">
        <v>0</v>
      </c>
      <c r="J65" s="6" t="b">
        <v>0</v>
      </c>
      <c r="K65" s="11">
        <v>16</v>
      </c>
      <c r="L65" s="11"/>
      <c r="M65" t="str">
        <f>IFERROR(HYPERLINK("#Main!A"&amp;MATCH(A65,Main!A:A,0),"Open"),HYPERLINK("#Main!A1","Open"))</f>
        <v>Open</v>
      </c>
    </row>
    <row r="66" spans="1:14" ht="30" customHeight="1" x14ac:dyDescent="0.25">
      <c r="A66" s="59" t="s">
        <v>250</v>
      </c>
      <c r="B66" s="8">
        <v>20</v>
      </c>
      <c r="C66" s="49" t="s">
        <v>1175</v>
      </c>
      <c r="D66" s="8">
        <v>186.54</v>
      </c>
      <c r="E66" s="8">
        <v>1</v>
      </c>
      <c r="F66" s="6" t="b">
        <v>0</v>
      </c>
      <c r="G66" s="8" t="b">
        <v>0</v>
      </c>
      <c r="H66" s="6" t="b">
        <v>0</v>
      </c>
      <c r="I66" s="6" t="b">
        <v>0</v>
      </c>
      <c r="J66" s="49" t="b">
        <v>1</v>
      </c>
      <c r="K66" s="8">
        <v>1</v>
      </c>
      <c r="L66" s="8"/>
      <c r="M66" s="9" t="str">
        <f>IFERROR(HYPERLINK("#Main!A"&amp;MATCH(A66,Main!A:A,0),"Open"),HYPERLINK("#Main!A1","Open"))</f>
        <v>Open</v>
      </c>
      <c r="N66" s="9"/>
    </row>
    <row r="67" spans="1:14" ht="30" customHeight="1" x14ac:dyDescent="0.25">
      <c r="A67" s="58" t="s">
        <v>266</v>
      </c>
      <c r="B67" s="11">
        <v>2642</v>
      </c>
      <c r="C67" s="6" t="s">
        <v>1176</v>
      </c>
      <c r="D67" s="11">
        <v>181.05</v>
      </c>
      <c r="E67" s="11">
        <v>1</v>
      </c>
      <c r="F67" s="6" t="b">
        <v>0</v>
      </c>
      <c r="G67" s="11" t="b">
        <v>0</v>
      </c>
      <c r="H67" s="6" t="b">
        <v>0</v>
      </c>
      <c r="I67" s="6" t="b">
        <v>0</v>
      </c>
      <c r="J67" s="6" t="b">
        <v>0</v>
      </c>
      <c r="K67" s="11">
        <v>104</v>
      </c>
      <c r="L67" s="11"/>
      <c r="M67" t="str">
        <f>IFERROR(HYPERLINK("#Main!A"&amp;MATCH(A67,Main!A:A,0),"Open"),HYPERLINK("#Main!A1","Open"))</f>
        <v>Open</v>
      </c>
    </row>
    <row r="68" spans="1:14" ht="30" customHeight="1" x14ac:dyDescent="0.25">
      <c r="A68" s="59" t="s">
        <v>543</v>
      </c>
      <c r="B68" s="8">
        <v>31</v>
      </c>
      <c r="C68" s="49" t="s">
        <v>1175</v>
      </c>
      <c r="D68" s="8">
        <v>191.1</v>
      </c>
      <c r="E68" s="8">
        <v>0</v>
      </c>
      <c r="F68" s="49" t="b">
        <v>1</v>
      </c>
      <c r="G68" s="8" t="b">
        <v>0</v>
      </c>
      <c r="H68" s="6" t="b">
        <v>0</v>
      </c>
      <c r="I68" s="6" t="b">
        <v>0</v>
      </c>
      <c r="J68" s="49" t="b">
        <v>1</v>
      </c>
      <c r="K68" s="8">
        <v>2</v>
      </c>
      <c r="L68" s="8"/>
      <c r="M68" s="9" t="str">
        <f>IFERROR(HYPERLINK("#Main!A"&amp;MATCH(A68,Main!A:A,0),"Open"),HYPERLINK("#Main!A1","Open"))</f>
        <v>Open</v>
      </c>
      <c r="N68" s="9"/>
    </row>
    <row r="69" spans="1:14" ht="30" customHeight="1" x14ac:dyDescent="0.25">
      <c r="A69" s="58" t="s">
        <v>99</v>
      </c>
      <c r="B69" s="11">
        <v>15</v>
      </c>
      <c r="C69" s="49" t="s">
        <v>1175</v>
      </c>
      <c r="D69" s="11">
        <v>191.61</v>
      </c>
      <c r="E69" s="11">
        <v>0</v>
      </c>
      <c r="F69" s="49" t="b">
        <v>1</v>
      </c>
      <c r="G69" s="11" t="b">
        <v>0</v>
      </c>
      <c r="H69" s="6" t="b">
        <v>0</v>
      </c>
      <c r="I69" s="49" t="b">
        <v>1</v>
      </c>
      <c r="J69" s="49" t="b">
        <v>1</v>
      </c>
      <c r="K69" s="11">
        <v>1</v>
      </c>
      <c r="L69" s="11"/>
      <c r="M69" t="str">
        <f>IFERROR(HYPERLINK("#Main!A"&amp;MATCH(A69,Main!A:A,0),"Open"),HYPERLINK("#Main!A1","Open"))</f>
        <v>Open</v>
      </c>
    </row>
    <row r="70" spans="1:14" ht="30" customHeight="1" x14ac:dyDescent="0.25">
      <c r="A70" s="59" t="s">
        <v>226</v>
      </c>
      <c r="B70" s="8">
        <v>179</v>
      </c>
      <c r="C70" s="49" t="s">
        <v>1175</v>
      </c>
      <c r="D70" s="8">
        <v>25.15</v>
      </c>
      <c r="E70" s="8">
        <v>1</v>
      </c>
      <c r="F70" s="6" t="b">
        <v>0</v>
      </c>
      <c r="G70" s="8" t="b">
        <v>0</v>
      </c>
      <c r="H70" s="6" t="b">
        <v>0</v>
      </c>
      <c r="I70" s="6" t="b">
        <v>0</v>
      </c>
      <c r="J70" s="49" t="b">
        <v>1</v>
      </c>
      <c r="K70" s="8">
        <v>1</v>
      </c>
      <c r="L70" s="8"/>
      <c r="M70" s="9" t="str">
        <f>IFERROR(HYPERLINK("#Main!A"&amp;MATCH(A70,Main!A:A,0),"Open"),HYPERLINK("#Main!A1","Open"))</f>
        <v>Open</v>
      </c>
      <c r="N70" s="9"/>
    </row>
    <row r="71" spans="1:14" ht="30" customHeight="1" x14ac:dyDescent="0.25">
      <c r="A71" s="58" t="s">
        <v>234</v>
      </c>
      <c r="B71" s="11">
        <v>95</v>
      </c>
      <c r="C71" s="49" t="s">
        <v>1175</v>
      </c>
      <c r="D71" s="11">
        <v>158.62</v>
      </c>
      <c r="E71" s="11">
        <v>1</v>
      </c>
      <c r="F71" s="6" t="b">
        <v>0</v>
      </c>
      <c r="G71" s="11" t="b">
        <v>0</v>
      </c>
      <c r="H71" s="6" t="b">
        <v>0</v>
      </c>
      <c r="I71" s="6" t="b">
        <v>0</v>
      </c>
      <c r="J71" s="49" t="b">
        <v>1</v>
      </c>
      <c r="K71" s="11">
        <v>2</v>
      </c>
      <c r="L71" s="11"/>
      <c r="M71" t="str">
        <f>IFERROR(HYPERLINK("#Main!A"&amp;MATCH(A71,Main!A:A,0),"Open"),HYPERLINK("#Main!A1","Open"))</f>
        <v>Open</v>
      </c>
    </row>
    <row r="72" spans="1:14" ht="30" customHeight="1" x14ac:dyDescent="0.25">
      <c r="A72" s="59" t="s">
        <v>218</v>
      </c>
      <c r="B72" s="8">
        <v>81</v>
      </c>
      <c r="C72" s="49" t="s">
        <v>1175</v>
      </c>
      <c r="D72" s="8">
        <v>179.43</v>
      </c>
      <c r="E72" s="8">
        <v>0</v>
      </c>
      <c r="F72" s="49" t="b">
        <v>1</v>
      </c>
      <c r="G72" s="8" t="b">
        <v>0</v>
      </c>
      <c r="H72" s="6" t="b">
        <v>0</v>
      </c>
      <c r="I72" s="6" t="b">
        <v>0</v>
      </c>
      <c r="J72" s="49" t="b">
        <v>1</v>
      </c>
      <c r="K72" s="8">
        <v>3</v>
      </c>
      <c r="L72" s="8"/>
      <c r="M72" s="9" t="str">
        <f>IFERROR(HYPERLINK("#Main!A"&amp;MATCH(A72,Main!A:A,0),"Open"),HYPERLINK("#Main!A1","Open"))</f>
        <v>Open</v>
      </c>
      <c r="N72" s="9"/>
    </row>
    <row r="73" spans="1:14" ht="30" customHeight="1" x14ac:dyDescent="0.25">
      <c r="A73" s="58" t="s">
        <v>342</v>
      </c>
      <c r="B73" s="11">
        <v>318</v>
      </c>
      <c r="C73" s="63" t="s">
        <v>1177</v>
      </c>
      <c r="D73" s="11">
        <v>177.49</v>
      </c>
      <c r="E73" s="11">
        <v>1</v>
      </c>
      <c r="F73" s="6" t="b">
        <v>0</v>
      </c>
      <c r="G73" s="11" t="b">
        <v>0</v>
      </c>
      <c r="H73" s="6" t="b">
        <v>0</v>
      </c>
      <c r="I73" s="6" t="b">
        <v>0</v>
      </c>
      <c r="J73" s="6" t="b">
        <v>0</v>
      </c>
      <c r="K73" s="11">
        <v>11</v>
      </c>
      <c r="L73" s="11"/>
      <c r="M73" t="str">
        <f>IFERROR(HYPERLINK("#Main!A"&amp;MATCH(A73,Main!A:A,0),"Open"),HYPERLINK("#Main!A1","Open"))</f>
        <v>Open</v>
      </c>
    </row>
    <row r="74" spans="1:14" ht="30" customHeight="1" x14ac:dyDescent="0.25">
      <c r="A74" s="59" t="s">
        <v>774</v>
      </c>
      <c r="B74" s="8">
        <v>78</v>
      </c>
      <c r="C74" s="49" t="s">
        <v>1175</v>
      </c>
      <c r="D74" s="8">
        <v>187.04</v>
      </c>
      <c r="E74" s="8">
        <v>0</v>
      </c>
      <c r="F74" s="49" t="b">
        <v>1</v>
      </c>
      <c r="G74" s="8" t="b">
        <v>0</v>
      </c>
      <c r="H74" s="6" t="b">
        <v>0</v>
      </c>
      <c r="I74" s="6" t="b">
        <v>0</v>
      </c>
      <c r="J74" s="49" t="b">
        <v>1</v>
      </c>
      <c r="K74" s="8">
        <v>4</v>
      </c>
      <c r="L74" s="8"/>
      <c r="M74" s="9" t="str">
        <f>IFERROR(HYPERLINK("#Main!A"&amp;MATCH(A74,Main!A:A,0),"Open"),HYPERLINK("#Main!A1","Open"))</f>
        <v>Open</v>
      </c>
      <c r="N74" s="9"/>
    </row>
    <row r="75" spans="1:14" ht="30" customHeight="1" x14ac:dyDescent="0.25">
      <c r="A75" s="58" t="s">
        <v>750</v>
      </c>
      <c r="B75" s="11">
        <v>155</v>
      </c>
      <c r="C75" s="49" t="s">
        <v>1175</v>
      </c>
      <c r="D75" s="11">
        <v>189.35</v>
      </c>
      <c r="E75" s="11">
        <v>0</v>
      </c>
      <c r="F75" s="49" t="b">
        <v>1</v>
      </c>
      <c r="G75" s="11" t="b">
        <v>0</v>
      </c>
      <c r="H75" s="6" t="b">
        <v>0</v>
      </c>
      <c r="I75" s="6" t="b">
        <v>0</v>
      </c>
      <c r="J75" s="49" t="b">
        <v>1</v>
      </c>
      <c r="K75" s="11">
        <v>9</v>
      </c>
      <c r="L75" s="11"/>
      <c r="M75" t="str">
        <f>IFERROR(HYPERLINK("#Main!A"&amp;MATCH(A75,Main!A:A,0),"Open"),HYPERLINK("#Main!A1","Open"))</f>
        <v>Open</v>
      </c>
    </row>
    <row r="76" spans="1:14" ht="30" customHeight="1" x14ac:dyDescent="0.25">
      <c r="A76" s="59" t="s">
        <v>465</v>
      </c>
      <c r="B76" s="8">
        <v>452</v>
      </c>
      <c r="C76" s="63" t="s">
        <v>1177</v>
      </c>
      <c r="D76" s="8">
        <v>171.54</v>
      </c>
      <c r="E76" s="8">
        <v>0</v>
      </c>
      <c r="F76" s="49" t="b">
        <v>1</v>
      </c>
      <c r="G76" s="8" t="b">
        <v>0</v>
      </c>
      <c r="H76" s="6" t="b">
        <v>0</v>
      </c>
      <c r="I76" s="6" t="b">
        <v>0</v>
      </c>
      <c r="J76" s="6" t="b">
        <v>0</v>
      </c>
      <c r="K76" s="8">
        <v>13</v>
      </c>
      <c r="L76" s="8"/>
      <c r="M76" s="9" t="str">
        <f>IFERROR(HYPERLINK("#Main!A"&amp;MATCH(A76,Main!A:A,0),"Open"),HYPERLINK("#Main!A1","Open"))</f>
        <v>Open</v>
      </c>
      <c r="N76" s="9"/>
    </row>
    <row r="77" spans="1:14" ht="30" customHeight="1" x14ac:dyDescent="0.25">
      <c r="A77" s="58" t="s">
        <v>457</v>
      </c>
      <c r="B77" s="11">
        <v>214</v>
      </c>
      <c r="C77" s="49" t="s">
        <v>1175</v>
      </c>
      <c r="D77" s="11">
        <v>175.81</v>
      </c>
      <c r="E77" s="11">
        <v>0</v>
      </c>
      <c r="F77" s="49" t="b">
        <v>1</v>
      </c>
      <c r="G77" s="11" t="b">
        <v>0</v>
      </c>
      <c r="H77" s="6" t="b">
        <v>0</v>
      </c>
      <c r="I77" s="6" t="b">
        <v>0</v>
      </c>
      <c r="J77" s="49" t="b">
        <v>1</v>
      </c>
      <c r="K77" s="11">
        <v>7</v>
      </c>
      <c r="L77" s="11"/>
      <c r="M77" t="str">
        <f>IFERROR(HYPERLINK("#Main!A"&amp;MATCH(A77,Main!A:A,0),"Open"),HYPERLINK("#Main!A1","Open"))</f>
        <v>Open</v>
      </c>
    </row>
    <row r="78" spans="1:14" ht="30" customHeight="1" x14ac:dyDescent="0.25">
      <c r="A78" s="59" t="s">
        <v>449</v>
      </c>
      <c r="B78" s="8">
        <v>32</v>
      </c>
      <c r="C78" s="49" t="s">
        <v>1175</v>
      </c>
      <c r="D78" s="8">
        <v>174.36</v>
      </c>
      <c r="E78" s="8">
        <v>0</v>
      </c>
      <c r="F78" s="49" t="b">
        <v>1</v>
      </c>
      <c r="G78" s="8" t="b">
        <v>0</v>
      </c>
      <c r="H78" s="6" t="b">
        <v>0</v>
      </c>
      <c r="I78" s="6" t="b">
        <v>0</v>
      </c>
      <c r="J78" s="49" t="b">
        <v>1</v>
      </c>
      <c r="K78" s="8">
        <v>1</v>
      </c>
      <c r="L78" s="8"/>
      <c r="M78" s="9" t="str">
        <f>IFERROR(HYPERLINK("#Main!A"&amp;MATCH(A78,Main!A:A,0),"Open"),HYPERLINK("#Main!A1","Open"))</f>
        <v>Open</v>
      </c>
      <c r="N78" s="9"/>
    </row>
    <row r="79" spans="1:14" ht="30" customHeight="1" x14ac:dyDescent="0.25">
      <c r="A79" s="58" t="s">
        <v>444</v>
      </c>
      <c r="B79" s="11">
        <v>15</v>
      </c>
      <c r="C79" s="49" t="s">
        <v>1175</v>
      </c>
      <c r="D79" s="11">
        <v>191.61</v>
      </c>
      <c r="E79" s="11">
        <v>0</v>
      </c>
      <c r="F79" s="49" t="b">
        <v>1</v>
      </c>
      <c r="G79" s="11" t="b">
        <v>0</v>
      </c>
      <c r="H79" s="6" t="b">
        <v>0</v>
      </c>
      <c r="I79" s="49" t="b">
        <v>1</v>
      </c>
      <c r="J79" s="49" t="b">
        <v>1</v>
      </c>
      <c r="K79" s="11">
        <v>1</v>
      </c>
      <c r="L79" s="11"/>
      <c r="M79" t="str">
        <f>IFERROR(HYPERLINK("#Main!A"&amp;MATCH(A79,Main!A:A,0),"Open"),HYPERLINK("#Main!A1","Open"))</f>
        <v>Open</v>
      </c>
    </row>
    <row r="80" spans="1:14" ht="30" customHeight="1" x14ac:dyDescent="0.25">
      <c r="A80" s="59" t="s">
        <v>330</v>
      </c>
      <c r="B80" s="8">
        <v>2092</v>
      </c>
      <c r="C80" s="6" t="s">
        <v>1176</v>
      </c>
      <c r="D80" s="8">
        <v>174.66</v>
      </c>
      <c r="E80" s="8">
        <v>0</v>
      </c>
      <c r="F80" s="49" t="b">
        <v>1</v>
      </c>
      <c r="G80" s="8" t="b">
        <v>0</v>
      </c>
      <c r="H80" s="6" t="b">
        <v>0</v>
      </c>
      <c r="I80" s="6" t="b">
        <v>0</v>
      </c>
      <c r="J80" s="6" t="b">
        <v>0</v>
      </c>
      <c r="K80" s="8">
        <v>66</v>
      </c>
      <c r="L80" s="8"/>
      <c r="M80" s="9" t="str">
        <f>IFERROR(HYPERLINK("#Main!A"&amp;MATCH(A80,Main!A:A,0),"Open"),HYPERLINK("#Main!A1","Open"))</f>
        <v>Open</v>
      </c>
      <c r="N80" s="9"/>
    </row>
    <row r="81" spans="1:14" ht="30" customHeight="1" x14ac:dyDescent="0.25">
      <c r="A81" s="58" t="s">
        <v>782</v>
      </c>
      <c r="B81" s="11">
        <v>1725</v>
      </c>
      <c r="C81" s="6" t="s">
        <v>1176</v>
      </c>
      <c r="D81" s="11">
        <v>173.16</v>
      </c>
      <c r="E81" s="11">
        <v>0</v>
      </c>
      <c r="F81" s="49" t="b">
        <v>1</v>
      </c>
      <c r="G81" s="11" t="b">
        <v>0</v>
      </c>
      <c r="H81" s="6" t="b">
        <v>0</v>
      </c>
      <c r="I81" s="6" t="b">
        <v>0</v>
      </c>
      <c r="J81" s="6" t="b">
        <v>0</v>
      </c>
      <c r="K81" s="11">
        <v>52</v>
      </c>
      <c r="L81" s="11"/>
      <c r="M81" t="str">
        <f>IFERROR(HYPERLINK("#Main!A"&amp;MATCH(A81,Main!A:A,0),"Open"),HYPERLINK("#Main!A1","Open"))</f>
        <v>Open</v>
      </c>
    </row>
    <row r="82" spans="1:14" ht="30" customHeight="1" x14ac:dyDescent="0.25">
      <c r="A82" s="59" t="s">
        <v>720</v>
      </c>
      <c r="B82" s="8">
        <v>69</v>
      </c>
      <c r="C82" s="49" t="s">
        <v>1175</v>
      </c>
      <c r="D82" s="8">
        <v>183.49</v>
      </c>
      <c r="E82" s="8">
        <v>0</v>
      </c>
      <c r="F82" s="49" t="b">
        <v>1</v>
      </c>
      <c r="G82" s="8" t="b">
        <v>0</v>
      </c>
      <c r="H82" s="6" t="b">
        <v>0</v>
      </c>
      <c r="I82" s="6" t="b">
        <v>0</v>
      </c>
      <c r="J82" s="49" t="b">
        <v>1</v>
      </c>
      <c r="K82" s="8">
        <v>3</v>
      </c>
      <c r="L82" s="8"/>
      <c r="M82" s="9" t="str">
        <f>IFERROR(HYPERLINK("#Main!A"&amp;MATCH(A82,Main!A:A,0),"Open"),HYPERLINK("#Main!A1","Open"))</f>
        <v>Open</v>
      </c>
      <c r="N82" s="9"/>
    </row>
    <row r="83" spans="1:14" ht="30" customHeight="1" x14ac:dyDescent="0.25">
      <c r="A83" s="58" t="s">
        <v>635</v>
      </c>
      <c r="B83" s="11">
        <v>39</v>
      </c>
      <c r="C83" s="49" t="s">
        <v>1175</v>
      </c>
      <c r="D83" s="11">
        <v>193.64</v>
      </c>
      <c r="E83" s="11">
        <v>0</v>
      </c>
      <c r="F83" s="49" t="b">
        <v>1</v>
      </c>
      <c r="G83" s="11" t="b">
        <v>0</v>
      </c>
      <c r="H83" s="6" t="b">
        <v>0</v>
      </c>
      <c r="I83" s="6" t="b">
        <v>0</v>
      </c>
      <c r="J83" s="49" t="b">
        <v>1</v>
      </c>
      <c r="K83" s="11">
        <v>3</v>
      </c>
      <c r="L83" s="11"/>
      <c r="M83" t="str">
        <f>IFERROR(HYPERLINK("#Main!A"&amp;MATCH(A83,Main!A:A,0),"Open"),HYPERLINK("#Main!A1","Open"))</f>
        <v>Open</v>
      </c>
    </row>
    <row r="84" spans="1:14" ht="30" customHeight="1" x14ac:dyDescent="0.25">
      <c r="A84" s="59" t="s">
        <v>180</v>
      </c>
      <c r="B84" s="8">
        <v>347</v>
      </c>
      <c r="C84" s="63" t="s">
        <v>1177</v>
      </c>
      <c r="D84" s="8">
        <v>179.74</v>
      </c>
      <c r="E84" s="8">
        <v>0</v>
      </c>
      <c r="F84" s="49" t="b">
        <v>1</v>
      </c>
      <c r="G84" s="8" t="b">
        <v>0</v>
      </c>
      <c r="H84" s="6" t="b">
        <v>0</v>
      </c>
      <c r="I84" s="6" t="b">
        <v>0</v>
      </c>
      <c r="J84" s="6" t="b">
        <v>0</v>
      </c>
      <c r="K84" s="8">
        <v>13</v>
      </c>
      <c r="L84" s="8"/>
      <c r="M84" s="9" t="str">
        <f>IFERROR(HYPERLINK("#Main!A"&amp;MATCH(A84,Main!A:A,0),"Open"),HYPERLINK("#Main!A1","Open"))</f>
        <v>Open</v>
      </c>
      <c r="N84" s="9"/>
    </row>
    <row r="85" spans="1:14" ht="30" customHeight="1" x14ac:dyDescent="0.25">
      <c r="A85" s="58" t="s">
        <v>698</v>
      </c>
      <c r="B85" s="11">
        <v>175</v>
      </c>
      <c r="C85" s="49" t="s">
        <v>1175</v>
      </c>
      <c r="D85" s="11">
        <v>162.43</v>
      </c>
      <c r="E85" s="11">
        <v>0</v>
      </c>
      <c r="F85" s="49" t="b">
        <v>1</v>
      </c>
      <c r="G85" s="11" t="b">
        <v>0</v>
      </c>
      <c r="H85" s="6" t="b">
        <v>0</v>
      </c>
      <c r="I85" s="6" t="b">
        <v>0</v>
      </c>
      <c r="J85" s="49" t="b">
        <v>1</v>
      </c>
      <c r="K85" s="11">
        <v>4</v>
      </c>
      <c r="L85" s="11"/>
      <c r="M85" t="str">
        <f>IFERROR(HYPERLINK("#Main!A"&amp;MATCH(A85,Main!A:A,0),"Open"),HYPERLINK("#Main!A1","Open"))</f>
        <v>Open</v>
      </c>
    </row>
    <row r="86" spans="1:14" ht="30" customHeight="1" x14ac:dyDescent="0.25">
      <c r="A86" s="59" t="s">
        <v>666</v>
      </c>
      <c r="B86" s="8">
        <v>611</v>
      </c>
      <c r="C86" s="63" t="s">
        <v>1177</v>
      </c>
      <c r="D86" s="8">
        <v>179.87</v>
      </c>
      <c r="E86" s="8">
        <v>2</v>
      </c>
      <c r="F86" s="6" t="b">
        <v>0</v>
      </c>
      <c r="G86" s="8" t="b">
        <v>1</v>
      </c>
      <c r="H86" s="6" t="b">
        <v>0</v>
      </c>
      <c r="I86" s="6" t="b">
        <v>0</v>
      </c>
      <c r="J86" s="6" t="b">
        <v>0</v>
      </c>
      <c r="K86" s="8">
        <v>23</v>
      </c>
      <c r="L86" s="8"/>
      <c r="M86" s="9" t="str">
        <f>IFERROR(HYPERLINK("#Main!A"&amp;MATCH(A86,Main!A:A,0),"Open"),HYPERLINK("#Main!A1","Open"))</f>
        <v>Open</v>
      </c>
      <c r="N86" s="9"/>
    </row>
  </sheetData>
  <autoFilter ref="A1:N86" xr:uid="{00000000-0009-0000-0000-000006000000}"/>
  <conditionalFormatting sqref="B2:B86">
    <cfRule type="colorScale" priority="1">
      <colorScale>
        <cfvo type="min"/>
        <cfvo type="percentile" val="50"/>
        <cfvo type="max"/>
        <color rgb="FFF8696B"/>
        <color rgb="FFFFEB84"/>
        <color rgb="FF63BE7B"/>
      </colorScale>
    </cfRule>
    <cfRule type="dataBar" priority="2">
      <dataBar>
        <cfvo type="min"/>
        <cfvo type="max"/>
        <color rgb="FF63BE7B"/>
      </dataBar>
    </cfRule>
  </conditionalFormatting>
  <dataValidations count="14">
    <dataValidation type="custom" allowBlank="1" showInputMessage="1" promptTitle="URL" prompt="URL. Use this URL to inspect the page directly or jump to related tabs." sqref="A1" xr:uid="{00000000-0002-0000-0600-000000000000}">
      <formula1>TRUE</formula1>
    </dataValidation>
    <dataValidation type="custom" allowBlank="1" showInputMessage="1" promptTitle="Word Count" prompt="Content quality depth metric. Fix: expand thin content and improve clarity for search intent." sqref="B1" xr:uid="{00000000-0002-0000-0600-000001000000}">
      <formula1>TRUE</formula1>
    </dataValidation>
    <dataValidation type="custom" allowBlank="1" showInputMessage="1" promptTitle="Word Count Band" prompt="Content quality depth metric. Fix: expand thin content and improve clarity for search intent." sqref="C1" xr:uid="{00000000-0002-0000-0600-000002000000}">
      <formula1>TRUE</formula1>
    </dataValidation>
    <dataValidation type="custom" allowBlank="1" showInputMessage="1" promptTitle="Readability (Rough Flesch)" prompt="Content quality depth metric. Fix: expand thin content and improve clarity for search intent." sqref="D1" xr:uid="{00000000-0002-0000-0600-000003000000}">
      <formula1>TRUE</formula1>
    </dataValidation>
    <dataValidation type="custom" allowBlank="1" showInputMessage="1" promptTitle="H1 Count" prompt="H1 Count. Review this metric to identify risk, then use linked tabs for details and remediation." sqref="E1" xr:uid="{00000000-0002-0000-0600-000004000000}">
      <formula1>TRUE</formula1>
    </dataValidation>
    <dataValidation type="custom" allowBlank="1" showInputMessage="1" promptTitle="Missing H1 Flag" prompt="Missing H1 Flag. Review this metric to identify risk, then use linked tabs for details and remediation." sqref="F1" xr:uid="{00000000-0002-0000-0600-000005000000}">
      <formula1>TRUE</formula1>
    </dataValidation>
    <dataValidation type="custom" allowBlank="1" showInputMessage="1" promptTitle="Multiple H1 Flag" prompt="Multiple H1 Flag. Review this metric to identify risk, then use linked tabs for details and remediation." sqref="G1" xr:uid="{00000000-0002-0000-0600-000006000000}">
      <formula1>TRUE</formula1>
    </dataValidation>
    <dataValidation type="custom" allowBlank="1" showInputMessage="1" promptTitle="Title Missing" prompt="Title Missing. Review this metric to identify risk, then use linked tabs for details and remediation." sqref="H1" xr:uid="{00000000-0002-0000-0600-000007000000}">
      <formula1>TRUE</formula1>
    </dataValidation>
    <dataValidation type="custom" allowBlank="1" showInputMessage="1" promptTitle="Meta Description Missing" prompt="Meta Description Missing. Review this metric to identify risk, then use linked tabs for details and remediation." sqref="I1" xr:uid="{00000000-0002-0000-0600-000008000000}">
      <formula1>TRUE</formula1>
    </dataValidation>
    <dataValidation type="custom" allowBlank="1" showInputMessage="1" promptTitle="Thin Content Flag" prompt="Thin Content Flag. Review this metric to identify risk, then use linked tabs for details and remediation." sqref="J1" xr:uid="{00000000-0002-0000-0600-000009000000}">
      <formula1>TRUE</formula1>
    </dataValidation>
    <dataValidation type="custom" allowBlank="1" showInputMessage="1" promptTitle="Sentence Count" prompt="Sentence Count. Review this metric to identify risk, then use linked tabs for details and remediation." sqref="K1" xr:uid="{00000000-0002-0000-0600-00000A000000}">
      <formula1>TRUE</formula1>
    </dataValidation>
    <dataValidation type="custom" allowBlank="1" showInputMessage="1" promptTitle="Body Text-to-HTML Ratio" prompt="Body Text-to-HTML Ratio. Review this metric to identify risk, then use linked tabs for details and remediation." sqref="L1" xr:uid="{00000000-0002-0000-0600-00000B000000}">
      <formula1>TRUE</formula1>
    </dataValidation>
    <dataValidation type="custom" allowBlank="1" showInputMessage="1" promptTitle="Open in Main" prompt="Navigation helper. Click to jump directly to the related record in another tab." sqref="M1" xr:uid="{00000000-0002-0000-0600-00000C000000}">
      <formula1>TRUE</formula1>
    </dataValidation>
    <dataValidation type="custom" allowBlank="1" showInputMessage="1" promptTitle="BACK TO DASHBOARD" prompt="BACK TO DASHBOARD. Review this metric to identify risk, then use linked tabs for details and remediation." sqref="N1" xr:uid="{00000000-0002-0000-0600-00000D000000}">
      <formula1>TRUE</formula1>
    </dataValidation>
  </dataValidations>
  <hyperlinks>
    <hyperlink ref="N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 ref="A12" r:id="rId11" xr:uid="{00000000-0004-0000-0600-00000B000000}"/>
    <hyperlink ref="A13" r:id="rId12" xr:uid="{00000000-0004-0000-0600-00000C000000}"/>
    <hyperlink ref="A14" r:id="rId13" xr:uid="{00000000-0004-0000-0600-00000D000000}"/>
    <hyperlink ref="A15" r:id="rId14" xr:uid="{00000000-0004-0000-0600-00000E000000}"/>
    <hyperlink ref="A16" r:id="rId15" xr:uid="{00000000-0004-0000-0600-00000F000000}"/>
    <hyperlink ref="A17" r:id="rId16" xr:uid="{00000000-0004-0000-0600-000010000000}"/>
    <hyperlink ref="A18" r:id="rId17" xr:uid="{00000000-0004-0000-0600-000011000000}"/>
    <hyperlink ref="A19" r:id="rId18" xr:uid="{00000000-0004-0000-0600-000012000000}"/>
    <hyperlink ref="A20" r:id="rId19" xr:uid="{00000000-0004-0000-0600-000013000000}"/>
    <hyperlink ref="A21" r:id="rId20" xr:uid="{00000000-0004-0000-0600-000014000000}"/>
    <hyperlink ref="A22" r:id="rId21" xr:uid="{00000000-0004-0000-0600-000015000000}"/>
    <hyperlink ref="A23" r:id="rId22" xr:uid="{00000000-0004-0000-0600-000016000000}"/>
    <hyperlink ref="A24" r:id="rId23" xr:uid="{00000000-0004-0000-0600-000017000000}"/>
    <hyperlink ref="A25" r:id="rId24" xr:uid="{00000000-0004-0000-0600-000018000000}"/>
    <hyperlink ref="A26" r:id="rId25" xr:uid="{00000000-0004-0000-0600-000019000000}"/>
    <hyperlink ref="A27" r:id="rId26" xr:uid="{00000000-0004-0000-0600-00001A000000}"/>
    <hyperlink ref="A28" r:id="rId27" xr:uid="{00000000-0004-0000-0600-00001B000000}"/>
    <hyperlink ref="A29" r:id="rId28" xr:uid="{00000000-0004-0000-0600-00001C000000}"/>
    <hyperlink ref="A30" r:id="rId29" xr:uid="{00000000-0004-0000-0600-00001D000000}"/>
    <hyperlink ref="A31" r:id="rId30" xr:uid="{00000000-0004-0000-0600-00001E000000}"/>
    <hyperlink ref="A32" r:id="rId31" xr:uid="{00000000-0004-0000-0600-00001F000000}"/>
    <hyperlink ref="A33" r:id="rId32" xr:uid="{00000000-0004-0000-0600-000020000000}"/>
    <hyperlink ref="A34" r:id="rId33" xr:uid="{00000000-0004-0000-0600-000021000000}"/>
    <hyperlink ref="A35" r:id="rId34" xr:uid="{00000000-0004-0000-0600-000022000000}"/>
    <hyperlink ref="A36" r:id="rId35" xr:uid="{00000000-0004-0000-0600-000023000000}"/>
    <hyperlink ref="A37" r:id="rId36" xr:uid="{00000000-0004-0000-0600-000024000000}"/>
    <hyperlink ref="A38" r:id="rId37" xr:uid="{00000000-0004-0000-0600-000025000000}"/>
    <hyperlink ref="A39" r:id="rId38" xr:uid="{00000000-0004-0000-0600-000026000000}"/>
    <hyperlink ref="A40" r:id="rId39" xr:uid="{00000000-0004-0000-0600-000027000000}"/>
    <hyperlink ref="A41" r:id="rId40" xr:uid="{00000000-0004-0000-0600-000028000000}"/>
    <hyperlink ref="A42" r:id="rId41" xr:uid="{00000000-0004-0000-0600-000029000000}"/>
    <hyperlink ref="A43" r:id="rId42" xr:uid="{00000000-0004-0000-0600-00002A000000}"/>
    <hyperlink ref="A44" r:id="rId43" xr:uid="{00000000-0004-0000-0600-00002B000000}"/>
    <hyperlink ref="A45" r:id="rId44" xr:uid="{00000000-0004-0000-0600-00002C000000}"/>
    <hyperlink ref="A46" r:id="rId45" xr:uid="{00000000-0004-0000-0600-00002D000000}"/>
    <hyperlink ref="A47" r:id="rId46" xr:uid="{00000000-0004-0000-0600-00002E000000}"/>
    <hyperlink ref="A48" r:id="rId47" xr:uid="{00000000-0004-0000-0600-00002F000000}"/>
    <hyperlink ref="A49" r:id="rId48" xr:uid="{00000000-0004-0000-0600-000030000000}"/>
    <hyperlink ref="A50" r:id="rId49" xr:uid="{00000000-0004-0000-0600-000031000000}"/>
    <hyperlink ref="A51" r:id="rId50" xr:uid="{00000000-0004-0000-0600-000032000000}"/>
    <hyperlink ref="A52" r:id="rId51" xr:uid="{00000000-0004-0000-0600-000033000000}"/>
    <hyperlink ref="A53" r:id="rId52" xr:uid="{00000000-0004-0000-0600-000034000000}"/>
    <hyperlink ref="A54" r:id="rId53" xr:uid="{00000000-0004-0000-0600-000035000000}"/>
    <hyperlink ref="A55" r:id="rId54" xr:uid="{00000000-0004-0000-0600-000036000000}"/>
    <hyperlink ref="A56" r:id="rId55" xr:uid="{00000000-0004-0000-0600-000037000000}"/>
    <hyperlink ref="A57" r:id="rId56" xr:uid="{00000000-0004-0000-0600-000038000000}"/>
    <hyperlink ref="A58" r:id="rId57" xr:uid="{00000000-0004-0000-0600-000039000000}"/>
    <hyperlink ref="A59" r:id="rId58" xr:uid="{00000000-0004-0000-0600-00003A000000}"/>
    <hyperlink ref="A60" r:id="rId59" xr:uid="{00000000-0004-0000-0600-00003B000000}"/>
    <hyperlink ref="A61" r:id="rId60" xr:uid="{00000000-0004-0000-0600-00003C000000}"/>
    <hyperlink ref="A62" r:id="rId61" xr:uid="{00000000-0004-0000-0600-00003D000000}"/>
    <hyperlink ref="A63" r:id="rId62" xr:uid="{00000000-0004-0000-0600-00003E000000}"/>
    <hyperlink ref="A64" r:id="rId63" xr:uid="{00000000-0004-0000-0600-00003F000000}"/>
    <hyperlink ref="A65" r:id="rId64" xr:uid="{00000000-0004-0000-0600-000040000000}"/>
    <hyperlink ref="A66" r:id="rId65" xr:uid="{00000000-0004-0000-0600-000041000000}"/>
    <hyperlink ref="A67" r:id="rId66" xr:uid="{00000000-0004-0000-0600-000042000000}"/>
    <hyperlink ref="A68" r:id="rId67" xr:uid="{00000000-0004-0000-0600-000043000000}"/>
    <hyperlink ref="A69" r:id="rId68" xr:uid="{00000000-0004-0000-0600-000044000000}"/>
    <hyperlink ref="A70" r:id="rId69" xr:uid="{00000000-0004-0000-0600-000045000000}"/>
    <hyperlink ref="A71" r:id="rId70" xr:uid="{00000000-0004-0000-0600-000046000000}"/>
    <hyperlink ref="A72" r:id="rId71" xr:uid="{00000000-0004-0000-0600-000047000000}"/>
    <hyperlink ref="A73" r:id="rId72" xr:uid="{00000000-0004-0000-0600-000048000000}"/>
    <hyperlink ref="A74" r:id="rId73" xr:uid="{00000000-0004-0000-0600-000049000000}"/>
    <hyperlink ref="A75" r:id="rId74" xr:uid="{00000000-0004-0000-0600-00004A000000}"/>
    <hyperlink ref="A76" r:id="rId75" xr:uid="{00000000-0004-0000-0600-00004B000000}"/>
    <hyperlink ref="A77" r:id="rId76" xr:uid="{00000000-0004-0000-0600-00004C000000}"/>
    <hyperlink ref="A78" r:id="rId77" xr:uid="{00000000-0004-0000-0600-00004D000000}"/>
    <hyperlink ref="A79" r:id="rId78" xr:uid="{00000000-0004-0000-0600-00004E000000}"/>
    <hyperlink ref="A80" r:id="rId79" xr:uid="{00000000-0004-0000-0600-00004F000000}"/>
    <hyperlink ref="A81" r:id="rId80" xr:uid="{00000000-0004-0000-0600-000050000000}"/>
    <hyperlink ref="A82" r:id="rId81" xr:uid="{00000000-0004-0000-0600-000051000000}"/>
    <hyperlink ref="A83" r:id="rId82" xr:uid="{00000000-0004-0000-0600-000052000000}"/>
    <hyperlink ref="A84" r:id="rId83" xr:uid="{00000000-0004-0000-0600-000053000000}"/>
    <hyperlink ref="A85" r:id="rId84" xr:uid="{00000000-0004-0000-0600-000054000000}"/>
    <hyperlink ref="A86" r:id="rId85" xr:uid="{00000000-0004-0000-0600-000055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86"/>
  <sheetViews>
    <sheetView workbookViewId="0">
      <pane ySplit="1" topLeftCell="A2" activePane="bottomLeft" state="frozen"/>
      <selection pane="bottomLeft"/>
    </sheetView>
  </sheetViews>
  <sheetFormatPr defaultRowHeight="15" x14ac:dyDescent="0.25"/>
  <cols>
    <col min="1" max="1" width="45" customWidth="1"/>
    <col min="2" max="2" width="21" customWidth="1"/>
    <col min="3" max="3" width="12" customWidth="1"/>
    <col min="4" max="4" width="60" customWidth="1"/>
    <col min="5" max="5" width="19" customWidth="1"/>
    <col min="6" max="6" width="24" customWidth="1"/>
    <col min="7" max="7" width="30" customWidth="1"/>
    <col min="8" max="8" width="27" customWidth="1"/>
    <col min="9" max="9" width="26" customWidth="1"/>
    <col min="10" max="10" width="14" customWidth="1"/>
    <col min="11" max="11" width="19" customWidth="1"/>
    <col min="12" max="12" width="26" customWidth="1"/>
    <col min="13" max="13" width="40" customWidth="1"/>
    <col min="14" max="14" width="26" customWidth="1"/>
    <col min="15" max="15" width="24" customWidth="1"/>
    <col min="16" max="16" width="15" customWidth="1"/>
    <col min="17" max="17" width="26" customWidth="1"/>
  </cols>
  <sheetData>
    <row r="1" spans="1:19" ht="45" x14ac:dyDescent="0.25">
      <c r="A1" s="5" t="s">
        <v>118</v>
      </c>
      <c r="B1" s="5" t="s">
        <v>1178</v>
      </c>
      <c r="C1" s="5" t="s">
        <v>1179</v>
      </c>
      <c r="D1" s="5" t="s">
        <v>1180</v>
      </c>
      <c r="E1" s="5" t="s">
        <v>1181</v>
      </c>
      <c r="F1" s="5" t="s">
        <v>1182</v>
      </c>
      <c r="G1" s="5" t="s">
        <v>1183</v>
      </c>
      <c r="H1" s="5" t="s">
        <v>1184</v>
      </c>
      <c r="I1" s="5" t="s">
        <v>1185</v>
      </c>
      <c r="J1" s="5" t="s">
        <v>1186</v>
      </c>
      <c r="K1" s="5" t="s">
        <v>1187</v>
      </c>
      <c r="L1" s="5" t="s">
        <v>1188</v>
      </c>
      <c r="M1" s="5" t="s">
        <v>962</v>
      </c>
      <c r="N1" s="5" t="s">
        <v>963</v>
      </c>
      <c r="O1" s="5" t="s">
        <v>1189</v>
      </c>
      <c r="P1" s="5" t="s">
        <v>1170</v>
      </c>
      <c r="Q1" s="5" t="s">
        <v>1171</v>
      </c>
      <c r="R1" s="5" t="s">
        <v>135</v>
      </c>
      <c r="S1" s="39" t="s">
        <v>136</v>
      </c>
    </row>
    <row r="2" spans="1:19" ht="30" customHeight="1" x14ac:dyDescent="0.25">
      <c r="A2" s="59" t="s">
        <v>682</v>
      </c>
      <c r="B2" s="67">
        <v>0</v>
      </c>
      <c r="C2" s="8" t="s">
        <v>1190</v>
      </c>
      <c r="D2" s="8" t="s">
        <v>1191</v>
      </c>
      <c r="E2" s="8">
        <v>0</v>
      </c>
      <c r="F2" s="8">
        <v>0</v>
      </c>
      <c r="G2" s="8">
        <v>0</v>
      </c>
      <c r="H2" s="63" t="b">
        <v>0</v>
      </c>
      <c r="I2" s="63" t="b">
        <v>0</v>
      </c>
      <c r="J2" s="8" t="b">
        <v>0</v>
      </c>
      <c r="K2" s="8" t="b">
        <v>0</v>
      </c>
      <c r="L2" s="8" t="b">
        <v>0</v>
      </c>
      <c r="M2" s="8" t="b">
        <v>0</v>
      </c>
      <c r="N2" s="8" t="s">
        <v>93</v>
      </c>
      <c r="O2" s="8"/>
      <c r="P2" s="6" t="b">
        <v>0</v>
      </c>
      <c r="Q2" s="6" t="b">
        <v>0</v>
      </c>
      <c r="R2" s="9" t="str">
        <f>IFERROR(HYPERLINK("#Main!A"&amp;MATCH(A2,Main!A:A,0),"Open"),HYPERLINK("#Main!A1","Open"))</f>
        <v>Open</v>
      </c>
      <c r="S2" s="9"/>
    </row>
    <row r="3" spans="1:19" ht="15.75" x14ac:dyDescent="0.25">
      <c r="A3" s="58" t="s">
        <v>140</v>
      </c>
      <c r="B3" s="69">
        <v>0</v>
      </c>
      <c r="C3" s="11" t="s">
        <v>1190</v>
      </c>
      <c r="D3" s="11" t="s">
        <v>1191</v>
      </c>
      <c r="E3" s="11">
        <v>0</v>
      </c>
      <c r="F3" s="11">
        <v>0</v>
      </c>
      <c r="G3" s="11">
        <v>0</v>
      </c>
      <c r="H3" s="63" t="b">
        <v>0</v>
      </c>
      <c r="I3" s="63" t="b">
        <v>0</v>
      </c>
      <c r="J3" s="11" t="b">
        <v>0</v>
      </c>
      <c r="K3" s="11" t="b">
        <v>0</v>
      </c>
      <c r="L3" s="11" t="b">
        <v>0</v>
      </c>
      <c r="M3" s="11" t="b">
        <v>0</v>
      </c>
      <c r="N3" s="11" t="s">
        <v>93</v>
      </c>
      <c r="O3" s="11"/>
      <c r="P3" s="6" t="b">
        <v>0</v>
      </c>
      <c r="Q3" s="6" t="b">
        <v>0</v>
      </c>
      <c r="R3" t="str">
        <f>IFERROR(HYPERLINK("#Main!A"&amp;MATCH(A3,Main!A:A,0),"Open"),HYPERLINK("#Main!A1","Open"))</f>
        <v>Open</v>
      </c>
    </row>
    <row r="4" spans="1:19" ht="30" customHeight="1" x14ac:dyDescent="0.25">
      <c r="A4" s="59" t="s">
        <v>674</v>
      </c>
      <c r="B4" s="67">
        <v>0</v>
      </c>
      <c r="C4" s="8" t="s">
        <v>1190</v>
      </c>
      <c r="D4" s="8" t="s">
        <v>1191</v>
      </c>
      <c r="E4" s="8">
        <v>0</v>
      </c>
      <c r="F4" s="8">
        <v>0</v>
      </c>
      <c r="G4" s="8">
        <v>0</v>
      </c>
      <c r="H4" s="63" t="b">
        <v>0</v>
      </c>
      <c r="I4" s="63" t="b">
        <v>0</v>
      </c>
      <c r="J4" s="8" t="b">
        <v>0</v>
      </c>
      <c r="K4" s="8" t="b">
        <v>0</v>
      </c>
      <c r="L4" s="8" t="b">
        <v>0</v>
      </c>
      <c r="M4" s="8" t="b">
        <v>0</v>
      </c>
      <c r="N4" s="8" t="s">
        <v>93</v>
      </c>
      <c r="O4" s="8"/>
      <c r="P4" s="6" t="b">
        <v>0</v>
      </c>
      <c r="Q4" s="6" t="b">
        <v>0</v>
      </c>
      <c r="R4" s="9" t="str">
        <f>IFERROR(HYPERLINK("#Main!A"&amp;MATCH(A4,Main!A:A,0),"Open"),HYPERLINK("#Main!A1","Open"))</f>
        <v>Open</v>
      </c>
      <c r="S4" s="9"/>
    </row>
    <row r="5" spans="1:19" ht="30" customHeight="1" x14ac:dyDescent="0.25">
      <c r="A5" s="58" t="s">
        <v>642</v>
      </c>
      <c r="B5" s="69">
        <v>0</v>
      </c>
      <c r="C5" s="11" t="s">
        <v>1190</v>
      </c>
      <c r="D5" s="11" t="s">
        <v>1191</v>
      </c>
      <c r="E5" s="11">
        <v>0</v>
      </c>
      <c r="F5" s="11">
        <v>0</v>
      </c>
      <c r="G5" s="11">
        <v>0</v>
      </c>
      <c r="H5" s="63" t="b">
        <v>0</v>
      </c>
      <c r="I5" s="63" t="b">
        <v>0</v>
      </c>
      <c r="J5" s="11" t="b">
        <v>0</v>
      </c>
      <c r="K5" s="11" t="b">
        <v>0</v>
      </c>
      <c r="L5" s="11" t="b">
        <v>0</v>
      </c>
      <c r="M5" s="11" t="b">
        <v>0</v>
      </c>
      <c r="N5" s="11" t="s">
        <v>93</v>
      </c>
      <c r="O5" s="11"/>
      <c r="P5" s="6" t="b">
        <v>0</v>
      </c>
      <c r="Q5" s="6" t="b">
        <v>0</v>
      </c>
      <c r="R5" t="str">
        <f>IFERROR(HYPERLINK("#Main!A"&amp;MATCH(A5,Main!A:A,0),"Open"),HYPERLINK("#Main!A1","Open"))</f>
        <v>Open</v>
      </c>
    </row>
    <row r="6" spans="1:19" ht="30" customHeight="1" x14ac:dyDescent="0.25">
      <c r="A6" s="59" t="s">
        <v>322</v>
      </c>
      <c r="B6" s="67">
        <v>0</v>
      </c>
      <c r="C6" s="8" t="s">
        <v>1190</v>
      </c>
      <c r="D6" s="8" t="s">
        <v>1191</v>
      </c>
      <c r="E6" s="8">
        <v>0</v>
      </c>
      <c r="F6" s="8">
        <v>0</v>
      </c>
      <c r="G6" s="8">
        <v>0</v>
      </c>
      <c r="H6" s="63" t="b">
        <v>0</v>
      </c>
      <c r="I6" s="63" t="b">
        <v>0</v>
      </c>
      <c r="J6" s="8" t="b">
        <v>0</v>
      </c>
      <c r="K6" s="8" t="b">
        <v>0</v>
      </c>
      <c r="L6" s="8" t="b">
        <v>0</v>
      </c>
      <c r="M6" s="8" t="b">
        <v>0</v>
      </c>
      <c r="N6" s="8" t="s">
        <v>93</v>
      </c>
      <c r="O6" s="8"/>
      <c r="P6" s="6" t="b">
        <v>0</v>
      </c>
      <c r="Q6" s="6" t="b">
        <v>0</v>
      </c>
      <c r="R6" s="9" t="str">
        <f>IFERROR(HYPERLINK("#Main!A"&amp;MATCH(A6,Main!A:A,0),"Open"),HYPERLINK("#Main!A1","Open"))</f>
        <v>Open</v>
      </c>
      <c r="S6" s="9"/>
    </row>
    <row r="7" spans="1:19" ht="30" customHeight="1" x14ac:dyDescent="0.25">
      <c r="A7" s="58" t="s">
        <v>519</v>
      </c>
      <c r="B7" s="69">
        <v>0</v>
      </c>
      <c r="C7" s="11" t="s">
        <v>1190</v>
      </c>
      <c r="D7" s="11" t="s">
        <v>1191</v>
      </c>
      <c r="E7" s="11">
        <v>0</v>
      </c>
      <c r="F7" s="11">
        <v>0</v>
      </c>
      <c r="G7" s="11">
        <v>0</v>
      </c>
      <c r="H7" s="63" t="b">
        <v>0</v>
      </c>
      <c r="I7" s="63" t="b">
        <v>0</v>
      </c>
      <c r="J7" s="11" t="b">
        <v>0</v>
      </c>
      <c r="K7" s="11" t="b">
        <v>0</v>
      </c>
      <c r="L7" s="11" t="b">
        <v>0</v>
      </c>
      <c r="M7" s="11" t="b">
        <v>0</v>
      </c>
      <c r="N7" s="11" t="s">
        <v>93</v>
      </c>
      <c r="O7" s="11"/>
      <c r="P7" s="6" t="b">
        <v>0</v>
      </c>
      <c r="Q7" s="6" t="b">
        <v>0</v>
      </c>
      <c r="R7" t="str">
        <f>IFERROR(HYPERLINK("#Main!A"&amp;MATCH(A7,Main!A:A,0),"Open"),HYPERLINK("#Main!A1","Open"))</f>
        <v>Open</v>
      </c>
    </row>
    <row r="8" spans="1:19" ht="30" customHeight="1" x14ac:dyDescent="0.25">
      <c r="A8" s="59" t="s">
        <v>551</v>
      </c>
      <c r="B8" s="67">
        <v>0</v>
      </c>
      <c r="C8" s="8" t="s">
        <v>1190</v>
      </c>
      <c r="D8" s="8" t="s">
        <v>1191</v>
      </c>
      <c r="E8" s="8">
        <v>0</v>
      </c>
      <c r="F8" s="8">
        <v>0</v>
      </c>
      <c r="G8" s="8">
        <v>0</v>
      </c>
      <c r="H8" s="63" t="b">
        <v>0</v>
      </c>
      <c r="I8" s="63" t="b">
        <v>0</v>
      </c>
      <c r="J8" s="8" t="b">
        <v>0</v>
      </c>
      <c r="K8" s="8" t="b">
        <v>0</v>
      </c>
      <c r="L8" s="8" t="b">
        <v>0</v>
      </c>
      <c r="M8" s="8" t="b">
        <v>0</v>
      </c>
      <c r="N8" s="8" t="s">
        <v>93</v>
      </c>
      <c r="O8" s="8"/>
      <c r="P8" s="6" t="b">
        <v>0</v>
      </c>
      <c r="Q8" s="6" t="b">
        <v>0</v>
      </c>
      <c r="R8" s="9" t="str">
        <f>IFERROR(HYPERLINK("#Main!A"&amp;MATCH(A8,Main!A:A,0),"Open"),HYPERLINK("#Main!A1","Open"))</f>
        <v>Open</v>
      </c>
      <c r="S8" s="9"/>
    </row>
    <row r="9" spans="1:19" ht="30" customHeight="1" x14ac:dyDescent="0.25">
      <c r="A9" s="58" t="s">
        <v>606</v>
      </c>
      <c r="B9" s="69">
        <v>0</v>
      </c>
      <c r="C9" s="11" t="s">
        <v>1190</v>
      </c>
      <c r="D9" s="11" t="s">
        <v>1191</v>
      </c>
      <c r="E9" s="11">
        <v>0</v>
      </c>
      <c r="F9" s="11">
        <v>0</v>
      </c>
      <c r="G9" s="11">
        <v>0</v>
      </c>
      <c r="H9" s="63" t="b">
        <v>0</v>
      </c>
      <c r="I9" s="63" t="b">
        <v>0</v>
      </c>
      <c r="J9" s="11" t="b">
        <v>0</v>
      </c>
      <c r="K9" s="11" t="b">
        <v>0</v>
      </c>
      <c r="L9" s="11" t="b">
        <v>0</v>
      </c>
      <c r="M9" s="11" t="b">
        <v>0</v>
      </c>
      <c r="N9" s="11" t="s">
        <v>93</v>
      </c>
      <c r="O9" s="11"/>
      <c r="P9" s="6" t="b">
        <v>0</v>
      </c>
      <c r="Q9" s="6" t="b">
        <v>0</v>
      </c>
      <c r="R9" t="str">
        <f>IFERROR(HYPERLINK("#Main!A"&amp;MATCH(A9,Main!A:A,0),"Open"),HYPERLINK("#Main!A1","Open"))</f>
        <v>Open</v>
      </c>
    </row>
    <row r="10" spans="1:19" ht="30" customHeight="1" x14ac:dyDescent="0.25">
      <c r="A10" s="59" t="s">
        <v>512</v>
      </c>
      <c r="B10" s="67">
        <v>0</v>
      </c>
      <c r="C10" s="8" t="s">
        <v>1190</v>
      </c>
      <c r="D10" s="8" t="s">
        <v>1191</v>
      </c>
      <c r="E10" s="8">
        <v>0</v>
      </c>
      <c r="F10" s="8">
        <v>0</v>
      </c>
      <c r="G10" s="8">
        <v>0</v>
      </c>
      <c r="H10" s="63" t="b">
        <v>0</v>
      </c>
      <c r="I10" s="63" t="b">
        <v>0</v>
      </c>
      <c r="J10" s="8" t="b">
        <v>0</v>
      </c>
      <c r="K10" s="8" t="b">
        <v>0</v>
      </c>
      <c r="L10" s="8" t="b">
        <v>0</v>
      </c>
      <c r="M10" s="8" t="b">
        <v>0</v>
      </c>
      <c r="N10" s="8" t="s">
        <v>93</v>
      </c>
      <c r="O10" s="8"/>
      <c r="P10" s="6" t="b">
        <v>0</v>
      </c>
      <c r="Q10" s="6" t="b">
        <v>0</v>
      </c>
      <c r="R10" s="9" t="str">
        <f>IFERROR(HYPERLINK("#Main!A"&amp;MATCH(A10,Main!A:A,0),"Open"),HYPERLINK("#Main!A1","Open"))</f>
        <v>Open</v>
      </c>
      <c r="S10" s="9"/>
    </row>
    <row r="11" spans="1:19" ht="30" customHeight="1" x14ac:dyDescent="0.25">
      <c r="A11" s="58" t="s">
        <v>582</v>
      </c>
      <c r="B11" s="69">
        <v>0</v>
      </c>
      <c r="C11" s="11" t="s">
        <v>1190</v>
      </c>
      <c r="D11" s="11" t="s">
        <v>1191</v>
      </c>
      <c r="E11" s="11">
        <v>0</v>
      </c>
      <c r="F11" s="11">
        <v>0</v>
      </c>
      <c r="G11" s="11">
        <v>0</v>
      </c>
      <c r="H11" s="63" t="b">
        <v>0</v>
      </c>
      <c r="I11" s="63" t="b">
        <v>0</v>
      </c>
      <c r="J11" s="11" t="b">
        <v>0</v>
      </c>
      <c r="K11" s="11" t="b">
        <v>0</v>
      </c>
      <c r="L11" s="11" t="b">
        <v>0</v>
      </c>
      <c r="M11" s="11" t="b">
        <v>0</v>
      </c>
      <c r="N11" s="11" t="s">
        <v>93</v>
      </c>
      <c r="O11" s="11"/>
      <c r="P11" s="6" t="b">
        <v>0</v>
      </c>
      <c r="Q11" s="6" t="b">
        <v>0</v>
      </c>
      <c r="R11" t="str">
        <f>IFERROR(HYPERLINK("#Main!A"&amp;MATCH(A11,Main!A:A,0),"Open"),HYPERLINK("#Main!A1","Open"))</f>
        <v>Open</v>
      </c>
    </row>
    <row r="12" spans="1:19" ht="30" customHeight="1" x14ac:dyDescent="0.25">
      <c r="A12" s="59" t="s">
        <v>658</v>
      </c>
      <c r="B12" s="67">
        <v>0</v>
      </c>
      <c r="C12" s="8" t="s">
        <v>1190</v>
      </c>
      <c r="D12" s="8" t="s">
        <v>1191</v>
      </c>
      <c r="E12" s="8">
        <v>0</v>
      </c>
      <c r="F12" s="8">
        <v>0</v>
      </c>
      <c r="G12" s="8">
        <v>0</v>
      </c>
      <c r="H12" s="63" t="b">
        <v>0</v>
      </c>
      <c r="I12" s="63" t="b">
        <v>0</v>
      </c>
      <c r="J12" s="8" t="b">
        <v>0</v>
      </c>
      <c r="K12" s="8" t="b">
        <v>0</v>
      </c>
      <c r="L12" s="8" t="b">
        <v>0</v>
      </c>
      <c r="M12" s="8" t="b">
        <v>0</v>
      </c>
      <c r="N12" s="8" t="s">
        <v>93</v>
      </c>
      <c r="O12" s="8"/>
      <c r="P12" s="6" t="b">
        <v>0</v>
      </c>
      <c r="Q12" s="6" t="b">
        <v>0</v>
      </c>
      <c r="R12" s="9" t="str">
        <f>IFERROR(HYPERLINK("#Main!A"&amp;MATCH(A12,Main!A:A,0),"Open"),HYPERLINK("#Main!A1","Open"))</f>
        <v>Open</v>
      </c>
      <c r="S12" s="9"/>
    </row>
    <row r="13" spans="1:19" ht="30" customHeight="1" x14ac:dyDescent="0.25">
      <c r="A13" s="58" t="s">
        <v>156</v>
      </c>
      <c r="B13" s="69">
        <v>0</v>
      </c>
      <c r="C13" s="11" t="s">
        <v>1190</v>
      </c>
      <c r="D13" s="11" t="s">
        <v>1191</v>
      </c>
      <c r="E13" s="11">
        <v>0</v>
      </c>
      <c r="F13" s="11">
        <v>0</v>
      </c>
      <c r="G13" s="11">
        <v>0</v>
      </c>
      <c r="H13" s="63" t="b">
        <v>0</v>
      </c>
      <c r="I13" s="63" t="b">
        <v>0</v>
      </c>
      <c r="J13" s="11" t="b">
        <v>0</v>
      </c>
      <c r="K13" s="11" t="b">
        <v>0</v>
      </c>
      <c r="L13" s="11" t="b">
        <v>0</v>
      </c>
      <c r="M13" s="11" t="b">
        <v>0</v>
      </c>
      <c r="N13" s="11" t="s">
        <v>93</v>
      </c>
      <c r="O13" s="11"/>
      <c r="P13" s="6" t="b">
        <v>0</v>
      </c>
      <c r="Q13" s="6" t="b">
        <v>0</v>
      </c>
      <c r="R13" t="str">
        <f>IFERROR(HYPERLINK("#Main!A"&amp;MATCH(A13,Main!A:A,0),"Open"),HYPERLINK("#Main!A1","Open"))</f>
        <v>Open</v>
      </c>
    </row>
    <row r="14" spans="1:19" ht="30" customHeight="1" x14ac:dyDescent="0.25">
      <c r="A14" s="59" t="s">
        <v>650</v>
      </c>
      <c r="B14" s="67">
        <v>0</v>
      </c>
      <c r="C14" s="8" t="s">
        <v>1190</v>
      </c>
      <c r="D14" s="8" t="s">
        <v>1191</v>
      </c>
      <c r="E14" s="8">
        <v>0</v>
      </c>
      <c r="F14" s="8">
        <v>0</v>
      </c>
      <c r="G14" s="8">
        <v>0</v>
      </c>
      <c r="H14" s="63" t="b">
        <v>0</v>
      </c>
      <c r="I14" s="63" t="b">
        <v>0</v>
      </c>
      <c r="J14" s="8" t="b">
        <v>0</v>
      </c>
      <c r="K14" s="8" t="b">
        <v>0</v>
      </c>
      <c r="L14" s="8" t="b">
        <v>0</v>
      </c>
      <c r="M14" s="8" t="b">
        <v>0</v>
      </c>
      <c r="N14" s="8" t="s">
        <v>93</v>
      </c>
      <c r="O14" s="8"/>
      <c r="P14" s="6" t="b">
        <v>0</v>
      </c>
      <c r="Q14" s="6" t="b">
        <v>0</v>
      </c>
      <c r="R14" s="9" t="str">
        <f>IFERROR(HYPERLINK("#Main!A"&amp;MATCH(A14,Main!A:A,0),"Open"),HYPERLINK("#Main!A1","Open"))</f>
        <v>Open</v>
      </c>
      <c r="S14" s="9"/>
    </row>
    <row r="15" spans="1:19" ht="30" customHeight="1" x14ac:dyDescent="0.25">
      <c r="A15" s="58" t="s">
        <v>704</v>
      </c>
      <c r="B15" s="69">
        <v>0</v>
      </c>
      <c r="C15" s="11" t="s">
        <v>1190</v>
      </c>
      <c r="D15" s="11" t="s">
        <v>1191</v>
      </c>
      <c r="E15" s="11">
        <v>0</v>
      </c>
      <c r="F15" s="11">
        <v>0</v>
      </c>
      <c r="G15" s="11">
        <v>0</v>
      </c>
      <c r="H15" s="63" t="b">
        <v>0</v>
      </c>
      <c r="I15" s="63" t="b">
        <v>0</v>
      </c>
      <c r="J15" s="11" t="b">
        <v>0</v>
      </c>
      <c r="K15" s="11" t="b">
        <v>0</v>
      </c>
      <c r="L15" s="11" t="b">
        <v>0</v>
      </c>
      <c r="M15" s="11" t="b">
        <v>0</v>
      </c>
      <c r="N15" s="11" t="s">
        <v>93</v>
      </c>
      <c r="O15" s="11"/>
      <c r="P15" s="6" t="b">
        <v>0</v>
      </c>
      <c r="Q15" s="6" t="b">
        <v>0</v>
      </c>
      <c r="R15" t="str">
        <f>IFERROR(HYPERLINK("#Main!A"&amp;MATCH(A15,Main!A:A,0),"Open"),HYPERLINK("#Main!A1","Open"))</f>
        <v>Open</v>
      </c>
    </row>
    <row r="16" spans="1:19" ht="30" customHeight="1" x14ac:dyDescent="0.25">
      <c r="A16" s="59" t="s">
        <v>148</v>
      </c>
      <c r="B16" s="67">
        <v>0</v>
      </c>
      <c r="C16" s="8" t="s">
        <v>1190</v>
      </c>
      <c r="D16" s="8" t="s">
        <v>1191</v>
      </c>
      <c r="E16" s="8">
        <v>0</v>
      </c>
      <c r="F16" s="8">
        <v>0</v>
      </c>
      <c r="G16" s="8">
        <v>0</v>
      </c>
      <c r="H16" s="63" t="b">
        <v>0</v>
      </c>
      <c r="I16" s="63" t="b">
        <v>0</v>
      </c>
      <c r="J16" s="8" t="b">
        <v>0</v>
      </c>
      <c r="K16" s="8" t="b">
        <v>0</v>
      </c>
      <c r="L16" s="8" t="b">
        <v>0</v>
      </c>
      <c r="M16" s="8" t="b">
        <v>0</v>
      </c>
      <c r="N16" s="8" t="s">
        <v>93</v>
      </c>
      <c r="O16" s="8"/>
      <c r="P16" s="6" t="b">
        <v>0</v>
      </c>
      <c r="Q16" s="6" t="b">
        <v>0</v>
      </c>
      <c r="R16" s="9" t="str">
        <f>IFERROR(HYPERLINK("#Main!A"&amp;MATCH(A16,Main!A:A,0),"Open"),HYPERLINK("#Main!A1","Open"))</f>
        <v>Open</v>
      </c>
      <c r="S16" s="9"/>
    </row>
    <row r="17" spans="1:19" ht="30" customHeight="1" x14ac:dyDescent="0.25">
      <c r="A17" s="58" t="s">
        <v>497</v>
      </c>
      <c r="B17" s="69">
        <v>0</v>
      </c>
      <c r="C17" s="11" t="s">
        <v>1190</v>
      </c>
      <c r="D17" s="11" t="s">
        <v>1191</v>
      </c>
      <c r="E17" s="11">
        <v>0</v>
      </c>
      <c r="F17" s="11">
        <v>0</v>
      </c>
      <c r="G17" s="11">
        <v>0</v>
      </c>
      <c r="H17" s="63" t="b">
        <v>0</v>
      </c>
      <c r="I17" s="63" t="b">
        <v>0</v>
      </c>
      <c r="J17" s="11" t="b">
        <v>0</v>
      </c>
      <c r="K17" s="11" t="b">
        <v>0</v>
      </c>
      <c r="L17" s="11" t="b">
        <v>0</v>
      </c>
      <c r="M17" s="11" t="b">
        <v>0</v>
      </c>
      <c r="N17" s="11" t="s">
        <v>93</v>
      </c>
      <c r="O17" s="11"/>
      <c r="P17" s="6" t="b">
        <v>0</v>
      </c>
      <c r="Q17" s="6" t="b">
        <v>0</v>
      </c>
      <c r="R17" t="str">
        <f>IFERROR(HYPERLINK("#Main!A"&amp;MATCH(A17,Main!A:A,0),"Open"),HYPERLINK("#Main!A1","Open"))</f>
        <v>Open</v>
      </c>
    </row>
    <row r="18" spans="1:19" ht="30" customHeight="1" x14ac:dyDescent="0.25">
      <c r="A18" s="59" t="s">
        <v>505</v>
      </c>
      <c r="B18" s="67">
        <v>0</v>
      </c>
      <c r="C18" s="8" t="s">
        <v>1190</v>
      </c>
      <c r="D18" s="8" t="s">
        <v>1191</v>
      </c>
      <c r="E18" s="8">
        <v>0</v>
      </c>
      <c r="F18" s="8">
        <v>0</v>
      </c>
      <c r="G18" s="8">
        <v>0</v>
      </c>
      <c r="H18" s="63" t="b">
        <v>0</v>
      </c>
      <c r="I18" s="63" t="b">
        <v>0</v>
      </c>
      <c r="J18" s="8" t="b">
        <v>0</v>
      </c>
      <c r="K18" s="8" t="b">
        <v>0</v>
      </c>
      <c r="L18" s="8" t="b">
        <v>0</v>
      </c>
      <c r="M18" s="8" t="b">
        <v>0</v>
      </c>
      <c r="N18" s="8" t="s">
        <v>93</v>
      </c>
      <c r="O18" s="8"/>
      <c r="P18" s="6" t="b">
        <v>0</v>
      </c>
      <c r="Q18" s="6" t="b">
        <v>0</v>
      </c>
      <c r="R18" s="9" t="str">
        <f>IFERROR(HYPERLINK("#Main!A"&amp;MATCH(A18,Main!A:A,0),"Open"),HYPERLINK("#Main!A1","Open"))</f>
        <v>Open</v>
      </c>
      <c r="S18" s="9"/>
    </row>
    <row r="19" spans="1:19" ht="30" customHeight="1" x14ac:dyDescent="0.25">
      <c r="A19" s="58" t="s">
        <v>690</v>
      </c>
      <c r="B19" s="69">
        <v>0</v>
      </c>
      <c r="C19" s="11" t="s">
        <v>1190</v>
      </c>
      <c r="D19" s="11" t="s">
        <v>1191</v>
      </c>
      <c r="E19" s="11">
        <v>0</v>
      </c>
      <c r="F19" s="11">
        <v>0</v>
      </c>
      <c r="G19" s="11">
        <v>0</v>
      </c>
      <c r="H19" s="63" t="b">
        <v>0</v>
      </c>
      <c r="I19" s="63" t="b">
        <v>0</v>
      </c>
      <c r="J19" s="11" t="b">
        <v>0</v>
      </c>
      <c r="K19" s="11" t="b">
        <v>0</v>
      </c>
      <c r="L19" s="11" t="b">
        <v>0</v>
      </c>
      <c r="M19" s="11" t="b">
        <v>0</v>
      </c>
      <c r="N19" s="11" t="s">
        <v>93</v>
      </c>
      <c r="O19" s="11"/>
      <c r="P19" s="6" t="b">
        <v>0</v>
      </c>
      <c r="Q19" s="6" t="b">
        <v>0</v>
      </c>
      <c r="R19" t="str">
        <f>IFERROR(HYPERLINK("#Main!A"&amp;MATCH(A19,Main!A:A,0),"Open"),HYPERLINK("#Main!A1","Open"))</f>
        <v>Open</v>
      </c>
    </row>
    <row r="20" spans="1:19" ht="30" customHeight="1" x14ac:dyDescent="0.25">
      <c r="A20" s="59" t="s">
        <v>306</v>
      </c>
      <c r="B20" s="67">
        <v>0</v>
      </c>
      <c r="C20" s="8" t="s">
        <v>1190</v>
      </c>
      <c r="D20" s="8" t="s">
        <v>1191</v>
      </c>
      <c r="E20" s="8">
        <v>0</v>
      </c>
      <c r="F20" s="8">
        <v>0</v>
      </c>
      <c r="G20" s="8">
        <v>0</v>
      </c>
      <c r="H20" s="63" t="b">
        <v>0</v>
      </c>
      <c r="I20" s="63" t="b">
        <v>0</v>
      </c>
      <c r="J20" s="8" t="b">
        <v>0</v>
      </c>
      <c r="K20" s="8" t="b">
        <v>0</v>
      </c>
      <c r="L20" s="8" t="b">
        <v>0</v>
      </c>
      <c r="M20" s="8" t="b">
        <v>0</v>
      </c>
      <c r="N20" s="8" t="s">
        <v>93</v>
      </c>
      <c r="O20" s="8"/>
      <c r="P20" s="6" t="b">
        <v>0</v>
      </c>
      <c r="Q20" s="6" t="b">
        <v>0</v>
      </c>
      <c r="R20" s="9" t="str">
        <f>IFERROR(HYPERLINK("#Main!A"&amp;MATCH(A20,Main!A:A,0),"Open"),HYPERLINK("#Main!A1","Open"))</f>
        <v>Open</v>
      </c>
      <c r="S20" s="9"/>
    </row>
    <row r="21" spans="1:19" ht="30" customHeight="1" x14ac:dyDescent="0.25">
      <c r="A21" s="58" t="s">
        <v>314</v>
      </c>
      <c r="B21" s="69">
        <v>0</v>
      </c>
      <c r="C21" s="11" t="s">
        <v>1190</v>
      </c>
      <c r="D21" s="11" t="s">
        <v>1191</v>
      </c>
      <c r="E21" s="11">
        <v>0</v>
      </c>
      <c r="F21" s="11">
        <v>0</v>
      </c>
      <c r="G21" s="11">
        <v>0</v>
      </c>
      <c r="H21" s="63" t="b">
        <v>0</v>
      </c>
      <c r="I21" s="63" t="b">
        <v>0</v>
      </c>
      <c r="J21" s="11" t="b">
        <v>0</v>
      </c>
      <c r="K21" s="11" t="b">
        <v>0</v>
      </c>
      <c r="L21" s="11" t="b">
        <v>0</v>
      </c>
      <c r="M21" s="11" t="b">
        <v>0</v>
      </c>
      <c r="N21" s="11" t="s">
        <v>93</v>
      </c>
      <c r="O21" s="11"/>
      <c r="P21" s="6" t="b">
        <v>0</v>
      </c>
      <c r="Q21" s="6" t="b">
        <v>0</v>
      </c>
      <c r="R21" t="str">
        <f>IFERROR(HYPERLINK("#Main!A"&amp;MATCH(A21,Main!A:A,0),"Open"),HYPERLINK("#Main!A1","Open"))</f>
        <v>Open</v>
      </c>
    </row>
    <row r="22" spans="1:19" ht="30" customHeight="1" x14ac:dyDescent="0.25">
      <c r="A22" s="59" t="s">
        <v>366</v>
      </c>
      <c r="B22" s="67">
        <v>0</v>
      </c>
      <c r="C22" s="8" t="s">
        <v>1190</v>
      </c>
      <c r="D22" s="8" t="s">
        <v>1191</v>
      </c>
      <c r="E22" s="8">
        <v>0</v>
      </c>
      <c r="F22" s="8">
        <v>0</v>
      </c>
      <c r="G22" s="8">
        <v>0</v>
      </c>
      <c r="H22" s="63" t="b">
        <v>0</v>
      </c>
      <c r="I22" s="63" t="b">
        <v>0</v>
      </c>
      <c r="J22" s="8" t="b">
        <v>0</v>
      </c>
      <c r="K22" s="8" t="b">
        <v>0</v>
      </c>
      <c r="L22" s="8" t="b">
        <v>0</v>
      </c>
      <c r="M22" s="8" t="b">
        <v>0</v>
      </c>
      <c r="N22" s="8" t="s">
        <v>93</v>
      </c>
      <c r="O22" s="8"/>
      <c r="P22" s="6" t="b">
        <v>0</v>
      </c>
      <c r="Q22" s="6" t="b">
        <v>0</v>
      </c>
      <c r="R22" s="9" t="str">
        <f>IFERROR(HYPERLINK("#Main!A"&amp;MATCH(A22,Main!A:A,0),"Open"),HYPERLINK("#Main!A1","Open"))</f>
        <v>Open</v>
      </c>
      <c r="S22" s="9"/>
    </row>
    <row r="23" spans="1:19" ht="30" customHeight="1" x14ac:dyDescent="0.25">
      <c r="A23" s="58" t="s">
        <v>417</v>
      </c>
      <c r="B23" s="69">
        <v>0</v>
      </c>
      <c r="C23" s="11" t="s">
        <v>1190</v>
      </c>
      <c r="D23" s="11" t="s">
        <v>1191</v>
      </c>
      <c r="E23" s="11">
        <v>0</v>
      </c>
      <c r="F23" s="11">
        <v>0</v>
      </c>
      <c r="G23" s="11">
        <v>0</v>
      </c>
      <c r="H23" s="63" t="b">
        <v>0</v>
      </c>
      <c r="I23" s="63" t="b">
        <v>0</v>
      </c>
      <c r="J23" s="11" t="b">
        <v>0</v>
      </c>
      <c r="K23" s="11" t="b">
        <v>0</v>
      </c>
      <c r="L23" s="11" t="b">
        <v>0</v>
      </c>
      <c r="M23" s="11" t="b">
        <v>0</v>
      </c>
      <c r="N23" s="11" t="s">
        <v>93</v>
      </c>
      <c r="O23" s="11"/>
      <c r="P23" s="6" t="b">
        <v>0</v>
      </c>
      <c r="Q23" s="6" t="b">
        <v>0</v>
      </c>
      <c r="R23" t="str">
        <f>IFERROR(HYPERLINK("#Main!A"&amp;MATCH(A23,Main!A:A,0),"Open"),HYPERLINK("#Main!A1","Open"))</f>
        <v>Open</v>
      </c>
    </row>
    <row r="24" spans="1:19" ht="30" customHeight="1" x14ac:dyDescent="0.25">
      <c r="A24" s="59" t="s">
        <v>290</v>
      </c>
      <c r="B24" s="67">
        <v>0</v>
      </c>
      <c r="C24" s="8" t="s">
        <v>1190</v>
      </c>
      <c r="D24" s="8" t="s">
        <v>1191</v>
      </c>
      <c r="E24" s="8">
        <v>0</v>
      </c>
      <c r="F24" s="8">
        <v>0</v>
      </c>
      <c r="G24" s="8">
        <v>0</v>
      </c>
      <c r="H24" s="63" t="b">
        <v>0</v>
      </c>
      <c r="I24" s="63" t="b">
        <v>0</v>
      </c>
      <c r="J24" s="8" t="b">
        <v>0</v>
      </c>
      <c r="K24" s="8" t="b">
        <v>0</v>
      </c>
      <c r="L24" s="8" t="b">
        <v>0</v>
      </c>
      <c r="M24" s="8" t="b">
        <v>0</v>
      </c>
      <c r="N24" s="8" t="s">
        <v>93</v>
      </c>
      <c r="O24" s="8"/>
      <c r="P24" s="6" t="b">
        <v>0</v>
      </c>
      <c r="Q24" s="6" t="b">
        <v>0</v>
      </c>
      <c r="R24" s="9" t="str">
        <f>IFERROR(HYPERLINK("#Main!A"&amp;MATCH(A24,Main!A:A,0),"Open"),HYPERLINK("#Main!A1","Open"))</f>
        <v>Open</v>
      </c>
      <c r="S24" s="9"/>
    </row>
    <row r="25" spans="1:19" ht="30" customHeight="1" x14ac:dyDescent="0.25">
      <c r="A25" s="58" t="s">
        <v>188</v>
      </c>
      <c r="B25" s="69">
        <v>0</v>
      </c>
      <c r="C25" s="11" t="s">
        <v>1190</v>
      </c>
      <c r="D25" s="11" t="s">
        <v>1191</v>
      </c>
      <c r="E25" s="11">
        <v>0</v>
      </c>
      <c r="F25" s="11">
        <v>0</v>
      </c>
      <c r="G25" s="11">
        <v>0</v>
      </c>
      <c r="H25" s="63" t="b">
        <v>0</v>
      </c>
      <c r="I25" s="63" t="b">
        <v>0</v>
      </c>
      <c r="J25" s="11" t="b">
        <v>0</v>
      </c>
      <c r="K25" s="11" t="b">
        <v>0</v>
      </c>
      <c r="L25" s="11" t="b">
        <v>0</v>
      </c>
      <c r="M25" s="11" t="b">
        <v>0</v>
      </c>
      <c r="N25" s="11" t="s">
        <v>93</v>
      </c>
      <c r="O25" s="11"/>
      <c r="P25" s="6" t="b">
        <v>0</v>
      </c>
      <c r="Q25" s="6" t="b">
        <v>0</v>
      </c>
      <c r="R25" t="str">
        <f>IFERROR(HYPERLINK("#Main!A"&amp;MATCH(A25,Main!A:A,0),"Open"),HYPERLINK("#Main!A1","Open"))</f>
        <v>Open</v>
      </c>
    </row>
    <row r="26" spans="1:19" ht="30" customHeight="1" x14ac:dyDescent="0.25">
      <c r="A26" s="59" t="s">
        <v>242</v>
      </c>
      <c r="B26" s="67">
        <v>0</v>
      </c>
      <c r="C26" s="8" t="s">
        <v>1190</v>
      </c>
      <c r="D26" s="8" t="s">
        <v>1191</v>
      </c>
      <c r="E26" s="8">
        <v>0</v>
      </c>
      <c r="F26" s="8">
        <v>0</v>
      </c>
      <c r="G26" s="8">
        <v>0</v>
      </c>
      <c r="H26" s="63" t="b">
        <v>0</v>
      </c>
      <c r="I26" s="63" t="b">
        <v>0</v>
      </c>
      <c r="J26" s="8" t="b">
        <v>0</v>
      </c>
      <c r="K26" s="8" t="b">
        <v>0</v>
      </c>
      <c r="L26" s="8" t="b">
        <v>0</v>
      </c>
      <c r="M26" s="8" t="b">
        <v>0</v>
      </c>
      <c r="N26" s="8" t="s">
        <v>93</v>
      </c>
      <c r="O26" s="8"/>
      <c r="P26" s="6" t="b">
        <v>0</v>
      </c>
      <c r="Q26" s="6" t="b">
        <v>0</v>
      </c>
      <c r="R26" s="9" t="str">
        <f>IFERROR(HYPERLINK("#Main!A"&amp;MATCH(A26,Main!A:A,0),"Open"),HYPERLINK("#Main!A1","Open"))</f>
        <v>Open</v>
      </c>
      <c r="S26" s="9"/>
    </row>
    <row r="27" spans="1:19" ht="30" customHeight="1" x14ac:dyDescent="0.25">
      <c r="A27" s="58" t="s">
        <v>574</v>
      </c>
      <c r="B27" s="69">
        <v>0</v>
      </c>
      <c r="C27" s="11" t="s">
        <v>1190</v>
      </c>
      <c r="D27" s="11" t="s">
        <v>1191</v>
      </c>
      <c r="E27" s="11">
        <v>0</v>
      </c>
      <c r="F27" s="11">
        <v>0</v>
      </c>
      <c r="G27" s="11">
        <v>0</v>
      </c>
      <c r="H27" s="63" t="b">
        <v>0</v>
      </c>
      <c r="I27" s="63" t="b">
        <v>0</v>
      </c>
      <c r="J27" s="11" t="b">
        <v>0</v>
      </c>
      <c r="K27" s="11" t="b">
        <v>0</v>
      </c>
      <c r="L27" s="11" t="b">
        <v>0</v>
      </c>
      <c r="M27" s="11" t="b">
        <v>0</v>
      </c>
      <c r="N27" s="11" t="s">
        <v>93</v>
      </c>
      <c r="O27" s="11"/>
      <c r="P27" s="6" t="b">
        <v>0</v>
      </c>
      <c r="Q27" s="6" t="b">
        <v>0</v>
      </c>
      <c r="R27" t="str">
        <f>IFERROR(HYPERLINK("#Main!A"&amp;MATCH(A27,Main!A:A,0),"Open"),HYPERLINK("#Main!A1","Open"))</f>
        <v>Open</v>
      </c>
    </row>
    <row r="28" spans="1:19" ht="30" customHeight="1" x14ac:dyDescent="0.25">
      <c r="A28" s="59" t="s">
        <v>627</v>
      </c>
      <c r="B28" s="67">
        <v>0</v>
      </c>
      <c r="C28" s="8" t="s">
        <v>1190</v>
      </c>
      <c r="D28" s="8" t="s">
        <v>1191</v>
      </c>
      <c r="E28" s="8">
        <v>0</v>
      </c>
      <c r="F28" s="8">
        <v>0</v>
      </c>
      <c r="G28" s="8">
        <v>0</v>
      </c>
      <c r="H28" s="63" t="b">
        <v>0</v>
      </c>
      <c r="I28" s="63" t="b">
        <v>0</v>
      </c>
      <c r="J28" s="8" t="b">
        <v>0</v>
      </c>
      <c r="K28" s="8" t="b">
        <v>0</v>
      </c>
      <c r="L28" s="8" t="b">
        <v>0</v>
      </c>
      <c r="M28" s="8" t="b">
        <v>0</v>
      </c>
      <c r="N28" s="8" t="s">
        <v>93</v>
      </c>
      <c r="O28" s="8"/>
      <c r="P28" s="6" t="b">
        <v>0</v>
      </c>
      <c r="Q28" s="6" t="b">
        <v>0</v>
      </c>
      <c r="R28" s="9" t="str">
        <f>IFERROR(HYPERLINK("#Main!A"&amp;MATCH(A28,Main!A:A,0),"Open"),HYPERLINK("#Main!A1","Open"))</f>
        <v>Open</v>
      </c>
      <c r="S28" s="9"/>
    </row>
    <row r="29" spans="1:19" ht="30" customHeight="1" x14ac:dyDescent="0.25">
      <c r="A29" s="58" t="s">
        <v>274</v>
      </c>
      <c r="B29" s="69">
        <v>0</v>
      </c>
      <c r="C29" s="11" t="s">
        <v>1190</v>
      </c>
      <c r="D29" s="11" t="s">
        <v>1191</v>
      </c>
      <c r="E29" s="11">
        <v>0</v>
      </c>
      <c r="F29" s="11">
        <v>0</v>
      </c>
      <c r="G29" s="11">
        <v>0</v>
      </c>
      <c r="H29" s="63" t="b">
        <v>0</v>
      </c>
      <c r="I29" s="63" t="b">
        <v>0</v>
      </c>
      <c r="J29" s="11" t="b">
        <v>0</v>
      </c>
      <c r="K29" s="11" t="b">
        <v>0</v>
      </c>
      <c r="L29" s="11" t="b">
        <v>0</v>
      </c>
      <c r="M29" s="11" t="b">
        <v>0</v>
      </c>
      <c r="N29" s="11" t="s">
        <v>93</v>
      </c>
      <c r="O29" s="11"/>
      <c r="P29" s="6" t="b">
        <v>0</v>
      </c>
      <c r="Q29" s="6" t="b">
        <v>0</v>
      </c>
      <c r="R29" t="str">
        <f>IFERROR(HYPERLINK("#Main!A"&amp;MATCH(A29,Main!A:A,0),"Open"),HYPERLINK("#Main!A1","Open"))</f>
        <v>Open</v>
      </c>
    </row>
    <row r="30" spans="1:19" ht="30" customHeight="1" x14ac:dyDescent="0.25">
      <c r="A30" s="59" t="s">
        <v>401</v>
      </c>
      <c r="B30" s="67">
        <v>0</v>
      </c>
      <c r="C30" s="8" t="s">
        <v>1190</v>
      </c>
      <c r="D30" s="8" t="s">
        <v>1191</v>
      </c>
      <c r="E30" s="8">
        <v>0</v>
      </c>
      <c r="F30" s="8">
        <v>0</v>
      </c>
      <c r="G30" s="8">
        <v>0</v>
      </c>
      <c r="H30" s="63" t="b">
        <v>0</v>
      </c>
      <c r="I30" s="63" t="b">
        <v>0</v>
      </c>
      <c r="J30" s="8" t="b">
        <v>0</v>
      </c>
      <c r="K30" s="8" t="b">
        <v>0</v>
      </c>
      <c r="L30" s="8" t="b">
        <v>0</v>
      </c>
      <c r="M30" s="8" t="b">
        <v>0</v>
      </c>
      <c r="N30" s="8" t="s">
        <v>93</v>
      </c>
      <c r="O30" s="8"/>
      <c r="P30" s="6" t="b">
        <v>0</v>
      </c>
      <c r="Q30" s="6" t="b">
        <v>0</v>
      </c>
      <c r="R30" s="9" t="str">
        <f>IFERROR(HYPERLINK("#Main!A"&amp;MATCH(A30,Main!A:A,0),"Open"),HYPERLINK("#Main!A1","Open"))</f>
        <v>Open</v>
      </c>
      <c r="S30" s="9"/>
    </row>
    <row r="31" spans="1:19" ht="30" customHeight="1" x14ac:dyDescent="0.25">
      <c r="A31" s="58" t="s">
        <v>298</v>
      </c>
      <c r="B31" s="69">
        <v>0</v>
      </c>
      <c r="C31" s="11" t="s">
        <v>1190</v>
      </c>
      <c r="D31" s="11" t="s">
        <v>1191</v>
      </c>
      <c r="E31" s="11">
        <v>0</v>
      </c>
      <c r="F31" s="11">
        <v>0</v>
      </c>
      <c r="G31" s="11">
        <v>0</v>
      </c>
      <c r="H31" s="63" t="b">
        <v>0</v>
      </c>
      <c r="I31" s="63" t="b">
        <v>0</v>
      </c>
      <c r="J31" s="11" t="b">
        <v>0</v>
      </c>
      <c r="K31" s="11" t="b">
        <v>0</v>
      </c>
      <c r="L31" s="11" t="b">
        <v>0</v>
      </c>
      <c r="M31" s="11" t="b">
        <v>0</v>
      </c>
      <c r="N31" s="11" t="s">
        <v>93</v>
      </c>
      <c r="O31" s="11"/>
      <c r="P31" s="6" t="b">
        <v>0</v>
      </c>
      <c r="Q31" s="6" t="b">
        <v>0</v>
      </c>
      <c r="R31" t="str">
        <f>IFERROR(HYPERLINK("#Main!A"&amp;MATCH(A31,Main!A:A,0),"Open"),HYPERLINK("#Main!A1","Open"))</f>
        <v>Open</v>
      </c>
    </row>
    <row r="32" spans="1:19" ht="30" customHeight="1" x14ac:dyDescent="0.25">
      <c r="A32" s="59" t="s">
        <v>481</v>
      </c>
      <c r="B32" s="67">
        <v>0</v>
      </c>
      <c r="C32" s="8" t="s">
        <v>1190</v>
      </c>
      <c r="D32" s="8" t="s">
        <v>1191</v>
      </c>
      <c r="E32" s="8">
        <v>0</v>
      </c>
      <c r="F32" s="8">
        <v>0</v>
      </c>
      <c r="G32" s="8">
        <v>0</v>
      </c>
      <c r="H32" s="63" t="b">
        <v>0</v>
      </c>
      <c r="I32" s="63" t="b">
        <v>0</v>
      </c>
      <c r="J32" s="8" t="b">
        <v>0</v>
      </c>
      <c r="K32" s="8" t="b">
        <v>0</v>
      </c>
      <c r="L32" s="8" t="b">
        <v>0</v>
      </c>
      <c r="M32" s="8" t="b">
        <v>0</v>
      </c>
      <c r="N32" s="8" t="s">
        <v>93</v>
      </c>
      <c r="O32" s="8"/>
      <c r="P32" s="6" t="b">
        <v>0</v>
      </c>
      <c r="Q32" s="6" t="b">
        <v>0</v>
      </c>
      <c r="R32" s="9" t="str">
        <f>IFERROR(HYPERLINK("#Main!A"&amp;MATCH(A32,Main!A:A,0),"Open"),HYPERLINK("#Main!A1","Open"))</f>
        <v>Open</v>
      </c>
      <c r="S32" s="9"/>
    </row>
    <row r="33" spans="1:19" ht="30" customHeight="1" x14ac:dyDescent="0.25">
      <c r="A33" s="58" t="s">
        <v>172</v>
      </c>
      <c r="B33" s="69">
        <v>0</v>
      </c>
      <c r="C33" s="11" t="s">
        <v>1190</v>
      </c>
      <c r="D33" s="11" t="s">
        <v>1191</v>
      </c>
      <c r="E33" s="11">
        <v>0</v>
      </c>
      <c r="F33" s="11">
        <v>0</v>
      </c>
      <c r="G33" s="11">
        <v>0</v>
      </c>
      <c r="H33" s="63" t="b">
        <v>0</v>
      </c>
      <c r="I33" s="63" t="b">
        <v>0</v>
      </c>
      <c r="J33" s="11" t="b">
        <v>0</v>
      </c>
      <c r="K33" s="11" t="b">
        <v>0</v>
      </c>
      <c r="L33" s="11" t="b">
        <v>0</v>
      </c>
      <c r="M33" s="11" t="b">
        <v>0</v>
      </c>
      <c r="N33" s="11" t="s">
        <v>93</v>
      </c>
      <c r="O33" s="11"/>
      <c r="P33" s="6" t="b">
        <v>0</v>
      </c>
      <c r="Q33" s="6" t="b">
        <v>0</v>
      </c>
      <c r="R33" t="str">
        <f>IFERROR(HYPERLINK("#Main!A"&amp;MATCH(A33,Main!A:A,0),"Open"),HYPERLINK("#Main!A1","Open"))</f>
        <v>Open</v>
      </c>
    </row>
    <row r="34" spans="1:19" ht="30" customHeight="1" x14ac:dyDescent="0.25">
      <c r="A34" s="59" t="s">
        <v>727</v>
      </c>
      <c r="B34" s="67">
        <v>0</v>
      </c>
      <c r="C34" s="8" t="s">
        <v>1190</v>
      </c>
      <c r="D34" s="8" t="s">
        <v>1191</v>
      </c>
      <c r="E34" s="8">
        <v>0</v>
      </c>
      <c r="F34" s="8">
        <v>0</v>
      </c>
      <c r="G34" s="8">
        <v>0</v>
      </c>
      <c r="H34" s="63" t="b">
        <v>0</v>
      </c>
      <c r="I34" s="63" t="b">
        <v>0</v>
      </c>
      <c r="J34" s="8" t="b">
        <v>0</v>
      </c>
      <c r="K34" s="8" t="b">
        <v>0</v>
      </c>
      <c r="L34" s="8" t="b">
        <v>0</v>
      </c>
      <c r="M34" s="8" t="b">
        <v>0</v>
      </c>
      <c r="N34" s="8" t="s">
        <v>93</v>
      </c>
      <c r="O34" s="8"/>
      <c r="P34" s="6" t="b">
        <v>0</v>
      </c>
      <c r="Q34" s="6" t="b">
        <v>0</v>
      </c>
      <c r="R34" s="9" t="str">
        <f>IFERROR(HYPERLINK("#Main!A"&amp;MATCH(A34,Main!A:A,0),"Open"),HYPERLINK("#Main!A1","Open"))</f>
        <v>Open</v>
      </c>
      <c r="S34" s="9"/>
    </row>
    <row r="35" spans="1:19" ht="30" customHeight="1" x14ac:dyDescent="0.25">
      <c r="A35" s="58" t="s">
        <v>559</v>
      </c>
      <c r="B35" s="69">
        <v>0</v>
      </c>
      <c r="C35" s="11" t="s">
        <v>1190</v>
      </c>
      <c r="D35" s="11" t="s">
        <v>1191</v>
      </c>
      <c r="E35" s="11">
        <v>0</v>
      </c>
      <c r="F35" s="11">
        <v>0</v>
      </c>
      <c r="G35" s="11">
        <v>0</v>
      </c>
      <c r="H35" s="63" t="b">
        <v>0</v>
      </c>
      <c r="I35" s="63" t="b">
        <v>0</v>
      </c>
      <c r="J35" s="11" t="b">
        <v>0</v>
      </c>
      <c r="K35" s="11" t="b">
        <v>0</v>
      </c>
      <c r="L35" s="11" t="b">
        <v>0</v>
      </c>
      <c r="M35" s="11" t="b">
        <v>0</v>
      </c>
      <c r="N35" s="11" t="s">
        <v>93</v>
      </c>
      <c r="O35" s="11"/>
      <c r="P35" s="6" t="b">
        <v>0</v>
      </c>
      <c r="Q35" s="6" t="b">
        <v>0</v>
      </c>
      <c r="R35" t="str">
        <f>IFERROR(HYPERLINK("#Main!A"&amp;MATCH(A35,Main!A:A,0),"Open"),HYPERLINK("#Main!A1","Open"))</f>
        <v>Open</v>
      </c>
    </row>
    <row r="36" spans="1:19" ht="30" customHeight="1" x14ac:dyDescent="0.25">
      <c r="A36" s="59" t="s">
        <v>393</v>
      </c>
      <c r="B36" s="67">
        <v>0</v>
      </c>
      <c r="C36" s="8" t="s">
        <v>1190</v>
      </c>
      <c r="D36" s="8" t="s">
        <v>1191</v>
      </c>
      <c r="E36" s="8">
        <v>0</v>
      </c>
      <c r="F36" s="8">
        <v>0</v>
      </c>
      <c r="G36" s="8">
        <v>0</v>
      </c>
      <c r="H36" s="63" t="b">
        <v>0</v>
      </c>
      <c r="I36" s="63" t="b">
        <v>0</v>
      </c>
      <c r="J36" s="8" t="b">
        <v>0</v>
      </c>
      <c r="K36" s="8" t="b">
        <v>0</v>
      </c>
      <c r="L36" s="8" t="b">
        <v>0</v>
      </c>
      <c r="M36" s="8" t="b">
        <v>0</v>
      </c>
      <c r="N36" s="8" t="s">
        <v>93</v>
      </c>
      <c r="O36" s="8"/>
      <c r="P36" s="6" t="b">
        <v>0</v>
      </c>
      <c r="Q36" s="6" t="b">
        <v>0</v>
      </c>
      <c r="R36" s="9" t="str">
        <f>IFERROR(HYPERLINK("#Main!A"&amp;MATCH(A36,Main!A:A,0),"Open"),HYPERLINK("#Main!A1","Open"))</f>
        <v>Open</v>
      </c>
      <c r="S36" s="9"/>
    </row>
    <row r="37" spans="1:19" ht="30" customHeight="1" x14ac:dyDescent="0.25">
      <c r="A37" s="58" t="s">
        <v>566</v>
      </c>
      <c r="B37" s="69">
        <v>0</v>
      </c>
      <c r="C37" s="11" t="s">
        <v>1190</v>
      </c>
      <c r="D37" s="11" t="s">
        <v>1191</v>
      </c>
      <c r="E37" s="11">
        <v>0</v>
      </c>
      <c r="F37" s="11">
        <v>0</v>
      </c>
      <c r="G37" s="11">
        <v>0</v>
      </c>
      <c r="H37" s="63" t="b">
        <v>0</v>
      </c>
      <c r="I37" s="63" t="b">
        <v>0</v>
      </c>
      <c r="J37" s="11" t="b">
        <v>0</v>
      </c>
      <c r="K37" s="11" t="b">
        <v>0</v>
      </c>
      <c r="L37" s="11" t="b">
        <v>0</v>
      </c>
      <c r="M37" s="11" t="b">
        <v>0</v>
      </c>
      <c r="N37" s="11" t="s">
        <v>93</v>
      </c>
      <c r="O37" s="11"/>
      <c r="P37" s="6" t="b">
        <v>0</v>
      </c>
      <c r="Q37" s="6" t="b">
        <v>0</v>
      </c>
      <c r="R37" t="str">
        <f>IFERROR(HYPERLINK("#Main!A"&amp;MATCH(A37,Main!A:A,0),"Open"),HYPERLINK("#Main!A1","Open"))</f>
        <v>Open</v>
      </c>
    </row>
    <row r="38" spans="1:19" ht="45" customHeight="1" x14ac:dyDescent="0.25">
      <c r="A38" s="59" t="s">
        <v>377</v>
      </c>
      <c r="B38" s="67">
        <v>0</v>
      </c>
      <c r="C38" s="8" t="s">
        <v>1190</v>
      </c>
      <c r="D38" s="8" t="s">
        <v>1191</v>
      </c>
      <c r="E38" s="8">
        <v>0</v>
      </c>
      <c r="F38" s="8">
        <v>0</v>
      </c>
      <c r="G38" s="8">
        <v>0</v>
      </c>
      <c r="H38" s="63" t="b">
        <v>0</v>
      </c>
      <c r="I38" s="63" t="b">
        <v>0</v>
      </c>
      <c r="J38" s="8" t="b">
        <v>0</v>
      </c>
      <c r="K38" s="8" t="b">
        <v>0</v>
      </c>
      <c r="L38" s="8" t="b">
        <v>0</v>
      </c>
      <c r="M38" s="8" t="b">
        <v>0</v>
      </c>
      <c r="N38" s="8" t="s">
        <v>93</v>
      </c>
      <c r="O38" s="8"/>
      <c r="P38" s="6" t="b">
        <v>0</v>
      </c>
      <c r="Q38" s="6" t="b">
        <v>0</v>
      </c>
      <c r="R38" s="9" t="str">
        <f>IFERROR(HYPERLINK("#Main!A"&amp;MATCH(A38,Main!A:A,0),"Open"),HYPERLINK("#Main!A1","Open"))</f>
        <v>Open</v>
      </c>
      <c r="S38" s="9"/>
    </row>
    <row r="39" spans="1:19" ht="30" customHeight="1" x14ac:dyDescent="0.25">
      <c r="A39" s="58" t="s">
        <v>385</v>
      </c>
      <c r="B39" s="69">
        <v>0</v>
      </c>
      <c r="C39" s="11" t="s">
        <v>1190</v>
      </c>
      <c r="D39" s="11" t="s">
        <v>1191</v>
      </c>
      <c r="E39" s="11">
        <v>0</v>
      </c>
      <c r="F39" s="11">
        <v>0</v>
      </c>
      <c r="G39" s="11">
        <v>0</v>
      </c>
      <c r="H39" s="63" t="b">
        <v>0</v>
      </c>
      <c r="I39" s="63" t="b">
        <v>0</v>
      </c>
      <c r="J39" s="11" t="b">
        <v>0</v>
      </c>
      <c r="K39" s="11" t="b">
        <v>0</v>
      </c>
      <c r="L39" s="11" t="b">
        <v>0</v>
      </c>
      <c r="M39" s="11" t="b">
        <v>0</v>
      </c>
      <c r="N39" s="11" t="s">
        <v>93</v>
      </c>
      <c r="O39" s="11"/>
      <c r="P39" s="6" t="b">
        <v>0</v>
      </c>
      <c r="Q39" s="6" t="b">
        <v>0</v>
      </c>
      <c r="R39" t="str">
        <f>IFERROR(HYPERLINK("#Main!A"&amp;MATCH(A39,Main!A:A,0),"Open"),HYPERLINK("#Main!A1","Open"))</f>
        <v>Open</v>
      </c>
    </row>
    <row r="40" spans="1:19" ht="30" customHeight="1" x14ac:dyDescent="0.25">
      <c r="A40" s="59" t="s">
        <v>358</v>
      </c>
      <c r="B40" s="67">
        <v>0</v>
      </c>
      <c r="C40" s="8" t="s">
        <v>1190</v>
      </c>
      <c r="D40" s="8" t="s">
        <v>1191</v>
      </c>
      <c r="E40" s="8">
        <v>0</v>
      </c>
      <c r="F40" s="8">
        <v>0</v>
      </c>
      <c r="G40" s="8">
        <v>0</v>
      </c>
      <c r="H40" s="63" t="b">
        <v>0</v>
      </c>
      <c r="I40" s="63" t="b">
        <v>0</v>
      </c>
      <c r="J40" s="8" t="b">
        <v>0</v>
      </c>
      <c r="K40" s="8" t="b">
        <v>0</v>
      </c>
      <c r="L40" s="8" t="b">
        <v>0</v>
      </c>
      <c r="M40" s="8" t="b">
        <v>0</v>
      </c>
      <c r="N40" s="8" t="s">
        <v>93</v>
      </c>
      <c r="O40" s="8"/>
      <c r="P40" s="6" t="b">
        <v>0</v>
      </c>
      <c r="Q40" s="6" t="b">
        <v>0</v>
      </c>
      <c r="R40" s="9" t="str">
        <f>IFERROR(HYPERLINK("#Main!A"&amp;MATCH(A40,Main!A:A,0),"Open"),HYPERLINK("#Main!A1","Open"))</f>
        <v>Open</v>
      </c>
      <c r="S40" s="9"/>
    </row>
    <row r="41" spans="1:19" ht="30" customHeight="1" x14ac:dyDescent="0.25">
      <c r="A41" s="58" t="s">
        <v>196</v>
      </c>
      <c r="B41" s="69">
        <v>0</v>
      </c>
      <c r="C41" s="11" t="s">
        <v>1190</v>
      </c>
      <c r="D41" s="11" t="s">
        <v>1191</v>
      </c>
      <c r="E41" s="11">
        <v>0</v>
      </c>
      <c r="F41" s="11">
        <v>0</v>
      </c>
      <c r="G41" s="11">
        <v>0</v>
      </c>
      <c r="H41" s="63" t="b">
        <v>0</v>
      </c>
      <c r="I41" s="63" t="b">
        <v>0</v>
      </c>
      <c r="J41" s="11" t="b">
        <v>0</v>
      </c>
      <c r="K41" s="11" t="b">
        <v>0</v>
      </c>
      <c r="L41" s="11" t="b">
        <v>0</v>
      </c>
      <c r="M41" s="11" t="b">
        <v>0</v>
      </c>
      <c r="N41" s="11" t="s">
        <v>93</v>
      </c>
      <c r="O41" s="11"/>
      <c r="P41" s="6" t="b">
        <v>0</v>
      </c>
      <c r="Q41" s="6" t="b">
        <v>0</v>
      </c>
      <c r="R41" t="str">
        <f>IFERROR(HYPERLINK("#Main!A"&amp;MATCH(A41,Main!A:A,0),"Open"),HYPERLINK("#Main!A1","Open"))</f>
        <v>Open</v>
      </c>
    </row>
    <row r="42" spans="1:19" ht="30" customHeight="1" x14ac:dyDescent="0.25">
      <c r="A42" s="59" t="s">
        <v>164</v>
      </c>
      <c r="B42" s="67">
        <v>0</v>
      </c>
      <c r="C42" s="8" t="s">
        <v>1190</v>
      </c>
      <c r="D42" s="8" t="s">
        <v>1191</v>
      </c>
      <c r="E42" s="8">
        <v>0</v>
      </c>
      <c r="F42" s="8">
        <v>0</v>
      </c>
      <c r="G42" s="8">
        <v>0</v>
      </c>
      <c r="H42" s="63" t="b">
        <v>0</v>
      </c>
      <c r="I42" s="63" t="b">
        <v>0</v>
      </c>
      <c r="J42" s="8" t="b">
        <v>0</v>
      </c>
      <c r="K42" s="8" t="b">
        <v>0</v>
      </c>
      <c r="L42" s="8" t="b">
        <v>0</v>
      </c>
      <c r="M42" s="8" t="b">
        <v>1</v>
      </c>
      <c r="N42" s="8" t="s">
        <v>93</v>
      </c>
      <c r="O42" s="8"/>
      <c r="P42" s="6" t="b">
        <v>0</v>
      </c>
      <c r="Q42" s="6" t="b">
        <v>0</v>
      </c>
      <c r="R42" s="9" t="str">
        <f>IFERROR(HYPERLINK("#Main!A"&amp;MATCH(A42,Main!A:A,0),"Open"),HYPERLINK("#Main!A1","Open"))</f>
        <v>Open</v>
      </c>
      <c r="S42" s="9"/>
    </row>
    <row r="43" spans="1:19" ht="30" customHeight="1" x14ac:dyDescent="0.25">
      <c r="A43" s="58" t="s">
        <v>350</v>
      </c>
      <c r="B43" s="69">
        <v>0</v>
      </c>
      <c r="C43" s="11" t="s">
        <v>1190</v>
      </c>
      <c r="D43" s="11" t="s">
        <v>1191</v>
      </c>
      <c r="E43" s="11">
        <v>0</v>
      </c>
      <c r="F43" s="11">
        <v>0</v>
      </c>
      <c r="G43" s="11">
        <v>0</v>
      </c>
      <c r="H43" s="63" t="b">
        <v>0</v>
      </c>
      <c r="I43" s="63" t="b">
        <v>0</v>
      </c>
      <c r="J43" s="11" t="b">
        <v>0</v>
      </c>
      <c r="K43" s="11" t="b">
        <v>0</v>
      </c>
      <c r="L43" s="11" t="b">
        <v>0</v>
      </c>
      <c r="M43" s="11" t="b">
        <v>0</v>
      </c>
      <c r="N43" s="11" t="s">
        <v>93</v>
      </c>
      <c r="O43" s="11"/>
      <c r="P43" s="6" t="b">
        <v>0</v>
      </c>
      <c r="Q43" s="6" t="b">
        <v>0</v>
      </c>
      <c r="R43" t="str">
        <f>IFERROR(HYPERLINK("#Main!A"&amp;MATCH(A43,Main!A:A,0),"Open"),HYPERLINK("#Main!A1","Open"))</f>
        <v>Open</v>
      </c>
    </row>
    <row r="44" spans="1:19" ht="30" customHeight="1" x14ac:dyDescent="0.25">
      <c r="A44" s="59" t="s">
        <v>374</v>
      </c>
      <c r="B44" s="67">
        <v>0</v>
      </c>
      <c r="C44" s="8" t="s">
        <v>1190</v>
      </c>
      <c r="D44" s="8" t="s">
        <v>1191</v>
      </c>
      <c r="E44" s="8">
        <v>0</v>
      </c>
      <c r="F44" s="8">
        <v>0</v>
      </c>
      <c r="G44" s="8">
        <v>0</v>
      </c>
      <c r="H44" s="63" t="b">
        <v>0</v>
      </c>
      <c r="I44" s="63" t="b">
        <v>0</v>
      </c>
      <c r="J44" s="8" t="b">
        <v>0</v>
      </c>
      <c r="K44" s="8" t="b">
        <v>0</v>
      </c>
      <c r="L44" s="8" t="b">
        <v>0</v>
      </c>
      <c r="M44" s="8" t="b">
        <v>0</v>
      </c>
      <c r="N44" s="8" t="s">
        <v>93</v>
      </c>
      <c r="O44" s="8"/>
      <c r="P44" s="6" t="b">
        <v>0</v>
      </c>
      <c r="Q44" s="6" t="b">
        <v>0</v>
      </c>
      <c r="R44" s="9" t="str">
        <f>IFERROR(HYPERLINK("#Main!A"&amp;MATCH(A44,Main!A:A,0),"Open"),HYPERLINK("#Main!A1","Open"))</f>
        <v>Open</v>
      </c>
      <c r="S44" s="9"/>
    </row>
    <row r="45" spans="1:19" ht="45" customHeight="1" x14ac:dyDescent="0.25">
      <c r="A45" s="58" t="s">
        <v>409</v>
      </c>
      <c r="B45" s="69">
        <v>0</v>
      </c>
      <c r="C45" s="11" t="s">
        <v>1190</v>
      </c>
      <c r="D45" s="11" t="s">
        <v>1191</v>
      </c>
      <c r="E45" s="11">
        <v>0</v>
      </c>
      <c r="F45" s="11">
        <v>0</v>
      </c>
      <c r="G45" s="11">
        <v>0</v>
      </c>
      <c r="H45" s="63" t="b">
        <v>0</v>
      </c>
      <c r="I45" s="63" t="b">
        <v>0</v>
      </c>
      <c r="J45" s="11" t="b">
        <v>0</v>
      </c>
      <c r="K45" s="11" t="b">
        <v>0</v>
      </c>
      <c r="L45" s="11" t="b">
        <v>0</v>
      </c>
      <c r="M45" s="11" t="b">
        <v>0</v>
      </c>
      <c r="N45" s="11" t="s">
        <v>93</v>
      </c>
      <c r="O45" s="11"/>
      <c r="P45" s="6" t="b">
        <v>0</v>
      </c>
      <c r="Q45" s="6" t="b">
        <v>0</v>
      </c>
      <c r="R45" t="str">
        <f>IFERROR(HYPERLINK("#Main!A"&amp;MATCH(A45,Main!A:A,0),"Open"),HYPERLINK("#Main!A1","Open"))</f>
        <v>Open</v>
      </c>
    </row>
    <row r="46" spans="1:19" ht="30" customHeight="1" x14ac:dyDescent="0.25">
      <c r="A46" s="59" t="s">
        <v>436</v>
      </c>
      <c r="B46" s="67">
        <v>0</v>
      </c>
      <c r="C46" s="8" t="s">
        <v>1190</v>
      </c>
      <c r="D46" s="8" t="s">
        <v>1191</v>
      </c>
      <c r="E46" s="8">
        <v>0</v>
      </c>
      <c r="F46" s="8">
        <v>0</v>
      </c>
      <c r="G46" s="8">
        <v>0</v>
      </c>
      <c r="H46" s="63" t="b">
        <v>0</v>
      </c>
      <c r="I46" s="63" t="b">
        <v>0</v>
      </c>
      <c r="J46" s="8" t="b">
        <v>0</v>
      </c>
      <c r="K46" s="8" t="b">
        <v>0</v>
      </c>
      <c r="L46" s="8" t="b">
        <v>0</v>
      </c>
      <c r="M46" s="8" t="b">
        <v>0</v>
      </c>
      <c r="N46" s="8" t="s">
        <v>93</v>
      </c>
      <c r="O46" s="8"/>
      <c r="P46" s="6" t="b">
        <v>0</v>
      </c>
      <c r="Q46" s="6" t="b">
        <v>0</v>
      </c>
      <c r="R46" s="9" t="str">
        <f>IFERROR(HYPERLINK("#Main!A"&amp;MATCH(A46,Main!A:A,0),"Open"),HYPERLINK("#Main!A1","Open"))</f>
        <v>Open</v>
      </c>
      <c r="S46" s="9"/>
    </row>
    <row r="47" spans="1:19" ht="30" customHeight="1" x14ac:dyDescent="0.25">
      <c r="A47" s="58" t="s">
        <v>473</v>
      </c>
      <c r="B47" s="69">
        <v>0</v>
      </c>
      <c r="C47" s="11" t="s">
        <v>1190</v>
      </c>
      <c r="D47" s="11" t="s">
        <v>1191</v>
      </c>
      <c r="E47" s="11">
        <v>0</v>
      </c>
      <c r="F47" s="11">
        <v>0</v>
      </c>
      <c r="G47" s="11">
        <v>0</v>
      </c>
      <c r="H47" s="63" t="b">
        <v>0</v>
      </c>
      <c r="I47" s="63" t="b">
        <v>0</v>
      </c>
      <c r="J47" s="11" t="b">
        <v>0</v>
      </c>
      <c r="K47" s="11" t="b">
        <v>0</v>
      </c>
      <c r="L47" s="11" t="b">
        <v>0</v>
      </c>
      <c r="M47" s="11" t="b">
        <v>1</v>
      </c>
      <c r="N47" s="11" t="s">
        <v>93</v>
      </c>
      <c r="O47" s="11"/>
      <c r="P47" s="6" t="b">
        <v>0</v>
      </c>
      <c r="Q47" s="6" t="b">
        <v>0</v>
      </c>
      <c r="R47" t="str">
        <f>IFERROR(HYPERLINK("#Main!A"&amp;MATCH(A47,Main!A:A,0),"Open"),HYPERLINK("#Main!A1","Open"))</f>
        <v>Open</v>
      </c>
    </row>
    <row r="48" spans="1:19" ht="30" customHeight="1" x14ac:dyDescent="0.25">
      <c r="A48" s="59" t="s">
        <v>489</v>
      </c>
      <c r="B48" s="67">
        <v>0</v>
      </c>
      <c r="C48" s="8" t="s">
        <v>1190</v>
      </c>
      <c r="D48" s="8" t="s">
        <v>1191</v>
      </c>
      <c r="E48" s="8">
        <v>0</v>
      </c>
      <c r="F48" s="8">
        <v>0</v>
      </c>
      <c r="G48" s="8">
        <v>0</v>
      </c>
      <c r="H48" s="63" t="b">
        <v>0</v>
      </c>
      <c r="I48" s="63" t="b">
        <v>0</v>
      </c>
      <c r="J48" s="8" t="b">
        <v>0</v>
      </c>
      <c r="K48" s="8" t="b">
        <v>0</v>
      </c>
      <c r="L48" s="8" t="b">
        <v>0</v>
      </c>
      <c r="M48" s="8" t="b">
        <v>1</v>
      </c>
      <c r="N48" s="8" t="s">
        <v>93</v>
      </c>
      <c r="O48" s="8"/>
      <c r="P48" s="6" t="b">
        <v>0</v>
      </c>
      <c r="Q48" s="6" t="b">
        <v>0</v>
      </c>
      <c r="R48" s="9" t="str">
        <f>IFERROR(HYPERLINK("#Main!A"&amp;MATCH(A48,Main!A:A,0),"Open"),HYPERLINK("#Main!A1","Open"))</f>
        <v>Open</v>
      </c>
      <c r="S48" s="9"/>
    </row>
    <row r="49" spans="1:19" ht="30" customHeight="1" x14ac:dyDescent="0.25">
      <c r="A49" s="58" t="s">
        <v>338</v>
      </c>
      <c r="B49" s="69">
        <v>0</v>
      </c>
      <c r="C49" s="11" t="s">
        <v>1190</v>
      </c>
      <c r="D49" s="11" t="s">
        <v>1192</v>
      </c>
      <c r="E49" s="11">
        <v>0</v>
      </c>
      <c r="F49" s="11">
        <v>0</v>
      </c>
      <c r="G49" s="11">
        <v>0</v>
      </c>
      <c r="H49" s="63" t="b">
        <v>0</v>
      </c>
      <c r="I49" s="63" t="b">
        <v>0</v>
      </c>
      <c r="J49" s="11" t="b">
        <v>0</v>
      </c>
      <c r="K49" s="11" t="b">
        <v>0</v>
      </c>
      <c r="L49" s="11" t="b">
        <v>0</v>
      </c>
      <c r="M49" s="11" t="b">
        <v>0</v>
      </c>
      <c r="N49" s="11" t="s">
        <v>96</v>
      </c>
      <c r="O49" s="11"/>
      <c r="P49" s="49" t="b">
        <v>1</v>
      </c>
      <c r="Q49" s="49" t="b">
        <v>1</v>
      </c>
      <c r="R49" t="str">
        <f>IFERROR(HYPERLINK("#Main!A"&amp;MATCH(A49,Main!A:A,0),"Open"),HYPERLINK("#Main!A1","Open"))</f>
        <v>Open</v>
      </c>
    </row>
    <row r="50" spans="1:19" ht="30" customHeight="1" x14ac:dyDescent="0.25">
      <c r="A50" s="59" t="s">
        <v>433</v>
      </c>
      <c r="B50" s="67">
        <v>0</v>
      </c>
      <c r="C50" s="8" t="s">
        <v>1190</v>
      </c>
      <c r="D50" s="8" t="s">
        <v>1192</v>
      </c>
      <c r="E50" s="8">
        <v>0</v>
      </c>
      <c r="F50" s="8">
        <v>0</v>
      </c>
      <c r="G50" s="8">
        <v>0</v>
      </c>
      <c r="H50" s="63" t="b">
        <v>0</v>
      </c>
      <c r="I50" s="63" t="b">
        <v>0</v>
      </c>
      <c r="J50" s="8" t="b">
        <v>0</v>
      </c>
      <c r="K50" s="8" t="b">
        <v>0</v>
      </c>
      <c r="L50" s="8" t="b">
        <v>0</v>
      </c>
      <c r="M50" s="8" t="b">
        <v>0</v>
      </c>
      <c r="N50" s="8" t="s">
        <v>96</v>
      </c>
      <c r="O50" s="8"/>
      <c r="P50" s="49" t="b">
        <v>1</v>
      </c>
      <c r="Q50" s="49" t="b">
        <v>1</v>
      </c>
      <c r="R50" s="9" t="str">
        <f>IFERROR(HYPERLINK("#Main!A"&amp;MATCH(A50,Main!A:A,0),"Open"),HYPERLINK("#Main!A1","Open"))</f>
        <v>Open</v>
      </c>
      <c r="S50" s="9"/>
    </row>
    <row r="51" spans="1:19" ht="30" customHeight="1" x14ac:dyDescent="0.25">
      <c r="A51" s="58" t="s">
        <v>743</v>
      </c>
      <c r="B51" s="69">
        <v>0</v>
      </c>
      <c r="C51" s="11" t="s">
        <v>1190</v>
      </c>
      <c r="D51" s="11" t="s">
        <v>1191</v>
      </c>
      <c r="E51" s="11">
        <v>0</v>
      </c>
      <c r="F51" s="11">
        <v>0</v>
      </c>
      <c r="G51" s="11">
        <v>0</v>
      </c>
      <c r="H51" s="63" t="b">
        <v>0</v>
      </c>
      <c r="I51" s="63" t="b">
        <v>0</v>
      </c>
      <c r="J51" s="11" t="b">
        <v>0</v>
      </c>
      <c r="K51" s="11" t="b">
        <v>0</v>
      </c>
      <c r="L51" s="11" t="b">
        <v>0</v>
      </c>
      <c r="M51" s="11" t="b">
        <v>0</v>
      </c>
      <c r="N51" s="11" t="s">
        <v>93</v>
      </c>
      <c r="O51" s="11"/>
      <c r="P51" s="6" t="b">
        <v>0</v>
      </c>
      <c r="Q51" s="6" t="b">
        <v>0</v>
      </c>
      <c r="R51" t="str">
        <f>IFERROR(HYPERLINK("#Main!A"&amp;MATCH(A51,Main!A:A,0),"Open"),HYPERLINK("#Main!A1","Open"))</f>
        <v>Open</v>
      </c>
    </row>
    <row r="52" spans="1:19" ht="30" customHeight="1" x14ac:dyDescent="0.25">
      <c r="A52" s="59" t="s">
        <v>598</v>
      </c>
      <c r="B52" s="67">
        <v>0</v>
      </c>
      <c r="C52" s="8" t="s">
        <v>1190</v>
      </c>
      <c r="D52" s="8" t="s">
        <v>1191</v>
      </c>
      <c r="E52" s="8">
        <v>0</v>
      </c>
      <c r="F52" s="8">
        <v>0</v>
      </c>
      <c r="G52" s="8">
        <v>0</v>
      </c>
      <c r="H52" s="63" t="b">
        <v>0</v>
      </c>
      <c r="I52" s="63" t="b">
        <v>0</v>
      </c>
      <c r="J52" s="8" t="b">
        <v>0</v>
      </c>
      <c r="K52" s="8" t="b">
        <v>0</v>
      </c>
      <c r="L52" s="8" t="b">
        <v>0</v>
      </c>
      <c r="M52" s="8" t="b">
        <v>0</v>
      </c>
      <c r="N52" s="8" t="s">
        <v>93</v>
      </c>
      <c r="O52" s="8"/>
      <c r="P52" s="6" t="b">
        <v>0</v>
      </c>
      <c r="Q52" s="6" t="b">
        <v>0</v>
      </c>
      <c r="R52" s="9" t="str">
        <f>IFERROR(HYPERLINK("#Main!A"&amp;MATCH(A52,Main!A:A,0),"Open"),HYPERLINK("#Main!A1","Open"))</f>
        <v>Open</v>
      </c>
      <c r="S52" s="9"/>
    </row>
    <row r="53" spans="1:19" ht="30" customHeight="1" x14ac:dyDescent="0.25">
      <c r="A53" s="58" t="s">
        <v>735</v>
      </c>
      <c r="B53" s="69">
        <v>0</v>
      </c>
      <c r="C53" s="11" t="s">
        <v>1190</v>
      </c>
      <c r="D53" s="11" t="s">
        <v>1191</v>
      </c>
      <c r="E53" s="11">
        <v>0</v>
      </c>
      <c r="F53" s="11">
        <v>0</v>
      </c>
      <c r="G53" s="11">
        <v>0</v>
      </c>
      <c r="H53" s="63" t="b">
        <v>0</v>
      </c>
      <c r="I53" s="63" t="b">
        <v>0</v>
      </c>
      <c r="J53" s="11" t="b">
        <v>0</v>
      </c>
      <c r="K53" s="11" t="b">
        <v>0</v>
      </c>
      <c r="L53" s="11" t="b">
        <v>0</v>
      </c>
      <c r="M53" s="11" t="b">
        <v>0</v>
      </c>
      <c r="N53" s="11" t="s">
        <v>93</v>
      </c>
      <c r="O53" s="11"/>
      <c r="P53" s="6" t="b">
        <v>0</v>
      </c>
      <c r="Q53" s="6" t="b">
        <v>0</v>
      </c>
      <c r="R53" t="str">
        <f>IFERROR(HYPERLINK("#Main!A"&amp;MATCH(A53,Main!A:A,0),"Open"),HYPERLINK("#Main!A1","Open"))</f>
        <v>Open</v>
      </c>
    </row>
    <row r="54" spans="1:19" ht="30" customHeight="1" x14ac:dyDescent="0.25">
      <c r="A54" s="59" t="s">
        <v>712</v>
      </c>
      <c r="B54" s="67">
        <v>0</v>
      </c>
      <c r="C54" s="8" t="s">
        <v>1190</v>
      </c>
      <c r="D54" s="8" t="s">
        <v>1191</v>
      </c>
      <c r="E54" s="8">
        <v>0</v>
      </c>
      <c r="F54" s="8">
        <v>0</v>
      </c>
      <c r="G54" s="8">
        <v>0</v>
      </c>
      <c r="H54" s="63" t="b">
        <v>0</v>
      </c>
      <c r="I54" s="63" t="b">
        <v>0</v>
      </c>
      <c r="J54" s="8" t="b">
        <v>0</v>
      </c>
      <c r="K54" s="8" t="b">
        <v>0</v>
      </c>
      <c r="L54" s="8" t="b">
        <v>0</v>
      </c>
      <c r="M54" s="8" t="b">
        <v>0</v>
      </c>
      <c r="N54" s="8" t="s">
        <v>93</v>
      </c>
      <c r="O54" s="8"/>
      <c r="P54" s="6" t="b">
        <v>0</v>
      </c>
      <c r="Q54" s="6" t="b">
        <v>0</v>
      </c>
      <c r="R54" s="9" t="str">
        <f>IFERROR(HYPERLINK("#Main!A"&amp;MATCH(A54,Main!A:A,0),"Open"),HYPERLINK("#Main!A1","Open"))</f>
        <v>Open</v>
      </c>
      <c r="S54" s="9"/>
    </row>
    <row r="55" spans="1:19" ht="30" customHeight="1" x14ac:dyDescent="0.25">
      <c r="A55" s="58" t="s">
        <v>622</v>
      </c>
      <c r="B55" s="69">
        <v>0</v>
      </c>
      <c r="C55" s="11" t="s">
        <v>1190</v>
      </c>
      <c r="D55" s="11" t="s">
        <v>1192</v>
      </c>
      <c r="E55" s="11">
        <v>0</v>
      </c>
      <c r="F55" s="11">
        <v>0</v>
      </c>
      <c r="G55" s="11">
        <v>0</v>
      </c>
      <c r="H55" s="63" t="b">
        <v>0</v>
      </c>
      <c r="I55" s="63" t="b">
        <v>0</v>
      </c>
      <c r="J55" s="11" t="b">
        <v>0</v>
      </c>
      <c r="K55" s="11" t="b">
        <v>0</v>
      </c>
      <c r="L55" s="11" t="b">
        <v>0</v>
      </c>
      <c r="M55" s="11" t="b">
        <v>0</v>
      </c>
      <c r="N55" s="11" t="s">
        <v>93</v>
      </c>
      <c r="O55" s="11"/>
      <c r="P55" s="6" t="b">
        <v>0</v>
      </c>
      <c r="Q55" s="49" t="b">
        <v>1</v>
      </c>
      <c r="R55" t="str">
        <f>IFERROR(HYPERLINK("#Main!A"&amp;MATCH(A55,Main!A:A,0),"Open"),HYPERLINK("#Main!A1","Open"))</f>
        <v>Open</v>
      </c>
    </row>
    <row r="56" spans="1:19" ht="30" customHeight="1" x14ac:dyDescent="0.25">
      <c r="A56" s="59" t="s">
        <v>535</v>
      </c>
      <c r="B56" s="67">
        <v>0</v>
      </c>
      <c r="C56" s="8" t="s">
        <v>1190</v>
      </c>
      <c r="D56" s="8" t="s">
        <v>1191</v>
      </c>
      <c r="E56" s="8">
        <v>0</v>
      </c>
      <c r="F56" s="8">
        <v>0</v>
      </c>
      <c r="G56" s="8">
        <v>0</v>
      </c>
      <c r="H56" s="63" t="b">
        <v>0</v>
      </c>
      <c r="I56" s="63" t="b">
        <v>0</v>
      </c>
      <c r="J56" s="8" t="b">
        <v>0</v>
      </c>
      <c r="K56" s="8" t="b">
        <v>0</v>
      </c>
      <c r="L56" s="8" t="b">
        <v>0</v>
      </c>
      <c r="M56" s="8" t="b">
        <v>0</v>
      </c>
      <c r="N56" s="8" t="s">
        <v>93</v>
      </c>
      <c r="O56" s="8"/>
      <c r="P56" s="6" t="b">
        <v>0</v>
      </c>
      <c r="Q56" s="6" t="b">
        <v>0</v>
      </c>
      <c r="R56" s="9" t="str">
        <f>IFERROR(HYPERLINK("#Main!A"&amp;MATCH(A56,Main!A:A,0),"Open"),HYPERLINK("#Main!A1","Open"))</f>
        <v>Open</v>
      </c>
      <c r="S56" s="9"/>
    </row>
    <row r="57" spans="1:19" ht="30" customHeight="1" x14ac:dyDescent="0.25">
      <c r="A57" s="58" t="s">
        <v>527</v>
      </c>
      <c r="B57" s="69">
        <v>0</v>
      </c>
      <c r="C57" s="11" t="s">
        <v>1190</v>
      </c>
      <c r="D57" s="11" t="s">
        <v>1191</v>
      </c>
      <c r="E57" s="11">
        <v>0</v>
      </c>
      <c r="F57" s="11">
        <v>0</v>
      </c>
      <c r="G57" s="11">
        <v>0</v>
      </c>
      <c r="H57" s="63" t="b">
        <v>0</v>
      </c>
      <c r="I57" s="63" t="b">
        <v>0</v>
      </c>
      <c r="J57" s="11" t="b">
        <v>0</v>
      </c>
      <c r="K57" s="11" t="b">
        <v>0</v>
      </c>
      <c r="L57" s="11" t="b">
        <v>0</v>
      </c>
      <c r="M57" s="11" t="b">
        <v>0</v>
      </c>
      <c r="N57" s="11" t="s">
        <v>93</v>
      </c>
      <c r="O57" s="11"/>
      <c r="P57" s="6" t="b">
        <v>0</v>
      </c>
      <c r="Q57" s="6" t="b">
        <v>0</v>
      </c>
      <c r="R57" t="str">
        <f>IFERROR(HYPERLINK("#Main!A"&amp;MATCH(A57,Main!A:A,0),"Open"),HYPERLINK("#Main!A1","Open"))</f>
        <v>Open</v>
      </c>
    </row>
    <row r="58" spans="1:19" ht="30" customHeight="1" x14ac:dyDescent="0.25">
      <c r="A58" s="59" t="s">
        <v>590</v>
      </c>
      <c r="B58" s="67">
        <v>0</v>
      </c>
      <c r="C58" s="8" t="s">
        <v>1190</v>
      </c>
      <c r="D58" s="8" t="s">
        <v>1191</v>
      </c>
      <c r="E58" s="8">
        <v>0</v>
      </c>
      <c r="F58" s="8">
        <v>0</v>
      </c>
      <c r="G58" s="8">
        <v>0</v>
      </c>
      <c r="H58" s="63" t="b">
        <v>0</v>
      </c>
      <c r="I58" s="63" t="b">
        <v>0</v>
      </c>
      <c r="J58" s="8" t="b">
        <v>0</v>
      </c>
      <c r="K58" s="8" t="b">
        <v>0</v>
      </c>
      <c r="L58" s="8" t="b">
        <v>0</v>
      </c>
      <c r="M58" s="8" t="b">
        <v>0</v>
      </c>
      <c r="N58" s="8" t="s">
        <v>93</v>
      </c>
      <c r="O58" s="8"/>
      <c r="P58" s="6" t="b">
        <v>0</v>
      </c>
      <c r="Q58" s="6" t="b">
        <v>0</v>
      </c>
      <c r="R58" s="9" t="str">
        <f>IFERROR(HYPERLINK("#Main!A"&amp;MATCH(A58,Main!A:A,0),"Open"),HYPERLINK("#Main!A1","Open"))</f>
        <v>Open</v>
      </c>
      <c r="S58" s="9"/>
    </row>
    <row r="59" spans="1:19" ht="30" customHeight="1" x14ac:dyDescent="0.25">
      <c r="A59" s="58" t="s">
        <v>758</v>
      </c>
      <c r="B59" s="69">
        <v>0</v>
      </c>
      <c r="C59" s="11" t="s">
        <v>1190</v>
      </c>
      <c r="D59" s="11" t="s">
        <v>1191</v>
      </c>
      <c r="E59" s="11">
        <v>0</v>
      </c>
      <c r="F59" s="11">
        <v>0</v>
      </c>
      <c r="G59" s="11">
        <v>0</v>
      </c>
      <c r="H59" s="63" t="b">
        <v>0</v>
      </c>
      <c r="I59" s="63" t="b">
        <v>0</v>
      </c>
      <c r="J59" s="11" t="b">
        <v>0</v>
      </c>
      <c r="K59" s="11" t="b">
        <v>0</v>
      </c>
      <c r="L59" s="11" t="b">
        <v>0</v>
      </c>
      <c r="M59" s="11" t="b">
        <v>0</v>
      </c>
      <c r="N59" s="11" t="s">
        <v>93</v>
      </c>
      <c r="O59" s="11"/>
      <c r="P59" s="6" t="b">
        <v>0</v>
      </c>
      <c r="Q59" s="6" t="b">
        <v>0</v>
      </c>
      <c r="R59" t="str">
        <f>IFERROR(HYPERLINK("#Main!A"&amp;MATCH(A59,Main!A:A,0),"Open"),HYPERLINK("#Main!A1","Open"))</f>
        <v>Open</v>
      </c>
    </row>
    <row r="60" spans="1:19" ht="30" customHeight="1" x14ac:dyDescent="0.25">
      <c r="A60" s="59" t="s">
        <v>282</v>
      </c>
      <c r="B60" s="67">
        <v>0</v>
      </c>
      <c r="C60" s="8" t="s">
        <v>1190</v>
      </c>
      <c r="D60" s="8" t="s">
        <v>1191</v>
      </c>
      <c r="E60" s="8">
        <v>0</v>
      </c>
      <c r="F60" s="8">
        <v>0</v>
      </c>
      <c r="G60" s="8">
        <v>0</v>
      </c>
      <c r="H60" s="63" t="b">
        <v>0</v>
      </c>
      <c r="I60" s="63" t="b">
        <v>0</v>
      </c>
      <c r="J60" s="8" t="b">
        <v>0</v>
      </c>
      <c r="K60" s="8" t="b">
        <v>0</v>
      </c>
      <c r="L60" s="8" t="b">
        <v>0</v>
      </c>
      <c r="M60" s="8" t="b">
        <v>0</v>
      </c>
      <c r="N60" s="8" t="s">
        <v>93</v>
      </c>
      <c r="O60" s="8"/>
      <c r="P60" s="6" t="b">
        <v>0</v>
      </c>
      <c r="Q60" s="6" t="b">
        <v>0</v>
      </c>
      <c r="R60" s="9" t="str">
        <f>IFERROR(HYPERLINK("#Main!A"&amp;MATCH(A60,Main!A:A,0),"Open"),HYPERLINK("#Main!A1","Open"))</f>
        <v>Open</v>
      </c>
      <c r="S60" s="9"/>
    </row>
    <row r="61" spans="1:19" ht="30" customHeight="1" x14ac:dyDescent="0.25">
      <c r="A61" s="58" t="s">
        <v>766</v>
      </c>
      <c r="B61" s="69">
        <v>0</v>
      </c>
      <c r="C61" s="11" t="s">
        <v>1190</v>
      </c>
      <c r="D61" s="11" t="s">
        <v>1191</v>
      </c>
      <c r="E61" s="11">
        <v>0</v>
      </c>
      <c r="F61" s="11">
        <v>0</v>
      </c>
      <c r="G61" s="11">
        <v>0</v>
      </c>
      <c r="H61" s="63" t="b">
        <v>0</v>
      </c>
      <c r="I61" s="63" t="b">
        <v>0</v>
      </c>
      <c r="J61" s="11" t="b">
        <v>0</v>
      </c>
      <c r="K61" s="11" t="b">
        <v>0</v>
      </c>
      <c r="L61" s="11" t="b">
        <v>0</v>
      </c>
      <c r="M61" s="11" t="b">
        <v>0</v>
      </c>
      <c r="N61" s="11" t="s">
        <v>93</v>
      </c>
      <c r="O61" s="11"/>
      <c r="P61" s="6" t="b">
        <v>0</v>
      </c>
      <c r="Q61" s="6" t="b">
        <v>0</v>
      </c>
      <c r="R61" t="str">
        <f>IFERROR(HYPERLINK("#Main!A"&amp;MATCH(A61,Main!A:A,0),"Open"),HYPERLINK("#Main!A1","Open"))</f>
        <v>Open</v>
      </c>
    </row>
    <row r="62" spans="1:19" ht="30" customHeight="1" x14ac:dyDescent="0.25">
      <c r="A62" s="59" t="s">
        <v>614</v>
      </c>
      <c r="B62" s="67">
        <v>0</v>
      </c>
      <c r="C62" s="8" t="s">
        <v>1190</v>
      </c>
      <c r="D62" s="8" t="s">
        <v>1191</v>
      </c>
      <c r="E62" s="8">
        <v>0</v>
      </c>
      <c r="F62" s="8">
        <v>0</v>
      </c>
      <c r="G62" s="8">
        <v>0</v>
      </c>
      <c r="H62" s="63" t="b">
        <v>0</v>
      </c>
      <c r="I62" s="63" t="b">
        <v>0</v>
      </c>
      <c r="J62" s="8" t="b">
        <v>0</v>
      </c>
      <c r="K62" s="8" t="b">
        <v>0</v>
      </c>
      <c r="L62" s="8" t="b">
        <v>0</v>
      </c>
      <c r="M62" s="8" t="b">
        <v>0</v>
      </c>
      <c r="N62" s="8" t="s">
        <v>93</v>
      </c>
      <c r="O62" s="8"/>
      <c r="P62" s="6" t="b">
        <v>0</v>
      </c>
      <c r="Q62" s="6" t="b">
        <v>0</v>
      </c>
      <c r="R62" s="9" t="str">
        <f>IFERROR(HYPERLINK("#Main!A"&amp;MATCH(A62,Main!A:A,0),"Open"),HYPERLINK("#Main!A1","Open"))</f>
        <v>Open</v>
      </c>
      <c r="S62" s="9"/>
    </row>
    <row r="63" spans="1:19" ht="30" customHeight="1" x14ac:dyDescent="0.25">
      <c r="A63" s="58" t="s">
        <v>425</v>
      </c>
      <c r="B63" s="69">
        <v>0</v>
      </c>
      <c r="C63" s="11" t="s">
        <v>1190</v>
      </c>
      <c r="D63" s="11" t="s">
        <v>1191</v>
      </c>
      <c r="E63" s="11">
        <v>0</v>
      </c>
      <c r="F63" s="11">
        <v>0</v>
      </c>
      <c r="G63" s="11">
        <v>0</v>
      </c>
      <c r="H63" s="63" t="b">
        <v>0</v>
      </c>
      <c r="I63" s="63" t="b">
        <v>0</v>
      </c>
      <c r="J63" s="11" t="b">
        <v>0</v>
      </c>
      <c r="K63" s="11" t="b">
        <v>0</v>
      </c>
      <c r="L63" s="11" t="b">
        <v>0</v>
      </c>
      <c r="M63" s="11" t="b">
        <v>0</v>
      </c>
      <c r="N63" s="11" t="s">
        <v>93</v>
      </c>
      <c r="O63" s="11"/>
      <c r="P63" s="6" t="b">
        <v>0</v>
      </c>
      <c r="Q63" s="6" t="b">
        <v>0</v>
      </c>
      <c r="R63" t="str">
        <f>IFERROR(HYPERLINK("#Main!A"&amp;MATCH(A63,Main!A:A,0),"Open"),HYPERLINK("#Main!A1","Open"))</f>
        <v>Open</v>
      </c>
    </row>
    <row r="64" spans="1:19" ht="30" customHeight="1" x14ac:dyDescent="0.25">
      <c r="A64" s="59" t="s">
        <v>210</v>
      </c>
      <c r="B64" s="67">
        <v>0</v>
      </c>
      <c r="C64" s="8" t="s">
        <v>1190</v>
      </c>
      <c r="D64" s="8" t="s">
        <v>1191</v>
      </c>
      <c r="E64" s="8">
        <v>0</v>
      </c>
      <c r="F64" s="8">
        <v>0</v>
      </c>
      <c r="G64" s="8">
        <v>0</v>
      </c>
      <c r="H64" s="63" t="b">
        <v>0</v>
      </c>
      <c r="I64" s="63" t="b">
        <v>0</v>
      </c>
      <c r="J64" s="8" t="b">
        <v>0</v>
      </c>
      <c r="K64" s="8" t="b">
        <v>0</v>
      </c>
      <c r="L64" s="8" t="b">
        <v>0</v>
      </c>
      <c r="M64" s="8" t="b">
        <v>0</v>
      </c>
      <c r="N64" s="8" t="s">
        <v>93</v>
      </c>
      <c r="O64" s="8"/>
      <c r="P64" s="6" t="b">
        <v>0</v>
      </c>
      <c r="Q64" s="6" t="b">
        <v>0</v>
      </c>
      <c r="R64" s="9" t="str">
        <f>IFERROR(HYPERLINK("#Main!A"&amp;MATCH(A64,Main!A:A,0),"Open"),HYPERLINK("#Main!A1","Open"))</f>
        <v>Open</v>
      </c>
      <c r="S64" s="9"/>
    </row>
    <row r="65" spans="1:19" ht="30" customHeight="1" x14ac:dyDescent="0.25">
      <c r="A65" s="58" t="s">
        <v>258</v>
      </c>
      <c r="B65" s="69">
        <v>0</v>
      </c>
      <c r="C65" s="11" t="s">
        <v>1190</v>
      </c>
      <c r="D65" s="11" t="s">
        <v>1191</v>
      </c>
      <c r="E65" s="11">
        <v>0</v>
      </c>
      <c r="F65" s="11">
        <v>0</v>
      </c>
      <c r="G65" s="11">
        <v>0</v>
      </c>
      <c r="H65" s="63" t="b">
        <v>0</v>
      </c>
      <c r="I65" s="63" t="b">
        <v>0</v>
      </c>
      <c r="J65" s="11" t="b">
        <v>0</v>
      </c>
      <c r="K65" s="11" t="b">
        <v>0</v>
      </c>
      <c r="L65" s="11" t="b">
        <v>0</v>
      </c>
      <c r="M65" s="11" t="b">
        <v>1</v>
      </c>
      <c r="N65" s="11" t="s">
        <v>93</v>
      </c>
      <c r="O65" s="11"/>
      <c r="P65" s="6" t="b">
        <v>0</v>
      </c>
      <c r="Q65" s="6" t="b">
        <v>0</v>
      </c>
      <c r="R65" t="str">
        <f>IFERROR(HYPERLINK("#Main!A"&amp;MATCH(A65,Main!A:A,0),"Open"),HYPERLINK("#Main!A1","Open"))</f>
        <v>Open</v>
      </c>
    </row>
    <row r="66" spans="1:19" ht="30" customHeight="1" x14ac:dyDescent="0.25">
      <c r="A66" s="59" t="s">
        <v>250</v>
      </c>
      <c r="B66" s="67">
        <v>0</v>
      </c>
      <c r="C66" s="8" t="s">
        <v>1190</v>
      </c>
      <c r="D66" s="8" t="s">
        <v>1191</v>
      </c>
      <c r="E66" s="8">
        <v>0</v>
      </c>
      <c r="F66" s="8">
        <v>0</v>
      </c>
      <c r="G66" s="8">
        <v>0</v>
      </c>
      <c r="H66" s="63" t="b">
        <v>0</v>
      </c>
      <c r="I66" s="63" t="b">
        <v>0</v>
      </c>
      <c r="J66" s="8" t="b">
        <v>0</v>
      </c>
      <c r="K66" s="8" t="b">
        <v>0</v>
      </c>
      <c r="L66" s="8" t="b">
        <v>0</v>
      </c>
      <c r="M66" s="8" t="b">
        <v>0</v>
      </c>
      <c r="N66" s="8" t="s">
        <v>93</v>
      </c>
      <c r="O66" s="8"/>
      <c r="P66" s="6" t="b">
        <v>0</v>
      </c>
      <c r="Q66" s="6" t="b">
        <v>0</v>
      </c>
      <c r="R66" s="9" t="str">
        <f>IFERROR(HYPERLINK("#Main!A"&amp;MATCH(A66,Main!A:A,0),"Open"),HYPERLINK("#Main!A1","Open"))</f>
        <v>Open</v>
      </c>
      <c r="S66" s="9"/>
    </row>
    <row r="67" spans="1:19" ht="30" customHeight="1" x14ac:dyDescent="0.25">
      <c r="A67" s="58" t="s">
        <v>266</v>
      </c>
      <c r="B67" s="69">
        <v>0</v>
      </c>
      <c r="C67" s="11" t="s">
        <v>1190</v>
      </c>
      <c r="D67" s="11" t="s">
        <v>1191</v>
      </c>
      <c r="E67" s="11">
        <v>0</v>
      </c>
      <c r="F67" s="11">
        <v>0</v>
      </c>
      <c r="G67" s="11">
        <v>0</v>
      </c>
      <c r="H67" s="63" t="b">
        <v>0</v>
      </c>
      <c r="I67" s="63" t="b">
        <v>0</v>
      </c>
      <c r="J67" s="11" t="b">
        <v>0</v>
      </c>
      <c r="K67" s="11" t="b">
        <v>0</v>
      </c>
      <c r="L67" s="11" t="b">
        <v>0</v>
      </c>
      <c r="M67" s="11" t="b">
        <v>0</v>
      </c>
      <c r="N67" s="11" t="s">
        <v>93</v>
      </c>
      <c r="O67" s="11"/>
      <c r="P67" s="6" t="b">
        <v>0</v>
      </c>
      <c r="Q67" s="6" t="b">
        <v>0</v>
      </c>
      <c r="R67" t="str">
        <f>IFERROR(HYPERLINK("#Main!A"&amp;MATCH(A67,Main!A:A,0),"Open"),HYPERLINK("#Main!A1","Open"))</f>
        <v>Open</v>
      </c>
    </row>
    <row r="68" spans="1:19" ht="30" customHeight="1" x14ac:dyDescent="0.25">
      <c r="A68" s="59" t="s">
        <v>543</v>
      </c>
      <c r="B68" s="67">
        <v>0</v>
      </c>
      <c r="C68" s="8" t="s">
        <v>1190</v>
      </c>
      <c r="D68" s="8" t="s">
        <v>1191</v>
      </c>
      <c r="E68" s="8">
        <v>0</v>
      </c>
      <c r="F68" s="8">
        <v>0</v>
      </c>
      <c r="G68" s="8">
        <v>0</v>
      </c>
      <c r="H68" s="63" t="b">
        <v>0</v>
      </c>
      <c r="I68" s="63" t="b">
        <v>0</v>
      </c>
      <c r="J68" s="8" t="b">
        <v>0</v>
      </c>
      <c r="K68" s="8" t="b">
        <v>0</v>
      </c>
      <c r="L68" s="8" t="b">
        <v>0</v>
      </c>
      <c r="M68" s="8" t="b">
        <v>0</v>
      </c>
      <c r="N68" s="8" t="s">
        <v>93</v>
      </c>
      <c r="O68" s="8"/>
      <c r="P68" s="6" t="b">
        <v>0</v>
      </c>
      <c r="Q68" s="6" t="b">
        <v>0</v>
      </c>
      <c r="R68" s="9" t="str">
        <f>IFERROR(HYPERLINK("#Main!A"&amp;MATCH(A68,Main!A:A,0),"Open"),HYPERLINK("#Main!A1","Open"))</f>
        <v>Open</v>
      </c>
      <c r="S68" s="9"/>
    </row>
    <row r="69" spans="1:19" ht="30" customHeight="1" x14ac:dyDescent="0.25">
      <c r="A69" s="58" t="s">
        <v>99</v>
      </c>
      <c r="B69" s="69">
        <v>0</v>
      </c>
      <c r="C69" s="11" t="s">
        <v>1190</v>
      </c>
      <c r="D69" s="11" t="s">
        <v>1192</v>
      </c>
      <c r="E69" s="11">
        <v>0</v>
      </c>
      <c r="F69" s="11">
        <v>0</v>
      </c>
      <c r="G69" s="11">
        <v>0</v>
      </c>
      <c r="H69" s="63" t="b">
        <v>0</v>
      </c>
      <c r="I69" s="63" t="b">
        <v>0</v>
      </c>
      <c r="J69" s="11" t="b">
        <v>0</v>
      </c>
      <c r="K69" s="11" t="b">
        <v>0</v>
      </c>
      <c r="L69" s="11" t="b">
        <v>0</v>
      </c>
      <c r="M69" s="11" t="b">
        <v>0</v>
      </c>
      <c r="N69" s="11" t="s">
        <v>93</v>
      </c>
      <c r="O69" s="11"/>
      <c r="P69" s="6" t="b">
        <v>0</v>
      </c>
      <c r="Q69" s="49" t="b">
        <v>1</v>
      </c>
      <c r="R69" t="str">
        <f>IFERROR(HYPERLINK("#Main!A"&amp;MATCH(A69,Main!A:A,0),"Open"),HYPERLINK("#Main!A1","Open"))</f>
        <v>Open</v>
      </c>
    </row>
    <row r="70" spans="1:19" ht="30" customHeight="1" x14ac:dyDescent="0.25">
      <c r="A70" s="59" t="s">
        <v>226</v>
      </c>
      <c r="B70" s="67">
        <v>0</v>
      </c>
      <c r="C70" s="8" t="s">
        <v>1190</v>
      </c>
      <c r="D70" s="8" t="s">
        <v>1191</v>
      </c>
      <c r="E70" s="8">
        <v>0</v>
      </c>
      <c r="F70" s="8">
        <v>0</v>
      </c>
      <c r="G70" s="8">
        <v>0</v>
      </c>
      <c r="H70" s="63" t="b">
        <v>0</v>
      </c>
      <c r="I70" s="63" t="b">
        <v>0</v>
      </c>
      <c r="J70" s="8" t="b">
        <v>0</v>
      </c>
      <c r="K70" s="8" t="b">
        <v>0</v>
      </c>
      <c r="L70" s="8" t="b">
        <v>0</v>
      </c>
      <c r="M70" s="8" t="b">
        <v>0</v>
      </c>
      <c r="N70" s="8" t="s">
        <v>93</v>
      </c>
      <c r="O70" s="8"/>
      <c r="P70" s="6" t="b">
        <v>0</v>
      </c>
      <c r="Q70" s="6" t="b">
        <v>0</v>
      </c>
      <c r="R70" s="9" t="str">
        <f>IFERROR(HYPERLINK("#Main!A"&amp;MATCH(A70,Main!A:A,0),"Open"),HYPERLINK("#Main!A1","Open"))</f>
        <v>Open</v>
      </c>
      <c r="S70" s="9"/>
    </row>
    <row r="71" spans="1:19" ht="30" customHeight="1" x14ac:dyDescent="0.25">
      <c r="A71" s="58" t="s">
        <v>234</v>
      </c>
      <c r="B71" s="69">
        <v>0</v>
      </c>
      <c r="C71" s="11" t="s">
        <v>1190</v>
      </c>
      <c r="D71" s="11" t="s">
        <v>1191</v>
      </c>
      <c r="E71" s="11">
        <v>0</v>
      </c>
      <c r="F71" s="11">
        <v>0</v>
      </c>
      <c r="G71" s="11">
        <v>0</v>
      </c>
      <c r="H71" s="63" t="b">
        <v>0</v>
      </c>
      <c r="I71" s="63" t="b">
        <v>0</v>
      </c>
      <c r="J71" s="11" t="b">
        <v>0</v>
      </c>
      <c r="K71" s="11" t="b">
        <v>0</v>
      </c>
      <c r="L71" s="11" t="b">
        <v>0</v>
      </c>
      <c r="M71" s="11" t="b">
        <v>0</v>
      </c>
      <c r="N71" s="11" t="s">
        <v>93</v>
      </c>
      <c r="O71" s="11"/>
      <c r="P71" s="6" t="b">
        <v>0</v>
      </c>
      <c r="Q71" s="6" t="b">
        <v>0</v>
      </c>
      <c r="R71" t="str">
        <f>IFERROR(HYPERLINK("#Main!A"&amp;MATCH(A71,Main!A:A,0),"Open"),HYPERLINK("#Main!A1","Open"))</f>
        <v>Open</v>
      </c>
    </row>
    <row r="72" spans="1:19" ht="30" customHeight="1" x14ac:dyDescent="0.25">
      <c r="A72" s="59" t="s">
        <v>218</v>
      </c>
      <c r="B72" s="67">
        <v>0</v>
      </c>
      <c r="C72" s="8" t="s">
        <v>1190</v>
      </c>
      <c r="D72" s="8" t="s">
        <v>1191</v>
      </c>
      <c r="E72" s="8">
        <v>0</v>
      </c>
      <c r="F72" s="8">
        <v>0</v>
      </c>
      <c r="G72" s="8">
        <v>0</v>
      </c>
      <c r="H72" s="63" t="b">
        <v>0</v>
      </c>
      <c r="I72" s="63" t="b">
        <v>0</v>
      </c>
      <c r="J72" s="8" t="b">
        <v>0</v>
      </c>
      <c r="K72" s="8" t="b">
        <v>0</v>
      </c>
      <c r="L72" s="8" t="b">
        <v>0</v>
      </c>
      <c r="M72" s="8" t="b">
        <v>0</v>
      </c>
      <c r="N72" s="8" t="s">
        <v>93</v>
      </c>
      <c r="O72" s="8"/>
      <c r="P72" s="6" t="b">
        <v>0</v>
      </c>
      <c r="Q72" s="6" t="b">
        <v>0</v>
      </c>
      <c r="R72" s="9" t="str">
        <f>IFERROR(HYPERLINK("#Main!A"&amp;MATCH(A72,Main!A:A,0),"Open"),HYPERLINK("#Main!A1","Open"))</f>
        <v>Open</v>
      </c>
      <c r="S72" s="9"/>
    </row>
    <row r="73" spans="1:19" ht="30" customHeight="1" x14ac:dyDescent="0.25">
      <c r="A73" s="58" t="s">
        <v>342</v>
      </c>
      <c r="B73" s="69">
        <v>0</v>
      </c>
      <c r="C73" s="11" t="s">
        <v>1190</v>
      </c>
      <c r="D73" s="11" t="s">
        <v>1191</v>
      </c>
      <c r="E73" s="11">
        <v>0</v>
      </c>
      <c r="F73" s="11">
        <v>0</v>
      </c>
      <c r="G73" s="11">
        <v>0</v>
      </c>
      <c r="H73" s="63" t="b">
        <v>0</v>
      </c>
      <c r="I73" s="63" t="b">
        <v>0</v>
      </c>
      <c r="J73" s="11" t="b">
        <v>0</v>
      </c>
      <c r="K73" s="11" t="b">
        <v>0</v>
      </c>
      <c r="L73" s="11" t="b">
        <v>0</v>
      </c>
      <c r="M73" s="11" t="b">
        <v>0</v>
      </c>
      <c r="N73" s="11" t="s">
        <v>93</v>
      </c>
      <c r="O73" s="11"/>
      <c r="P73" s="6" t="b">
        <v>0</v>
      </c>
      <c r="Q73" s="6" t="b">
        <v>0</v>
      </c>
      <c r="R73" t="str">
        <f>IFERROR(HYPERLINK("#Main!A"&amp;MATCH(A73,Main!A:A,0),"Open"),HYPERLINK("#Main!A1","Open"))</f>
        <v>Open</v>
      </c>
    </row>
    <row r="74" spans="1:19" ht="30" customHeight="1" x14ac:dyDescent="0.25">
      <c r="A74" s="59" t="s">
        <v>774</v>
      </c>
      <c r="B74" s="67">
        <v>0</v>
      </c>
      <c r="C74" s="8" t="s">
        <v>1190</v>
      </c>
      <c r="D74" s="8" t="s">
        <v>1191</v>
      </c>
      <c r="E74" s="8">
        <v>0</v>
      </c>
      <c r="F74" s="8">
        <v>0</v>
      </c>
      <c r="G74" s="8">
        <v>0</v>
      </c>
      <c r="H74" s="63" t="b">
        <v>0</v>
      </c>
      <c r="I74" s="63" t="b">
        <v>0</v>
      </c>
      <c r="J74" s="8" t="b">
        <v>0</v>
      </c>
      <c r="K74" s="8" t="b">
        <v>0</v>
      </c>
      <c r="L74" s="8" t="b">
        <v>0</v>
      </c>
      <c r="M74" s="8" t="b">
        <v>0</v>
      </c>
      <c r="N74" s="8" t="s">
        <v>93</v>
      </c>
      <c r="O74" s="8"/>
      <c r="P74" s="6" t="b">
        <v>0</v>
      </c>
      <c r="Q74" s="6" t="b">
        <v>0</v>
      </c>
      <c r="R74" s="9" t="str">
        <f>IFERROR(HYPERLINK("#Main!A"&amp;MATCH(A74,Main!A:A,0),"Open"),HYPERLINK("#Main!A1","Open"))</f>
        <v>Open</v>
      </c>
      <c r="S74" s="9"/>
    </row>
    <row r="75" spans="1:19" ht="30" customHeight="1" x14ac:dyDescent="0.25">
      <c r="A75" s="58" t="s">
        <v>750</v>
      </c>
      <c r="B75" s="69">
        <v>0</v>
      </c>
      <c r="C75" s="11" t="s">
        <v>1190</v>
      </c>
      <c r="D75" s="11" t="s">
        <v>1191</v>
      </c>
      <c r="E75" s="11">
        <v>0</v>
      </c>
      <c r="F75" s="11">
        <v>0</v>
      </c>
      <c r="G75" s="11">
        <v>0</v>
      </c>
      <c r="H75" s="63" t="b">
        <v>0</v>
      </c>
      <c r="I75" s="63" t="b">
        <v>0</v>
      </c>
      <c r="J75" s="11" t="b">
        <v>0</v>
      </c>
      <c r="K75" s="11" t="b">
        <v>0</v>
      </c>
      <c r="L75" s="11" t="b">
        <v>0</v>
      </c>
      <c r="M75" s="11" t="b">
        <v>0</v>
      </c>
      <c r="N75" s="11" t="s">
        <v>93</v>
      </c>
      <c r="O75" s="11"/>
      <c r="P75" s="6" t="b">
        <v>0</v>
      </c>
      <c r="Q75" s="6" t="b">
        <v>0</v>
      </c>
      <c r="R75" t="str">
        <f>IFERROR(HYPERLINK("#Main!A"&amp;MATCH(A75,Main!A:A,0),"Open"),HYPERLINK("#Main!A1","Open"))</f>
        <v>Open</v>
      </c>
    </row>
    <row r="76" spans="1:19" ht="30" customHeight="1" x14ac:dyDescent="0.25">
      <c r="A76" s="59" t="s">
        <v>465</v>
      </c>
      <c r="B76" s="67">
        <v>0</v>
      </c>
      <c r="C76" s="8" t="s">
        <v>1190</v>
      </c>
      <c r="D76" s="8" t="s">
        <v>1191</v>
      </c>
      <c r="E76" s="8">
        <v>0</v>
      </c>
      <c r="F76" s="8">
        <v>0</v>
      </c>
      <c r="G76" s="8">
        <v>0</v>
      </c>
      <c r="H76" s="63" t="b">
        <v>0</v>
      </c>
      <c r="I76" s="63" t="b">
        <v>0</v>
      </c>
      <c r="J76" s="8" t="b">
        <v>0</v>
      </c>
      <c r="K76" s="8" t="b">
        <v>0</v>
      </c>
      <c r="L76" s="8" t="b">
        <v>0</v>
      </c>
      <c r="M76" s="8" t="b">
        <v>0</v>
      </c>
      <c r="N76" s="8" t="s">
        <v>93</v>
      </c>
      <c r="O76" s="8"/>
      <c r="P76" s="6" t="b">
        <v>0</v>
      </c>
      <c r="Q76" s="6" t="b">
        <v>0</v>
      </c>
      <c r="R76" s="9" t="str">
        <f>IFERROR(HYPERLINK("#Main!A"&amp;MATCH(A76,Main!A:A,0),"Open"),HYPERLINK("#Main!A1","Open"))</f>
        <v>Open</v>
      </c>
      <c r="S76" s="9"/>
    </row>
    <row r="77" spans="1:19" ht="30" customHeight="1" x14ac:dyDescent="0.25">
      <c r="A77" s="58" t="s">
        <v>457</v>
      </c>
      <c r="B77" s="69">
        <v>0</v>
      </c>
      <c r="C77" s="11" t="s">
        <v>1190</v>
      </c>
      <c r="D77" s="11" t="s">
        <v>1191</v>
      </c>
      <c r="E77" s="11">
        <v>0</v>
      </c>
      <c r="F77" s="11">
        <v>0</v>
      </c>
      <c r="G77" s="11">
        <v>0</v>
      </c>
      <c r="H77" s="63" t="b">
        <v>0</v>
      </c>
      <c r="I77" s="63" t="b">
        <v>0</v>
      </c>
      <c r="J77" s="11" t="b">
        <v>0</v>
      </c>
      <c r="K77" s="11" t="b">
        <v>0</v>
      </c>
      <c r="L77" s="11" t="b">
        <v>0</v>
      </c>
      <c r="M77" s="11" t="b">
        <v>0</v>
      </c>
      <c r="N77" s="11" t="s">
        <v>93</v>
      </c>
      <c r="O77" s="11"/>
      <c r="P77" s="6" t="b">
        <v>0</v>
      </c>
      <c r="Q77" s="6" t="b">
        <v>0</v>
      </c>
      <c r="R77" t="str">
        <f>IFERROR(HYPERLINK("#Main!A"&amp;MATCH(A77,Main!A:A,0),"Open"),HYPERLINK("#Main!A1","Open"))</f>
        <v>Open</v>
      </c>
    </row>
    <row r="78" spans="1:19" ht="30" customHeight="1" x14ac:dyDescent="0.25">
      <c r="A78" s="59" t="s">
        <v>449</v>
      </c>
      <c r="B78" s="67">
        <v>0</v>
      </c>
      <c r="C78" s="8" t="s">
        <v>1190</v>
      </c>
      <c r="D78" s="8" t="s">
        <v>1191</v>
      </c>
      <c r="E78" s="8">
        <v>0</v>
      </c>
      <c r="F78" s="8">
        <v>0</v>
      </c>
      <c r="G78" s="8">
        <v>0</v>
      </c>
      <c r="H78" s="63" t="b">
        <v>0</v>
      </c>
      <c r="I78" s="63" t="b">
        <v>0</v>
      </c>
      <c r="J78" s="8" t="b">
        <v>0</v>
      </c>
      <c r="K78" s="8" t="b">
        <v>0</v>
      </c>
      <c r="L78" s="8" t="b">
        <v>0</v>
      </c>
      <c r="M78" s="8" t="b">
        <v>1</v>
      </c>
      <c r="N78" s="8" t="s">
        <v>93</v>
      </c>
      <c r="O78" s="8"/>
      <c r="P78" s="6" t="b">
        <v>0</v>
      </c>
      <c r="Q78" s="6" t="b">
        <v>0</v>
      </c>
      <c r="R78" s="9" t="str">
        <f>IFERROR(HYPERLINK("#Main!A"&amp;MATCH(A78,Main!A:A,0),"Open"),HYPERLINK("#Main!A1","Open"))</f>
        <v>Open</v>
      </c>
      <c r="S78" s="9"/>
    </row>
    <row r="79" spans="1:19" ht="30" customHeight="1" x14ac:dyDescent="0.25">
      <c r="A79" s="58" t="s">
        <v>444</v>
      </c>
      <c r="B79" s="69">
        <v>0</v>
      </c>
      <c r="C79" s="11" t="s">
        <v>1190</v>
      </c>
      <c r="D79" s="11" t="s">
        <v>1192</v>
      </c>
      <c r="E79" s="11">
        <v>0</v>
      </c>
      <c r="F79" s="11">
        <v>0</v>
      </c>
      <c r="G79" s="11">
        <v>0</v>
      </c>
      <c r="H79" s="63" t="b">
        <v>0</v>
      </c>
      <c r="I79" s="63" t="b">
        <v>0</v>
      </c>
      <c r="J79" s="11" t="b">
        <v>0</v>
      </c>
      <c r="K79" s="11" t="b">
        <v>0</v>
      </c>
      <c r="L79" s="11" t="b">
        <v>0</v>
      </c>
      <c r="M79" s="11" t="b">
        <v>0</v>
      </c>
      <c r="N79" s="11" t="s">
        <v>93</v>
      </c>
      <c r="O79" s="11"/>
      <c r="P79" s="6" t="b">
        <v>0</v>
      </c>
      <c r="Q79" s="49" t="b">
        <v>1</v>
      </c>
      <c r="R79" t="str">
        <f>IFERROR(HYPERLINK("#Main!A"&amp;MATCH(A79,Main!A:A,0),"Open"),HYPERLINK("#Main!A1","Open"))</f>
        <v>Open</v>
      </c>
    </row>
    <row r="80" spans="1:19" ht="30" customHeight="1" x14ac:dyDescent="0.25">
      <c r="A80" s="59" t="s">
        <v>330</v>
      </c>
      <c r="B80" s="67">
        <v>0</v>
      </c>
      <c r="C80" s="8" t="s">
        <v>1190</v>
      </c>
      <c r="D80" s="8" t="s">
        <v>1191</v>
      </c>
      <c r="E80" s="8">
        <v>0</v>
      </c>
      <c r="F80" s="8">
        <v>0</v>
      </c>
      <c r="G80" s="8">
        <v>0</v>
      </c>
      <c r="H80" s="63" t="b">
        <v>0</v>
      </c>
      <c r="I80" s="63" t="b">
        <v>0</v>
      </c>
      <c r="J80" s="8" t="b">
        <v>0</v>
      </c>
      <c r="K80" s="8" t="b">
        <v>0</v>
      </c>
      <c r="L80" s="8" t="b">
        <v>0</v>
      </c>
      <c r="M80" s="8" t="b">
        <v>0</v>
      </c>
      <c r="N80" s="8" t="s">
        <v>93</v>
      </c>
      <c r="O80" s="8"/>
      <c r="P80" s="6" t="b">
        <v>0</v>
      </c>
      <c r="Q80" s="6" t="b">
        <v>0</v>
      </c>
      <c r="R80" s="9" t="str">
        <f>IFERROR(HYPERLINK("#Main!A"&amp;MATCH(A80,Main!A:A,0),"Open"),HYPERLINK("#Main!A1","Open"))</f>
        <v>Open</v>
      </c>
      <c r="S80" s="9"/>
    </row>
    <row r="81" spans="1:19" ht="30" customHeight="1" x14ac:dyDescent="0.25">
      <c r="A81" s="58" t="s">
        <v>782</v>
      </c>
      <c r="B81" s="69">
        <v>0</v>
      </c>
      <c r="C81" s="11" t="s">
        <v>1190</v>
      </c>
      <c r="D81" s="11" t="s">
        <v>1191</v>
      </c>
      <c r="E81" s="11">
        <v>0</v>
      </c>
      <c r="F81" s="11">
        <v>0</v>
      </c>
      <c r="G81" s="11">
        <v>0</v>
      </c>
      <c r="H81" s="63" t="b">
        <v>0</v>
      </c>
      <c r="I81" s="63" t="b">
        <v>0</v>
      </c>
      <c r="J81" s="11" t="b">
        <v>0</v>
      </c>
      <c r="K81" s="11" t="b">
        <v>0</v>
      </c>
      <c r="L81" s="11" t="b">
        <v>0</v>
      </c>
      <c r="M81" s="11" t="b">
        <v>0</v>
      </c>
      <c r="N81" s="11" t="s">
        <v>93</v>
      </c>
      <c r="O81" s="11"/>
      <c r="P81" s="6" t="b">
        <v>0</v>
      </c>
      <c r="Q81" s="6" t="b">
        <v>0</v>
      </c>
      <c r="R81" t="str">
        <f>IFERROR(HYPERLINK("#Main!A"&amp;MATCH(A81,Main!A:A,0),"Open"),HYPERLINK("#Main!A1","Open"))</f>
        <v>Open</v>
      </c>
    </row>
    <row r="82" spans="1:19" ht="30" customHeight="1" x14ac:dyDescent="0.25">
      <c r="A82" s="59" t="s">
        <v>720</v>
      </c>
      <c r="B82" s="67">
        <v>0</v>
      </c>
      <c r="C82" s="8" t="s">
        <v>1190</v>
      </c>
      <c r="D82" s="8" t="s">
        <v>1191</v>
      </c>
      <c r="E82" s="8">
        <v>0</v>
      </c>
      <c r="F82" s="8">
        <v>0</v>
      </c>
      <c r="G82" s="8">
        <v>0</v>
      </c>
      <c r="H82" s="63" t="b">
        <v>0</v>
      </c>
      <c r="I82" s="63" t="b">
        <v>0</v>
      </c>
      <c r="J82" s="8" t="b">
        <v>0</v>
      </c>
      <c r="K82" s="8" t="b">
        <v>0</v>
      </c>
      <c r="L82" s="8" t="b">
        <v>0</v>
      </c>
      <c r="M82" s="8" t="b">
        <v>0</v>
      </c>
      <c r="N82" s="8" t="s">
        <v>93</v>
      </c>
      <c r="O82" s="8"/>
      <c r="P82" s="6" t="b">
        <v>0</v>
      </c>
      <c r="Q82" s="6" t="b">
        <v>0</v>
      </c>
      <c r="R82" s="9" t="str">
        <f>IFERROR(HYPERLINK("#Main!A"&amp;MATCH(A82,Main!A:A,0),"Open"),HYPERLINK("#Main!A1","Open"))</f>
        <v>Open</v>
      </c>
      <c r="S82" s="9"/>
    </row>
    <row r="83" spans="1:19" ht="30" customHeight="1" x14ac:dyDescent="0.25">
      <c r="A83" s="58" t="s">
        <v>635</v>
      </c>
      <c r="B83" s="69">
        <v>0</v>
      </c>
      <c r="C83" s="11" t="s">
        <v>1190</v>
      </c>
      <c r="D83" s="11" t="s">
        <v>1191</v>
      </c>
      <c r="E83" s="11">
        <v>0</v>
      </c>
      <c r="F83" s="11">
        <v>0</v>
      </c>
      <c r="G83" s="11">
        <v>0</v>
      </c>
      <c r="H83" s="63" t="b">
        <v>0</v>
      </c>
      <c r="I83" s="63" t="b">
        <v>0</v>
      </c>
      <c r="J83" s="11" t="b">
        <v>0</v>
      </c>
      <c r="K83" s="11" t="b">
        <v>0</v>
      </c>
      <c r="L83" s="11" t="b">
        <v>0</v>
      </c>
      <c r="M83" s="11" t="b">
        <v>0</v>
      </c>
      <c r="N83" s="11" t="s">
        <v>93</v>
      </c>
      <c r="O83" s="11"/>
      <c r="P83" s="6" t="b">
        <v>0</v>
      </c>
      <c r="Q83" s="6" t="b">
        <v>0</v>
      </c>
      <c r="R83" t="str">
        <f>IFERROR(HYPERLINK("#Main!A"&amp;MATCH(A83,Main!A:A,0),"Open"),HYPERLINK("#Main!A1","Open"))</f>
        <v>Open</v>
      </c>
    </row>
    <row r="84" spans="1:19" ht="30" customHeight="1" x14ac:dyDescent="0.25">
      <c r="A84" s="59" t="s">
        <v>180</v>
      </c>
      <c r="B84" s="67">
        <v>0</v>
      </c>
      <c r="C84" s="8" t="s">
        <v>1190</v>
      </c>
      <c r="D84" s="8" t="s">
        <v>1191</v>
      </c>
      <c r="E84" s="8">
        <v>0</v>
      </c>
      <c r="F84" s="8">
        <v>0</v>
      </c>
      <c r="G84" s="8">
        <v>0</v>
      </c>
      <c r="H84" s="63" t="b">
        <v>0</v>
      </c>
      <c r="I84" s="63" t="b">
        <v>0</v>
      </c>
      <c r="J84" s="8" t="b">
        <v>0</v>
      </c>
      <c r="K84" s="8" t="b">
        <v>0</v>
      </c>
      <c r="L84" s="8" t="b">
        <v>0</v>
      </c>
      <c r="M84" s="8" t="b">
        <v>0</v>
      </c>
      <c r="N84" s="8" t="s">
        <v>93</v>
      </c>
      <c r="O84" s="8"/>
      <c r="P84" s="6" t="b">
        <v>0</v>
      </c>
      <c r="Q84" s="6" t="b">
        <v>0</v>
      </c>
      <c r="R84" s="9" t="str">
        <f>IFERROR(HYPERLINK("#Main!A"&amp;MATCH(A84,Main!A:A,0),"Open"),HYPERLINK("#Main!A1","Open"))</f>
        <v>Open</v>
      </c>
      <c r="S84" s="9"/>
    </row>
    <row r="85" spans="1:19" ht="30" customHeight="1" x14ac:dyDescent="0.25">
      <c r="A85" s="58" t="s">
        <v>698</v>
      </c>
      <c r="B85" s="69">
        <v>0</v>
      </c>
      <c r="C85" s="11" t="s">
        <v>1190</v>
      </c>
      <c r="D85" s="11" t="s">
        <v>1191</v>
      </c>
      <c r="E85" s="11">
        <v>0</v>
      </c>
      <c r="F85" s="11">
        <v>0</v>
      </c>
      <c r="G85" s="11">
        <v>0</v>
      </c>
      <c r="H85" s="63" t="b">
        <v>0</v>
      </c>
      <c r="I85" s="63" t="b">
        <v>0</v>
      </c>
      <c r="J85" s="11" t="b">
        <v>0</v>
      </c>
      <c r="K85" s="11" t="b">
        <v>0</v>
      </c>
      <c r="L85" s="11" t="b">
        <v>0</v>
      </c>
      <c r="M85" s="11" t="b">
        <v>0</v>
      </c>
      <c r="N85" s="11" t="s">
        <v>93</v>
      </c>
      <c r="O85" s="11"/>
      <c r="P85" s="6" t="b">
        <v>0</v>
      </c>
      <c r="Q85" s="6" t="b">
        <v>0</v>
      </c>
      <c r="R85" t="str">
        <f>IFERROR(HYPERLINK("#Main!A"&amp;MATCH(A85,Main!A:A,0),"Open"),HYPERLINK("#Main!A1","Open"))</f>
        <v>Open</v>
      </c>
    </row>
    <row r="86" spans="1:19" ht="30" customHeight="1" x14ac:dyDescent="0.25">
      <c r="A86" s="59" t="s">
        <v>666</v>
      </c>
      <c r="B86" s="67">
        <v>0</v>
      </c>
      <c r="C86" s="8" t="s">
        <v>1190</v>
      </c>
      <c r="D86" s="8" t="s">
        <v>1191</v>
      </c>
      <c r="E86" s="8">
        <v>0</v>
      </c>
      <c r="F86" s="8">
        <v>0</v>
      </c>
      <c r="G86" s="8">
        <v>0</v>
      </c>
      <c r="H86" s="63" t="b">
        <v>0</v>
      </c>
      <c r="I86" s="63" t="b">
        <v>0</v>
      </c>
      <c r="J86" s="8" t="b">
        <v>0</v>
      </c>
      <c r="K86" s="8" t="b">
        <v>0</v>
      </c>
      <c r="L86" s="8" t="b">
        <v>0</v>
      </c>
      <c r="M86" s="8" t="b">
        <v>0</v>
      </c>
      <c r="N86" s="8" t="s">
        <v>93</v>
      </c>
      <c r="O86" s="8"/>
      <c r="P86" s="6" t="b">
        <v>0</v>
      </c>
      <c r="Q86" s="6" t="b">
        <v>0</v>
      </c>
      <c r="R86" s="9" t="str">
        <f>IFERROR(HYPERLINK("#Main!A"&amp;MATCH(A86,Main!A:A,0),"Open"),HYPERLINK("#Main!A1","Open"))</f>
        <v>Open</v>
      </c>
      <c r="S86" s="9"/>
    </row>
  </sheetData>
  <autoFilter ref="A1:S86" xr:uid="{00000000-0009-0000-0000-000007000000}"/>
  <conditionalFormatting sqref="B2:B86">
    <cfRule type="colorScale" priority="1">
      <colorScale>
        <cfvo type="min"/>
        <cfvo type="percentile" val="50"/>
        <cfvo type="max"/>
        <color rgb="FFF8696B"/>
        <color rgb="FFFFEB84"/>
        <color rgb="FF63BE7B"/>
      </colorScale>
    </cfRule>
  </conditionalFormatting>
  <conditionalFormatting sqref="G2:G86">
    <cfRule type="cellIs" dxfId="26" priority="2" operator="equal">
      <formula>0</formula>
    </cfRule>
    <cfRule type="cellIs" dxfId="25" priority="3" operator="between">
      <formula>1</formula>
      <formula>2</formula>
    </cfRule>
    <cfRule type="cellIs" dxfId="24" priority="4" operator="greaterThanOrEqual">
      <formula>3</formula>
    </cfRule>
  </conditionalFormatting>
  <dataValidations count="20">
    <dataValidation type="custom" allowBlank="1" showInputMessage="1" promptTitle="URL" prompt="URL. Use this URL to inspect the page directly or jump to related tabs." sqref="A1" xr:uid="{00000000-0002-0000-0700-000000000000}">
      <formula1>TRUE</formula1>
    </dataValidation>
    <dataValidation type="custom" allowBlank="1" showInputMessage="1" promptTitle="AEO Readiness Score" prompt="AEO Readiness Score. Review this metric to identify risk, then use linked tabs for details and remediation." sqref="B1" xr:uid="{00000000-0002-0000-0700-000001000000}">
      <formula1>TRUE</formula1>
    </dataValidation>
    <dataValidation type="custom" allowBlank="1" showInputMessage="1" promptTitle="AEO Badge" prompt="AEO Badge. Review this metric to identify risk, then use linked tabs for details and remediation." sqref="C1" xr:uid="{00000000-0002-0000-0700-000002000000}">
      <formula1>TRUE</formula1>
    </dataValidation>
    <dataValidation type="custom" allowBlank="1" showInputMessage="1" promptTitle="Why It Matters" prompt="Why It Matters. Review this metric to identify risk, then use linked tabs for details and remediation." sqref="D1" xr:uid="{00000000-0002-0000-0700-000003000000}">
      <formula1>TRUE</formula1>
    </dataValidation>
    <dataValidation type="custom" allowBlank="1" showInputMessage="1" promptTitle="FAQ Section Count" prompt="Summary grouping/navigation field. Use with hyperlinks to jump into detailed tabs." sqref="E1" xr:uid="{00000000-0002-0000-0700-000004000000}">
      <formula1>TRUE</formula1>
    </dataValidation>
    <dataValidation type="custom" allowBlank="1" showInputMessage="1" promptTitle="Question Heading Count" prompt="Question Heading Count. Review this metric to identify risk, then use linked tabs for details and remediation." sqref="F1" xr:uid="{00000000-0002-0000-0700-000005000000}">
      <formula1>TRUE</formula1>
    </dataValidation>
    <dataValidation type="custom" allowBlank="1" showInputMessage="1" promptTitle="Paragraphs 40-60 Words Count" prompt="Paragraphs 40-60 Words Count. Review this metric to identify risk, then use linked tabs for details and remediation." sqref="G1" xr:uid="{00000000-0002-0000-0700-000006000000}">
      <formula1>TRUE</formula1>
    </dataValidation>
    <dataValidation type="custom" allowBlank="1" showInputMessage="1" promptTitle="QAPage/FAQ Schema Present" prompt="Structured data signal. Fix: add valid schema types and correct parsing/validation errors." sqref="H1" xr:uid="{00000000-0002-0000-0700-000007000000}">
      <formula1>TRUE</formula1>
    </dataValidation>
    <dataValidation type="custom" allowBlank="1" showInputMessage="1" promptTitle="Speakable Schema Present" prompt="Structured data signal. Fix: add valid schema types and correct parsing/validation errors." sqref="I1" xr:uid="{00000000-0002-0000-0700-000008000000}">
      <formula1>TRUE</formula1>
    </dataValidation>
    <dataValidation type="custom" allowBlank="1" showInputMessage="1" promptTitle="HowTo Signal" prompt="HowTo Signal. Review this metric to identify risk, then use linked tabs for details and remediation." sqref="J1" xr:uid="{00000000-0002-0000-0700-000009000000}">
      <formula1>TRUE</formula1>
    </dataValidation>
    <dataValidation type="custom" allowBlank="1" showInputMessage="1" promptTitle="Definition Signal" prompt="Definition Signal. Review this metric to identify risk, then use linked tabs for details and remediation." sqref="K1" xr:uid="{00000000-0002-0000-0700-00000A000000}">
      <formula1>TRUE</formula1>
    </dataValidation>
    <dataValidation type="custom" allowBlank="1" showInputMessage="1" promptTitle="List/Table Answer Signal" prompt="List/Table Answer Signal. Review this metric to identify risk, then use linked tabs for details and remediation." sqref="L1" xr:uid="{00000000-0002-0000-0700-00000B000000}">
      <formula1>TRUE</formula1>
    </dataValidation>
    <dataValidation type="custom" allowBlank="1" showInputMessage="1" promptTitle="Answer Block Detected (First 60 " prompt="Answer Block Detected (First 60 Words). Review this metric to identify risk, then use linked tabs for details and remediation." sqref="M1" xr:uid="{00000000-0002-0000-0700-00000C000000}">
      <formula1>TRUE</formula1>
    </dataValidation>
    <dataValidation type="custom" allowBlank="1" showInputMessage="1" promptTitle="AEO Extractability Score" prompt="AEO Extractability Score. Review this metric to identify risk, then use linked tabs for details and remediation." sqref="N1" xr:uid="{00000000-0002-0000-0700-00000D000000}">
      <formula1>TRUE</formula1>
    </dataValidation>
    <dataValidation type="custom" allowBlank="1" showInputMessage="1" promptTitle="Snippet Preview Mockup" prompt="Snippet Preview Mockup. Review this metric to identify risk, then use linked tabs for details and remediation." sqref="O1" xr:uid="{00000000-0002-0000-0700-00000E000000}">
      <formula1>TRUE</formula1>
    </dataValidation>
    <dataValidation type="custom" allowBlank="1" showInputMessage="1" promptTitle="Title Missing" prompt="Title Missing. Review this metric to identify risk, then use linked tabs for details and remediation." sqref="P1" xr:uid="{00000000-0002-0000-0700-00000F000000}">
      <formula1>TRUE</formula1>
    </dataValidation>
    <dataValidation type="custom" allowBlank="1" showInputMessage="1" promptTitle="Meta Description Missing" prompt="Meta Description Missing. Review this metric to identify risk, then use linked tabs for details and remediation." sqref="Q1" xr:uid="{00000000-0002-0000-0700-000010000000}">
      <formula1>TRUE</formula1>
    </dataValidation>
    <dataValidation type="custom" allowBlank="1" showInputMessage="1" promptTitle="Open in Main" prompt="Navigation helper. Click to jump directly to the related record in another tab." sqref="R1" xr:uid="{00000000-0002-0000-0700-000011000000}">
      <formula1>TRUE</formula1>
    </dataValidation>
    <dataValidation type="custom" allowBlank="1" showInputMessage="1" promptTitle="BACK TO DASHBOARD" prompt="BACK TO DASHBOARD. Review this metric to identify risk, then use linked tabs for details and remediation." sqref="S1" xr:uid="{00000000-0002-0000-0700-000012000000}">
      <formula1>TRUE</formula1>
    </dataValidation>
    <dataValidation type="custom" allowBlank="1" showInputMessage="1" promptTitle="AEO Readiness Score" prompt="Composite Answer Engine Optimization quality score. Fix: Add concise answer sections, FAQ schema, and clear question headings." sqref="B1" xr:uid="{00000000-0002-0000-0700-000013000000}">
      <formula1>TRUE</formula1>
    </dataValidation>
  </dataValidations>
  <hyperlinks>
    <hyperlink ref="S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 ref="A12" r:id="rId11" xr:uid="{00000000-0004-0000-0700-00000B000000}"/>
    <hyperlink ref="A13" r:id="rId12" xr:uid="{00000000-0004-0000-0700-00000C000000}"/>
    <hyperlink ref="A14" r:id="rId13" xr:uid="{00000000-0004-0000-0700-00000D000000}"/>
    <hyperlink ref="A15" r:id="rId14" xr:uid="{00000000-0004-0000-0700-00000E000000}"/>
    <hyperlink ref="A16" r:id="rId15" xr:uid="{00000000-0004-0000-0700-00000F000000}"/>
    <hyperlink ref="A17" r:id="rId16" xr:uid="{00000000-0004-0000-0700-000010000000}"/>
    <hyperlink ref="A18" r:id="rId17" xr:uid="{00000000-0004-0000-0700-000011000000}"/>
    <hyperlink ref="A19" r:id="rId18" xr:uid="{00000000-0004-0000-0700-000012000000}"/>
    <hyperlink ref="A20" r:id="rId19" xr:uid="{00000000-0004-0000-0700-000013000000}"/>
    <hyperlink ref="A21" r:id="rId20" xr:uid="{00000000-0004-0000-0700-000014000000}"/>
    <hyperlink ref="A22" r:id="rId21" xr:uid="{00000000-0004-0000-0700-000015000000}"/>
    <hyperlink ref="A23" r:id="rId22" xr:uid="{00000000-0004-0000-0700-000016000000}"/>
    <hyperlink ref="A24" r:id="rId23" xr:uid="{00000000-0004-0000-0700-000017000000}"/>
    <hyperlink ref="A25" r:id="rId24" xr:uid="{00000000-0004-0000-0700-000018000000}"/>
    <hyperlink ref="A26" r:id="rId25" xr:uid="{00000000-0004-0000-0700-000019000000}"/>
    <hyperlink ref="A27" r:id="rId26" xr:uid="{00000000-0004-0000-0700-00001A000000}"/>
    <hyperlink ref="A28" r:id="rId27" xr:uid="{00000000-0004-0000-0700-00001B000000}"/>
    <hyperlink ref="A29" r:id="rId28" xr:uid="{00000000-0004-0000-0700-00001C000000}"/>
    <hyperlink ref="A30" r:id="rId29" xr:uid="{00000000-0004-0000-0700-00001D000000}"/>
    <hyperlink ref="A31" r:id="rId30" xr:uid="{00000000-0004-0000-0700-00001E000000}"/>
    <hyperlink ref="A32" r:id="rId31" xr:uid="{00000000-0004-0000-0700-00001F000000}"/>
    <hyperlink ref="A33" r:id="rId32" xr:uid="{00000000-0004-0000-0700-000020000000}"/>
    <hyperlink ref="A34" r:id="rId33" xr:uid="{00000000-0004-0000-0700-000021000000}"/>
    <hyperlink ref="A35" r:id="rId34" xr:uid="{00000000-0004-0000-0700-000022000000}"/>
    <hyperlink ref="A36" r:id="rId35" xr:uid="{00000000-0004-0000-0700-000023000000}"/>
    <hyperlink ref="A37" r:id="rId36" xr:uid="{00000000-0004-0000-0700-000024000000}"/>
    <hyperlink ref="A38" r:id="rId37" xr:uid="{00000000-0004-0000-0700-000025000000}"/>
    <hyperlink ref="A39" r:id="rId38" xr:uid="{00000000-0004-0000-0700-000026000000}"/>
    <hyperlink ref="A40" r:id="rId39" xr:uid="{00000000-0004-0000-0700-000027000000}"/>
    <hyperlink ref="A41" r:id="rId40" xr:uid="{00000000-0004-0000-0700-000028000000}"/>
    <hyperlink ref="A42" r:id="rId41" xr:uid="{00000000-0004-0000-0700-000029000000}"/>
    <hyperlink ref="A43" r:id="rId42" xr:uid="{00000000-0004-0000-0700-00002A000000}"/>
    <hyperlink ref="A44" r:id="rId43" xr:uid="{00000000-0004-0000-0700-00002B000000}"/>
    <hyperlink ref="A45" r:id="rId44" xr:uid="{00000000-0004-0000-0700-00002C000000}"/>
    <hyperlink ref="A46" r:id="rId45" xr:uid="{00000000-0004-0000-0700-00002D000000}"/>
    <hyperlink ref="A47" r:id="rId46" xr:uid="{00000000-0004-0000-0700-00002E000000}"/>
    <hyperlink ref="A48" r:id="rId47" xr:uid="{00000000-0004-0000-0700-00002F000000}"/>
    <hyperlink ref="A49" r:id="rId48" xr:uid="{00000000-0004-0000-0700-000030000000}"/>
    <hyperlink ref="A50" r:id="rId49" xr:uid="{00000000-0004-0000-0700-000031000000}"/>
    <hyperlink ref="A51" r:id="rId50" xr:uid="{00000000-0004-0000-0700-000032000000}"/>
    <hyperlink ref="A52" r:id="rId51" xr:uid="{00000000-0004-0000-0700-000033000000}"/>
    <hyperlink ref="A53" r:id="rId52" xr:uid="{00000000-0004-0000-0700-000034000000}"/>
    <hyperlink ref="A54" r:id="rId53" xr:uid="{00000000-0004-0000-0700-000035000000}"/>
    <hyperlink ref="A55" r:id="rId54" xr:uid="{00000000-0004-0000-0700-000036000000}"/>
    <hyperlink ref="A56" r:id="rId55" xr:uid="{00000000-0004-0000-0700-000037000000}"/>
    <hyperlink ref="A57" r:id="rId56" xr:uid="{00000000-0004-0000-0700-000038000000}"/>
    <hyperlink ref="A58" r:id="rId57" xr:uid="{00000000-0004-0000-0700-000039000000}"/>
    <hyperlink ref="A59" r:id="rId58" xr:uid="{00000000-0004-0000-0700-00003A000000}"/>
    <hyperlink ref="A60" r:id="rId59" xr:uid="{00000000-0004-0000-0700-00003B000000}"/>
    <hyperlink ref="A61" r:id="rId60" xr:uid="{00000000-0004-0000-0700-00003C000000}"/>
    <hyperlink ref="A62" r:id="rId61" xr:uid="{00000000-0004-0000-0700-00003D000000}"/>
    <hyperlink ref="A63" r:id="rId62" xr:uid="{00000000-0004-0000-0700-00003E000000}"/>
    <hyperlink ref="A64" r:id="rId63" xr:uid="{00000000-0004-0000-0700-00003F000000}"/>
    <hyperlink ref="A65" r:id="rId64" xr:uid="{00000000-0004-0000-0700-000040000000}"/>
    <hyperlink ref="A66" r:id="rId65" xr:uid="{00000000-0004-0000-0700-000041000000}"/>
    <hyperlink ref="A67" r:id="rId66" xr:uid="{00000000-0004-0000-0700-000042000000}"/>
    <hyperlink ref="A68" r:id="rId67" xr:uid="{00000000-0004-0000-0700-000043000000}"/>
    <hyperlink ref="A69" r:id="rId68" xr:uid="{00000000-0004-0000-0700-000044000000}"/>
    <hyperlink ref="A70" r:id="rId69" xr:uid="{00000000-0004-0000-0700-000045000000}"/>
    <hyperlink ref="A71" r:id="rId70" xr:uid="{00000000-0004-0000-0700-000046000000}"/>
    <hyperlink ref="A72" r:id="rId71" xr:uid="{00000000-0004-0000-0700-000047000000}"/>
    <hyperlink ref="A73" r:id="rId72" xr:uid="{00000000-0004-0000-0700-000048000000}"/>
    <hyperlink ref="A74" r:id="rId73" xr:uid="{00000000-0004-0000-0700-000049000000}"/>
    <hyperlink ref="A75" r:id="rId74" xr:uid="{00000000-0004-0000-0700-00004A000000}"/>
    <hyperlink ref="A76" r:id="rId75" xr:uid="{00000000-0004-0000-0700-00004B000000}"/>
    <hyperlink ref="A77" r:id="rId76" xr:uid="{00000000-0004-0000-0700-00004C000000}"/>
    <hyperlink ref="A78" r:id="rId77" xr:uid="{00000000-0004-0000-0700-00004D000000}"/>
    <hyperlink ref="A79" r:id="rId78" xr:uid="{00000000-0004-0000-0700-00004E000000}"/>
    <hyperlink ref="A80" r:id="rId79" xr:uid="{00000000-0004-0000-0700-00004F000000}"/>
    <hyperlink ref="A81" r:id="rId80" xr:uid="{00000000-0004-0000-0700-000050000000}"/>
    <hyperlink ref="A82" r:id="rId81" xr:uid="{00000000-0004-0000-0700-000051000000}"/>
    <hyperlink ref="A83" r:id="rId82" xr:uid="{00000000-0004-0000-0700-000052000000}"/>
    <hyperlink ref="A84" r:id="rId83" xr:uid="{00000000-0004-0000-0700-000053000000}"/>
    <hyperlink ref="A85" r:id="rId84" xr:uid="{00000000-0004-0000-0700-000054000000}"/>
    <hyperlink ref="A86" r:id="rId85" xr:uid="{00000000-0004-0000-0700-000055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86"/>
  <sheetViews>
    <sheetView workbookViewId="0">
      <pane ySplit="1" topLeftCell="A2" activePane="bottomLeft" state="frozen"/>
      <selection pane="bottomLeft"/>
    </sheetView>
  </sheetViews>
  <sheetFormatPr defaultRowHeight="15" x14ac:dyDescent="0.25"/>
  <cols>
    <col min="1" max="1" width="45" customWidth="1"/>
    <col min="2" max="3" width="20" customWidth="1"/>
    <col min="4" max="4" width="21" customWidth="1"/>
    <col min="5" max="5" width="10" customWidth="1"/>
    <col min="6" max="6" width="16" customWidth="1"/>
    <col min="7" max="7" width="10" customWidth="1"/>
    <col min="8" max="8" width="21" customWidth="1"/>
    <col min="9" max="9" width="19" customWidth="1"/>
  </cols>
  <sheetData>
    <row r="1" spans="1:11" ht="45" x14ac:dyDescent="0.25">
      <c r="A1" s="5" t="s">
        <v>118</v>
      </c>
      <c r="B1" s="5" t="s">
        <v>1193</v>
      </c>
      <c r="C1" s="5" t="s">
        <v>1194</v>
      </c>
      <c r="D1" s="5" t="s">
        <v>1195</v>
      </c>
      <c r="E1" s="5" t="s">
        <v>1196</v>
      </c>
      <c r="F1" s="5" t="s">
        <v>1197</v>
      </c>
      <c r="G1" s="5" t="s">
        <v>1198</v>
      </c>
      <c r="H1" s="5" t="s">
        <v>1199</v>
      </c>
      <c r="I1" s="5" t="s">
        <v>1200</v>
      </c>
      <c r="J1" s="5" t="s">
        <v>135</v>
      </c>
      <c r="K1" s="39" t="s">
        <v>136</v>
      </c>
    </row>
    <row r="2" spans="1:11" ht="30" customHeight="1" x14ac:dyDescent="0.25">
      <c r="A2" s="59" t="s">
        <v>682</v>
      </c>
      <c r="B2" s="8"/>
      <c r="C2" s="8">
        <v>0</v>
      </c>
      <c r="D2" s="8">
        <v>0</v>
      </c>
      <c r="E2" s="8"/>
      <c r="F2" s="8"/>
      <c r="G2" s="8"/>
      <c r="H2" s="63" t="b">
        <v>0</v>
      </c>
      <c r="I2" s="8"/>
      <c r="J2" s="9" t="str">
        <f>IFERROR(HYPERLINK("#Main!A"&amp;MATCH(A2,Main!A:A,0),"Open"),HYPERLINK("#Main!A1","Open"))</f>
        <v>Open</v>
      </c>
      <c r="K2" s="9"/>
    </row>
    <row r="3" spans="1:11" ht="15.75" x14ac:dyDescent="0.25">
      <c r="A3" s="58" t="s">
        <v>140</v>
      </c>
      <c r="B3" s="11"/>
      <c r="C3" s="11">
        <v>0</v>
      </c>
      <c r="D3" s="11">
        <v>0</v>
      </c>
      <c r="E3" s="11"/>
      <c r="F3" s="11"/>
      <c r="G3" s="11"/>
      <c r="H3" s="63" t="b">
        <v>0</v>
      </c>
      <c r="I3" s="11"/>
      <c r="J3" t="str">
        <f>IFERROR(HYPERLINK("#Main!A"&amp;MATCH(A3,Main!A:A,0),"Open"),HYPERLINK("#Main!A1","Open"))</f>
        <v>Open</v>
      </c>
    </row>
    <row r="4" spans="1:11" ht="30" customHeight="1" x14ac:dyDescent="0.25">
      <c r="A4" s="59" t="s">
        <v>674</v>
      </c>
      <c r="B4" s="8"/>
      <c r="C4" s="8">
        <v>0</v>
      </c>
      <c r="D4" s="8">
        <v>0</v>
      </c>
      <c r="E4" s="8"/>
      <c r="F4" s="8"/>
      <c r="G4" s="8"/>
      <c r="H4" s="63" t="b">
        <v>0</v>
      </c>
      <c r="I4" s="8"/>
      <c r="J4" s="9" t="str">
        <f>IFERROR(HYPERLINK("#Main!A"&amp;MATCH(A4,Main!A:A,0),"Open"),HYPERLINK("#Main!A1","Open"))</f>
        <v>Open</v>
      </c>
      <c r="K4" s="9"/>
    </row>
    <row r="5" spans="1:11" ht="30" customHeight="1" x14ac:dyDescent="0.25">
      <c r="A5" s="58" t="s">
        <v>642</v>
      </c>
      <c r="B5" s="11"/>
      <c r="C5" s="11">
        <v>0</v>
      </c>
      <c r="D5" s="11">
        <v>0</v>
      </c>
      <c r="E5" s="11"/>
      <c r="F5" s="11"/>
      <c r="G5" s="11"/>
      <c r="H5" s="63" t="b">
        <v>0</v>
      </c>
      <c r="I5" s="11"/>
      <c r="J5" t="str">
        <f>IFERROR(HYPERLINK("#Main!A"&amp;MATCH(A5,Main!A:A,0),"Open"),HYPERLINK("#Main!A1","Open"))</f>
        <v>Open</v>
      </c>
    </row>
    <row r="6" spans="1:11" ht="30" customHeight="1" x14ac:dyDescent="0.25">
      <c r="A6" s="59" t="s">
        <v>322</v>
      </c>
      <c r="B6" s="8"/>
      <c r="C6" s="8">
        <v>0</v>
      </c>
      <c r="D6" s="8">
        <v>0</v>
      </c>
      <c r="E6" s="8"/>
      <c r="F6" s="8"/>
      <c r="G6" s="8"/>
      <c r="H6" s="63" t="b">
        <v>0</v>
      </c>
      <c r="I6" s="8"/>
      <c r="J6" s="9" t="str">
        <f>IFERROR(HYPERLINK("#Main!A"&amp;MATCH(A6,Main!A:A,0),"Open"),HYPERLINK("#Main!A1","Open"))</f>
        <v>Open</v>
      </c>
      <c r="K6" s="9"/>
    </row>
    <row r="7" spans="1:11" ht="30" customHeight="1" x14ac:dyDescent="0.25">
      <c r="A7" s="58" t="s">
        <v>519</v>
      </c>
      <c r="B7" s="11"/>
      <c r="C7" s="11">
        <v>0</v>
      </c>
      <c r="D7" s="11">
        <v>0</v>
      </c>
      <c r="E7" s="11"/>
      <c r="F7" s="11"/>
      <c r="G7" s="11"/>
      <c r="H7" s="63" t="b">
        <v>0</v>
      </c>
      <c r="I7" s="11"/>
      <c r="J7" t="str">
        <f>IFERROR(HYPERLINK("#Main!A"&amp;MATCH(A7,Main!A:A,0),"Open"),HYPERLINK("#Main!A1","Open"))</f>
        <v>Open</v>
      </c>
    </row>
    <row r="8" spans="1:11" ht="30" customHeight="1" x14ac:dyDescent="0.25">
      <c r="A8" s="59" t="s">
        <v>551</v>
      </c>
      <c r="B8" s="8"/>
      <c r="C8" s="8">
        <v>0</v>
      </c>
      <c r="D8" s="8">
        <v>0</v>
      </c>
      <c r="E8" s="8"/>
      <c r="F8" s="8"/>
      <c r="G8" s="8"/>
      <c r="H8" s="63" t="b">
        <v>0</v>
      </c>
      <c r="I8" s="8"/>
      <c r="J8" s="9" t="str">
        <f>IFERROR(HYPERLINK("#Main!A"&amp;MATCH(A8,Main!A:A,0),"Open"),HYPERLINK("#Main!A1","Open"))</f>
        <v>Open</v>
      </c>
      <c r="K8" s="9"/>
    </row>
    <row r="9" spans="1:11" ht="30" customHeight="1" x14ac:dyDescent="0.25">
      <c r="A9" s="58" t="s">
        <v>606</v>
      </c>
      <c r="B9" s="11"/>
      <c r="C9" s="11">
        <v>0</v>
      </c>
      <c r="D9" s="11">
        <v>0</v>
      </c>
      <c r="E9" s="11"/>
      <c r="F9" s="11"/>
      <c r="G9" s="11"/>
      <c r="H9" s="63" t="b">
        <v>0</v>
      </c>
      <c r="I9" s="11"/>
      <c r="J9" t="str">
        <f>IFERROR(HYPERLINK("#Main!A"&amp;MATCH(A9,Main!A:A,0),"Open"),HYPERLINK("#Main!A1","Open"))</f>
        <v>Open</v>
      </c>
    </row>
    <row r="10" spans="1:11" ht="30" customHeight="1" x14ac:dyDescent="0.25">
      <c r="A10" s="59" t="s">
        <v>512</v>
      </c>
      <c r="B10" s="8"/>
      <c r="C10" s="8">
        <v>0</v>
      </c>
      <c r="D10" s="8">
        <v>0</v>
      </c>
      <c r="E10" s="8"/>
      <c r="F10" s="8"/>
      <c r="G10" s="8"/>
      <c r="H10" s="63" t="b">
        <v>0</v>
      </c>
      <c r="I10" s="8"/>
      <c r="J10" s="9" t="str">
        <f>IFERROR(HYPERLINK("#Main!A"&amp;MATCH(A10,Main!A:A,0),"Open"),HYPERLINK("#Main!A1","Open"))</f>
        <v>Open</v>
      </c>
      <c r="K10" s="9"/>
    </row>
    <row r="11" spans="1:11" ht="30" customHeight="1" x14ac:dyDescent="0.25">
      <c r="A11" s="58" t="s">
        <v>582</v>
      </c>
      <c r="B11" s="11"/>
      <c r="C11" s="11">
        <v>0</v>
      </c>
      <c r="D11" s="11">
        <v>0</v>
      </c>
      <c r="E11" s="11"/>
      <c r="F11" s="11"/>
      <c r="G11" s="11"/>
      <c r="H11" s="63" t="b">
        <v>0</v>
      </c>
      <c r="I11" s="11"/>
      <c r="J11" t="str">
        <f>IFERROR(HYPERLINK("#Main!A"&amp;MATCH(A11,Main!A:A,0),"Open"),HYPERLINK("#Main!A1","Open"))</f>
        <v>Open</v>
      </c>
    </row>
    <row r="12" spans="1:11" ht="30" customHeight="1" x14ac:dyDescent="0.25">
      <c r="A12" s="59" t="s">
        <v>658</v>
      </c>
      <c r="B12" s="8"/>
      <c r="C12" s="8">
        <v>0</v>
      </c>
      <c r="D12" s="8">
        <v>0</v>
      </c>
      <c r="E12" s="8"/>
      <c r="F12" s="8"/>
      <c r="G12" s="8"/>
      <c r="H12" s="63" t="b">
        <v>0</v>
      </c>
      <c r="I12" s="8"/>
      <c r="J12" s="9" t="str">
        <f>IFERROR(HYPERLINK("#Main!A"&amp;MATCH(A12,Main!A:A,0),"Open"),HYPERLINK("#Main!A1","Open"))</f>
        <v>Open</v>
      </c>
      <c r="K12" s="9"/>
    </row>
    <row r="13" spans="1:11" ht="30" customHeight="1" x14ac:dyDescent="0.25">
      <c r="A13" s="58" t="s">
        <v>156</v>
      </c>
      <c r="B13" s="11"/>
      <c r="C13" s="11">
        <v>0</v>
      </c>
      <c r="D13" s="11">
        <v>0</v>
      </c>
      <c r="E13" s="11"/>
      <c r="F13" s="11"/>
      <c r="G13" s="11"/>
      <c r="H13" s="63" t="b">
        <v>0</v>
      </c>
      <c r="I13" s="11"/>
      <c r="J13" t="str">
        <f>IFERROR(HYPERLINK("#Main!A"&amp;MATCH(A13,Main!A:A,0),"Open"),HYPERLINK("#Main!A1","Open"))</f>
        <v>Open</v>
      </c>
    </row>
    <row r="14" spans="1:11" ht="30" customHeight="1" x14ac:dyDescent="0.25">
      <c r="A14" s="59" t="s">
        <v>650</v>
      </c>
      <c r="B14" s="8"/>
      <c r="C14" s="8">
        <v>0</v>
      </c>
      <c r="D14" s="8">
        <v>0</v>
      </c>
      <c r="E14" s="8"/>
      <c r="F14" s="8"/>
      <c r="G14" s="8"/>
      <c r="H14" s="63" t="b">
        <v>0</v>
      </c>
      <c r="I14" s="8"/>
      <c r="J14" s="9" t="str">
        <f>IFERROR(HYPERLINK("#Main!A"&amp;MATCH(A14,Main!A:A,0),"Open"),HYPERLINK("#Main!A1","Open"))</f>
        <v>Open</v>
      </c>
      <c r="K14" s="9"/>
    </row>
    <row r="15" spans="1:11" ht="30" customHeight="1" x14ac:dyDescent="0.25">
      <c r="A15" s="58" t="s">
        <v>704</v>
      </c>
      <c r="B15" s="11"/>
      <c r="C15" s="11">
        <v>0</v>
      </c>
      <c r="D15" s="11">
        <v>0</v>
      </c>
      <c r="E15" s="11"/>
      <c r="F15" s="11"/>
      <c r="G15" s="11"/>
      <c r="H15" s="63" t="b">
        <v>0</v>
      </c>
      <c r="I15" s="11"/>
      <c r="J15" t="str">
        <f>IFERROR(HYPERLINK("#Main!A"&amp;MATCH(A15,Main!A:A,0),"Open"),HYPERLINK("#Main!A1","Open"))</f>
        <v>Open</v>
      </c>
    </row>
    <row r="16" spans="1:11" ht="30" customHeight="1" x14ac:dyDescent="0.25">
      <c r="A16" s="59" t="s">
        <v>148</v>
      </c>
      <c r="B16" s="8"/>
      <c r="C16" s="8">
        <v>0</v>
      </c>
      <c r="D16" s="8">
        <v>0</v>
      </c>
      <c r="E16" s="8"/>
      <c r="F16" s="8"/>
      <c r="G16" s="8"/>
      <c r="H16" s="63" t="b">
        <v>0</v>
      </c>
      <c r="I16" s="8"/>
      <c r="J16" s="9" t="str">
        <f>IFERROR(HYPERLINK("#Main!A"&amp;MATCH(A16,Main!A:A,0),"Open"),HYPERLINK("#Main!A1","Open"))</f>
        <v>Open</v>
      </c>
      <c r="K16" s="9"/>
    </row>
    <row r="17" spans="1:11" ht="30" customHeight="1" x14ac:dyDescent="0.25">
      <c r="A17" s="58" t="s">
        <v>497</v>
      </c>
      <c r="B17" s="11"/>
      <c r="C17" s="11">
        <v>0</v>
      </c>
      <c r="D17" s="11">
        <v>0</v>
      </c>
      <c r="E17" s="11"/>
      <c r="F17" s="11"/>
      <c r="G17" s="11"/>
      <c r="H17" s="63" t="b">
        <v>0</v>
      </c>
      <c r="I17" s="11"/>
      <c r="J17" t="str">
        <f>IFERROR(HYPERLINK("#Main!A"&amp;MATCH(A17,Main!A:A,0),"Open"),HYPERLINK("#Main!A1","Open"))</f>
        <v>Open</v>
      </c>
    </row>
    <row r="18" spans="1:11" ht="30" customHeight="1" x14ac:dyDescent="0.25">
      <c r="A18" s="59" t="s">
        <v>505</v>
      </c>
      <c r="B18" s="8"/>
      <c r="C18" s="8">
        <v>0</v>
      </c>
      <c r="D18" s="8">
        <v>0</v>
      </c>
      <c r="E18" s="8"/>
      <c r="F18" s="8"/>
      <c r="G18" s="8"/>
      <c r="H18" s="63" t="b">
        <v>0</v>
      </c>
      <c r="I18" s="8"/>
      <c r="J18" s="9" t="str">
        <f>IFERROR(HYPERLINK("#Main!A"&amp;MATCH(A18,Main!A:A,0),"Open"),HYPERLINK("#Main!A1","Open"))</f>
        <v>Open</v>
      </c>
      <c r="K18" s="9"/>
    </row>
    <row r="19" spans="1:11" ht="30" customHeight="1" x14ac:dyDescent="0.25">
      <c r="A19" s="58" t="s">
        <v>690</v>
      </c>
      <c r="B19" s="11"/>
      <c r="C19" s="11">
        <v>0</v>
      </c>
      <c r="D19" s="11">
        <v>0</v>
      </c>
      <c r="E19" s="11"/>
      <c r="F19" s="11"/>
      <c r="G19" s="11"/>
      <c r="H19" s="63" t="b">
        <v>0</v>
      </c>
      <c r="I19" s="11"/>
      <c r="J19" t="str">
        <f>IFERROR(HYPERLINK("#Main!A"&amp;MATCH(A19,Main!A:A,0),"Open"),HYPERLINK("#Main!A1","Open"))</f>
        <v>Open</v>
      </c>
    </row>
    <row r="20" spans="1:11" ht="30" customHeight="1" x14ac:dyDescent="0.25">
      <c r="A20" s="59" t="s">
        <v>306</v>
      </c>
      <c r="B20" s="8"/>
      <c r="C20" s="8">
        <v>0</v>
      </c>
      <c r="D20" s="8">
        <v>0</v>
      </c>
      <c r="E20" s="8"/>
      <c r="F20" s="8"/>
      <c r="G20" s="8"/>
      <c r="H20" s="63" t="b">
        <v>0</v>
      </c>
      <c r="I20" s="8"/>
      <c r="J20" s="9" t="str">
        <f>IFERROR(HYPERLINK("#Main!A"&amp;MATCH(A20,Main!A:A,0),"Open"),HYPERLINK("#Main!A1","Open"))</f>
        <v>Open</v>
      </c>
      <c r="K20" s="9"/>
    </row>
    <row r="21" spans="1:11" ht="30" customHeight="1" x14ac:dyDescent="0.25">
      <c r="A21" s="58" t="s">
        <v>314</v>
      </c>
      <c r="B21" s="11"/>
      <c r="C21" s="11">
        <v>0</v>
      </c>
      <c r="D21" s="11">
        <v>0</v>
      </c>
      <c r="E21" s="11"/>
      <c r="F21" s="11"/>
      <c r="G21" s="11"/>
      <c r="H21" s="63" t="b">
        <v>0</v>
      </c>
      <c r="I21" s="11"/>
      <c r="J21" t="str">
        <f>IFERROR(HYPERLINK("#Main!A"&amp;MATCH(A21,Main!A:A,0),"Open"),HYPERLINK("#Main!A1","Open"))</f>
        <v>Open</v>
      </c>
    </row>
    <row r="22" spans="1:11" ht="30" customHeight="1" x14ac:dyDescent="0.25">
      <c r="A22" s="59" t="s">
        <v>366</v>
      </c>
      <c r="B22" s="8"/>
      <c r="C22" s="8">
        <v>0</v>
      </c>
      <c r="D22" s="8">
        <v>0</v>
      </c>
      <c r="E22" s="8"/>
      <c r="F22" s="8"/>
      <c r="G22" s="8"/>
      <c r="H22" s="63" t="b">
        <v>0</v>
      </c>
      <c r="I22" s="8"/>
      <c r="J22" s="9" t="str">
        <f>IFERROR(HYPERLINK("#Main!A"&amp;MATCH(A22,Main!A:A,0),"Open"),HYPERLINK("#Main!A1","Open"))</f>
        <v>Open</v>
      </c>
      <c r="K22" s="9"/>
    </row>
    <row r="23" spans="1:11" ht="30" customHeight="1" x14ac:dyDescent="0.25">
      <c r="A23" s="58" t="s">
        <v>417</v>
      </c>
      <c r="B23" s="11"/>
      <c r="C23" s="11">
        <v>0</v>
      </c>
      <c r="D23" s="11">
        <v>0</v>
      </c>
      <c r="E23" s="11"/>
      <c r="F23" s="11"/>
      <c r="G23" s="11"/>
      <c r="H23" s="63" t="b">
        <v>0</v>
      </c>
      <c r="I23" s="11"/>
      <c r="J23" t="str">
        <f>IFERROR(HYPERLINK("#Main!A"&amp;MATCH(A23,Main!A:A,0),"Open"),HYPERLINK("#Main!A1","Open"))</f>
        <v>Open</v>
      </c>
    </row>
    <row r="24" spans="1:11" ht="30" customHeight="1" x14ac:dyDescent="0.25">
      <c r="A24" s="59" t="s">
        <v>290</v>
      </c>
      <c r="B24" s="8"/>
      <c r="C24" s="8">
        <v>0</v>
      </c>
      <c r="D24" s="8">
        <v>0</v>
      </c>
      <c r="E24" s="8"/>
      <c r="F24" s="8"/>
      <c r="G24" s="8"/>
      <c r="H24" s="63" t="b">
        <v>0</v>
      </c>
      <c r="I24" s="8"/>
      <c r="J24" s="9" t="str">
        <f>IFERROR(HYPERLINK("#Main!A"&amp;MATCH(A24,Main!A:A,0),"Open"),HYPERLINK("#Main!A1","Open"))</f>
        <v>Open</v>
      </c>
      <c r="K24" s="9"/>
    </row>
    <row r="25" spans="1:11" ht="30" customHeight="1" x14ac:dyDescent="0.25">
      <c r="A25" s="58" t="s">
        <v>188</v>
      </c>
      <c r="B25" s="11"/>
      <c r="C25" s="11">
        <v>0</v>
      </c>
      <c r="D25" s="11">
        <v>0</v>
      </c>
      <c r="E25" s="11"/>
      <c r="F25" s="11"/>
      <c r="G25" s="11"/>
      <c r="H25" s="63" t="b">
        <v>0</v>
      </c>
      <c r="I25" s="11"/>
      <c r="J25" t="str">
        <f>IFERROR(HYPERLINK("#Main!A"&amp;MATCH(A25,Main!A:A,0),"Open"),HYPERLINK("#Main!A1","Open"))</f>
        <v>Open</v>
      </c>
    </row>
    <row r="26" spans="1:11" ht="30" customHeight="1" x14ac:dyDescent="0.25">
      <c r="A26" s="59" t="s">
        <v>242</v>
      </c>
      <c r="B26" s="8"/>
      <c r="C26" s="8">
        <v>0</v>
      </c>
      <c r="D26" s="8">
        <v>0</v>
      </c>
      <c r="E26" s="8"/>
      <c r="F26" s="8"/>
      <c r="G26" s="8"/>
      <c r="H26" s="63" t="b">
        <v>0</v>
      </c>
      <c r="I26" s="8"/>
      <c r="J26" s="9" t="str">
        <f>IFERROR(HYPERLINK("#Main!A"&amp;MATCH(A26,Main!A:A,0),"Open"),HYPERLINK("#Main!A1","Open"))</f>
        <v>Open</v>
      </c>
      <c r="K26" s="9"/>
    </row>
    <row r="27" spans="1:11" ht="30" customHeight="1" x14ac:dyDescent="0.25">
      <c r="A27" s="58" t="s">
        <v>574</v>
      </c>
      <c r="B27" s="11"/>
      <c r="C27" s="11">
        <v>0</v>
      </c>
      <c r="D27" s="11">
        <v>0</v>
      </c>
      <c r="E27" s="11"/>
      <c r="F27" s="11"/>
      <c r="G27" s="11"/>
      <c r="H27" s="63" t="b">
        <v>0</v>
      </c>
      <c r="I27" s="11"/>
      <c r="J27" t="str">
        <f>IFERROR(HYPERLINK("#Main!A"&amp;MATCH(A27,Main!A:A,0),"Open"),HYPERLINK("#Main!A1","Open"))</f>
        <v>Open</v>
      </c>
    </row>
    <row r="28" spans="1:11" ht="30" customHeight="1" x14ac:dyDescent="0.25">
      <c r="A28" s="59" t="s">
        <v>627</v>
      </c>
      <c r="B28" s="8"/>
      <c r="C28" s="8">
        <v>0</v>
      </c>
      <c r="D28" s="8">
        <v>0</v>
      </c>
      <c r="E28" s="8"/>
      <c r="F28" s="8"/>
      <c r="G28" s="8"/>
      <c r="H28" s="63" t="b">
        <v>0</v>
      </c>
      <c r="I28" s="8"/>
      <c r="J28" s="9" t="str">
        <f>IFERROR(HYPERLINK("#Main!A"&amp;MATCH(A28,Main!A:A,0),"Open"),HYPERLINK("#Main!A1","Open"))</f>
        <v>Open</v>
      </c>
      <c r="K28" s="9"/>
    </row>
    <row r="29" spans="1:11" ht="30" customHeight="1" x14ac:dyDescent="0.25">
      <c r="A29" s="58" t="s">
        <v>274</v>
      </c>
      <c r="B29" s="11"/>
      <c r="C29" s="11">
        <v>0</v>
      </c>
      <c r="D29" s="11">
        <v>0</v>
      </c>
      <c r="E29" s="11"/>
      <c r="F29" s="11"/>
      <c r="G29" s="11"/>
      <c r="H29" s="63" t="b">
        <v>0</v>
      </c>
      <c r="I29" s="11"/>
      <c r="J29" t="str">
        <f>IFERROR(HYPERLINK("#Main!A"&amp;MATCH(A29,Main!A:A,0),"Open"),HYPERLINK("#Main!A1","Open"))</f>
        <v>Open</v>
      </c>
    </row>
    <row r="30" spans="1:11" ht="30" customHeight="1" x14ac:dyDescent="0.25">
      <c r="A30" s="59" t="s">
        <v>401</v>
      </c>
      <c r="B30" s="8"/>
      <c r="C30" s="8">
        <v>0</v>
      </c>
      <c r="D30" s="8">
        <v>0</v>
      </c>
      <c r="E30" s="8"/>
      <c r="F30" s="8"/>
      <c r="G30" s="8"/>
      <c r="H30" s="63" t="b">
        <v>0</v>
      </c>
      <c r="I30" s="8"/>
      <c r="J30" s="9" t="str">
        <f>IFERROR(HYPERLINK("#Main!A"&amp;MATCH(A30,Main!A:A,0),"Open"),HYPERLINK("#Main!A1","Open"))</f>
        <v>Open</v>
      </c>
      <c r="K30" s="9"/>
    </row>
    <row r="31" spans="1:11" ht="30" customHeight="1" x14ac:dyDescent="0.25">
      <c r="A31" s="58" t="s">
        <v>298</v>
      </c>
      <c r="B31" s="11"/>
      <c r="C31" s="11">
        <v>0</v>
      </c>
      <c r="D31" s="11">
        <v>0</v>
      </c>
      <c r="E31" s="11"/>
      <c r="F31" s="11"/>
      <c r="G31" s="11"/>
      <c r="H31" s="63" t="b">
        <v>0</v>
      </c>
      <c r="I31" s="11"/>
      <c r="J31" t="str">
        <f>IFERROR(HYPERLINK("#Main!A"&amp;MATCH(A31,Main!A:A,0),"Open"),HYPERLINK("#Main!A1","Open"))</f>
        <v>Open</v>
      </c>
    </row>
    <row r="32" spans="1:11" ht="30" customHeight="1" x14ac:dyDescent="0.25">
      <c r="A32" s="59" t="s">
        <v>481</v>
      </c>
      <c r="B32" s="8"/>
      <c r="C32" s="8">
        <v>0</v>
      </c>
      <c r="D32" s="8">
        <v>0</v>
      </c>
      <c r="E32" s="8"/>
      <c r="F32" s="8"/>
      <c r="G32" s="8"/>
      <c r="H32" s="63" t="b">
        <v>0</v>
      </c>
      <c r="I32" s="8"/>
      <c r="J32" s="9" t="str">
        <f>IFERROR(HYPERLINK("#Main!A"&amp;MATCH(A32,Main!A:A,0),"Open"),HYPERLINK("#Main!A1","Open"))</f>
        <v>Open</v>
      </c>
      <c r="K32" s="9"/>
    </row>
    <row r="33" spans="1:11" ht="30" customHeight="1" x14ac:dyDescent="0.25">
      <c r="A33" s="58" t="s">
        <v>172</v>
      </c>
      <c r="B33" s="11"/>
      <c r="C33" s="11">
        <v>0</v>
      </c>
      <c r="D33" s="11">
        <v>0</v>
      </c>
      <c r="E33" s="11"/>
      <c r="F33" s="11"/>
      <c r="G33" s="11"/>
      <c r="H33" s="63" t="b">
        <v>0</v>
      </c>
      <c r="I33" s="11"/>
      <c r="J33" t="str">
        <f>IFERROR(HYPERLINK("#Main!A"&amp;MATCH(A33,Main!A:A,0),"Open"),HYPERLINK("#Main!A1","Open"))</f>
        <v>Open</v>
      </c>
    </row>
    <row r="34" spans="1:11" ht="30" customHeight="1" x14ac:dyDescent="0.25">
      <c r="A34" s="59" t="s">
        <v>727</v>
      </c>
      <c r="B34" s="8"/>
      <c r="C34" s="8">
        <v>0</v>
      </c>
      <c r="D34" s="8">
        <v>0</v>
      </c>
      <c r="E34" s="8"/>
      <c r="F34" s="8"/>
      <c r="G34" s="8"/>
      <c r="H34" s="63" t="b">
        <v>0</v>
      </c>
      <c r="I34" s="8"/>
      <c r="J34" s="9" t="str">
        <f>IFERROR(HYPERLINK("#Main!A"&amp;MATCH(A34,Main!A:A,0),"Open"),HYPERLINK("#Main!A1","Open"))</f>
        <v>Open</v>
      </c>
      <c r="K34" s="9"/>
    </row>
    <row r="35" spans="1:11" ht="30" customHeight="1" x14ac:dyDescent="0.25">
      <c r="A35" s="58" t="s">
        <v>559</v>
      </c>
      <c r="B35" s="11"/>
      <c r="C35" s="11">
        <v>0</v>
      </c>
      <c r="D35" s="11">
        <v>0</v>
      </c>
      <c r="E35" s="11"/>
      <c r="F35" s="11"/>
      <c r="G35" s="11"/>
      <c r="H35" s="63" t="b">
        <v>0</v>
      </c>
      <c r="I35" s="11"/>
      <c r="J35" t="str">
        <f>IFERROR(HYPERLINK("#Main!A"&amp;MATCH(A35,Main!A:A,0),"Open"),HYPERLINK("#Main!A1","Open"))</f>
        <v>Open</v>
      </c>
    </row>
    <row r="36" spans="1:11" ht="30" customHeight="1" x14ac:dyDescent="0.25">
      <c r="A36" s="59" t="s">
        <v>393</v>
      </c>
      <c r="B36" s="8"/>
      <c r="C36" s="8">
        <v>0</v>
      </c>
      <c r="D36" s="8">
        <v>0</v>
      </c>
      <c r="E36" s="8"/>
      <c r="F36" s="8"/>
      <c r="G36" s="8"/>
      <c r="H36" s="63" t="b">
        <v>0</v>
      </c>
      <c r="I36" s="8"/>
      <c r="J36" s="9" t="str">
        <f>IFERROR(HYPERLINK("#Main!A"&amp;MATCH(A36,Main!A:A,0),"Open"),HYPERLINK("#Main!A1","Open"))</f>
        <v>Open</v>
      </c>
      <c r="K36" s="9"/>
    </row>
    <row r="37" spans="1:11" ht="30" customHeight="1" x14ac:dyDescent="0.25">
      <c r="A37" s="58" t="s">
        <v>566</v>
      </c>
      <c r="B37" s="11"/>
      <c r="C37" s="11">
        <v>0</v>
      </c>
      <c r="D37" s="11">
        <v>0</v>
      </c>
      <c r="E37" s="11"/>
      <c r="F37" s="11"/>
      <c r="G37" s="11"/>
      <c r="H37" s="63" t="b">
        <v>0</v>
      </c>
      <c r="I37" s="11"/>
      <c r="J37" t="str">
        <f>IFERROR(HYPERLINK("#Main!A"&amp;MATCH(A37,Main!A:A,0),"Open"),HYPERLINK("#Main!A1","Open"))</f>
        <v>Open</v>
      </c>
    </row>
    <row r="38" spans="1:11" ht="45" customHeight="1" x14ac:dyDescent="0.25">
      <c r="A38" s="59" t="s">
        <v>377</v>
      </c>
      <c r="B38" s="8"/>
      <c r="C38" s="8">
        <v>0</v>
      </c>
      <c r="D38" s="8">
        <v>0</v>
      </c>
      <c r="E38" s="8"/>
      <c r="F38" s="8"/>
      <c r="G38" s="8"/>
      <c r="H38" s="63" t="b">
        <v>0</v>
      </c>
      <c r="I38" s="8"/>
      <c r="J38" s="9" t="str">
        <f>IFERROR(HYPERLINK("#Main!A"&amp;MATCH(A38,Main!A:A,0),"Open"),HYPERLINK("#Main!A1","Open"))</f>
        <v>Open</v>
      </c>
      <c r="K38" s="9"/>
    </row>
    <row r="39" spans="1:11" ht="30" customHeight="1" x14ac:dyDescent="0.25">
      <c r="A39" s="58" t="s">
        <v>385</v>
      </c>
      <c r="B39" s="11"/>
      <c r="C39" s="11">
        <v>0</v>
      </c>
      <c r="D39" s="11">
        <v>0</v>
      </c>
      <c r="E39" s="11"/>
      <c r="F39" s="11"/>
      <c r="G39" s="11"/>
      <c r="H39" s="63" t="b">
        <v>0</v>
      </c>
      <c r="I39" s="11"/>
      <c r="J39" t="str">
        <f>IFERROR(HYPERLINK("#Main!A"&amp;MATCH(A39,Main!A:A,0),"Open"),HYPERLINK("#Main!A1","Open"))</f>
        <v>Open</v>
      </c>
    </row>
    <row r="40" spans="1:11" ht="30" customHeight="1" x14ac:dyDescent="0.25">
      <c r="A40" s="59" t="s">
        <v>358</v>
      </c>
      <c r="B40" s="8"/>
      <c r="C40" s="8">
        <v>0</v>
      </c>
      <c r="D40" s="8">
        <v>0</v>
      </c>
      <c r="E40" s="8"/>
      <c r="F40" s="8"/>
      <c r="G40" s="8"/>
      <c r="H40" s="63" t="b">
        <v>0</v>
      </c>
      <c r="I40" s="8"/>
      <c r="J40" s="9" t="str">
        <f>IFERROR(HYPERLINK("#Main!A"&amp;MATCH(A40,Main!A:A,0),"Open"),HYPERLINK("#Main!A1","Open"))</f>
        <v>Open</v>
      </c>
      <c r="K40" s="9"/>
    </row>
    <row r="41" spans="1:11" ht="30" customHeight="1" x14ac:dyDescent="0.25">
      <c r="A41" s="58" t="s">
        <v>196</v>
      </c>
      <c r="B41" s="11"/>
      <c r="C41" s="11">
        <v>0</v>
      </c>
      <c r="D41" s="11">
        <v>0</v>
      </c>
      <c r="E41" s="11"/>
      <c r="F41" s="11"/>
      <c r="G41" s="11"/>
      <c r="H41" s="63" t="b">
        <v>0</v>
      </c>
      <c r="I41" s="11"/>
      <c r="J41" t="str">
        <f>IFERROR(HYPERLINK("#Main!A"&amp;MATCH(A41,Main!A:A,0),"Open"),HYPERLINK("#Main!A1","Open"))</f>
        <v>Open</v>
      </c>
    </row>
    <row r="42" spans="1:11" ht="30" customHeight="1" x14ac:dyDescent="0.25">
      <c r="A42" s="59" t="s">
        <v>164</v>
      </c>
      <c r="B42" s="8"/>
      <c r="C42" s="8">
        <v>0</v>
      </c>
      <c r="D42" s="8">
        <v>0</v>
      </c>
      <c r="E42" s="8"/>
      <c r="F42" s="8"/>
      <c r="G42" s="8"/>
      <c r="H42" s="63" t="b">
        <v>0</v>
      </c>
      <c r="I42" s="8"/>
      <c r="J42" s="9" t="str">
        <f>IFERROR(HYPERLINK("#Main!A"&amp;MATCH(A42,Main!A:A,0),"Open"),HYPERLINK("#Main!A1","Open"))</f>
        <v>Open</v>
      </c>
      <c r="K42" s="9"/>
    </row>
    <row r="43" spans="1:11" ht="30" customHeight="1" x14ac:dyDescent="0.25">
      <c r="A43" s="58" t="s">
        <v>350</v>
      </c>
      <c r="B43" s="11"/>
      <c r="C43" s="11">
        <v>0</v>
      </c>
      <c r="D43" s="11">
        <v>0</v>
      </c>
      <c r="E43" s="11"/>
      <c r="F43" s="11"/>
      <c r="G43" s="11"/>
      <c r="H43" s="63" t="b">
        <v>0</v>
      </c>
      <c r="I43" s="11"/>
      <c r="J43" t="str">
        <f>IFERROR(HYPERLINK("#Main!A"&amp;MATCH(A43,Main!A:A,0),"Open"),HYPERLINK("#Main!A1","Open"))</f>
        <v>Open</v>
      </c>
    </row>
    <row r="44" spans="1:11" ht="30" customHeight="1" x14ac:dyDescent="0.25">
      <c r="A44" s="59" t="s">
        <v>374</v>
      </c>
      <c r="B44" s="8"/>
      <c r="C44" s="8">
        <v>0</v>
      </c>
      <c r="D44" s="8">
        <v>0</v>
      </c>
      <c r="E44" s="8"/>
      <c r="F44" s="8"/>
      <c r="G44" s="8"/>
      <c r="H44" s="63" t="b">
        <v>0</v>
      </c>
      <c r="I44" s="8"/>
      <c r="J44" s="9" t="str">
        <f>IFERROR(HYPERLINK("#Main!A"&amp;MATCH(A44,Main!A:A,0),"Open"),HYPERLINK("#Main!A1","Open"))</f>
        <v>Open</v>
      </c>
      <c r="K44" s="9"/>
    </row>
    <row r="45" spans="1:11" ht="45" customHeight="1" x14ac:dyDescent="0.25">
      <c r="A45" s="58" t="s">
        <v>409</v>
      </c>
      <c r="B45" s="11"/>
      <c r="C45" s="11">
        <v>0</v>
      </c>
      <c r="D45" s="11">
        <v>0</v>
      </c>
      <c r="E45" s="11"/>
      <c r="F45" s="11"/>
      <c r="G45" s="11"/>
      <c r="H45" s="63" t="b">
        <v>0</v>
      </c>
      <c r="I45" s="11"/>
      <c r="J45" t="str">
        <f>IFERROR(HYPERLINK("#Main!A"&amp;MATCH(A45,Main!A:A,0),"Open"),HYPERLINK("#Main!A1","Open"))</f>
        <v>Open</v>
      </c>
    </row>
    <row r="46" spans="1:11" ht="30" customHeight="1" x14ac:dyDescent="0.25">
      <c r="A46" s="59" t="s">
        <v>436</v>
      </c>
      <c r="B46" s="8"/>
      <c r="C46" s="8">
        <v>0</v>
      </c>
      <c r="D46" s="8">
        <v>0</v>
      </c>
      <c r="E46" s="8"/>
      <c r="F46" s="8"/>
      <c r="G46" s="8"/>
      <c r="H46" s="63" t="b">
        <v>0</v>
      </c>
      <c r="I46" s="8"/>
      <c r="J46" s="9" t="str">
        <f>IFERROR(HYPERLINK("#Main!A"&amp;MATCH(A46,Main!A:A,0),"Open"),HYPERLINK("#Main!A1","Open"))</f>
        <v>Open</v>
      </c>
      <c r="K46" s="9"/>
    </row>
    <row r="47" spans="1:11" ht="30" customHeight="1" x14ac:dyDescent="0.25">
      <c r="A47" s="58" t="s">
        <v>473</v>
      </c>
      <c r="B47" s="11"/>
      <c r="C47" s="11">
        <v>0</v>
      </c>
      <c r="D47" s="11">
        <v>0</v>
      </c>
      <c r="E47" s="11"/>
      <c r="F47" s="11"/>
      <c r="G47" s="11"/>
      <c r="H47" s="63" t="b">
        <v>0</v>
      </c>
      <c r="I47" s="11"/>
      <c r="J47" t="str">
        <f>IFERROR(HYPERLINK("#Main!A"&amp;MATCH(A47,Main!A:A,0),"Open"),HYPERLINK("#Main!A1","Open"))</f>
        <v>Open</v>
      </c>
    </row>
    <row r="48" spans="1:11" ht="30" customHeight="1" x14ac:dyDescent="0.25">
      <c r="A48" s="59" t="s">
        <v>489</v>
      </c>
      <c r="B48" s="8"/>
      <c r="C48" s="8">
        <v>0</v>
      </c>
      <c r="D48" s="8">
        <v>0</v>
      </c>
      <c r="E48" s="8"/>
      <c r="F48" s="8"/>
      <c r="G48" s="8"/>
      <c r="H48" s="63" t="b">
        <v>0</v>
      </c>
      <c r="I48" s="8"/>
      <c r="J48" s="9" t="str">
        <f>IFERROR(HYPERLINK("#Main!A"&amp;MATCH(A48,Main!A:A,0),"Open"),HYPERLINK("#Main!A1","Open"))</f>
        <v>Open</v>
      </c>
      <c r="K48" s="9"/>
    </row>
    <row r="49" spans="1:11" ht="30" customHeight="1" x14ac:dyDescent="0.25">
      <c r="A49" s="58" t="s">
        <v>338</v>
      </c>
      <c r="B49" s="11"/>
      <c r="C49" s="11">
        <v>0</v>
      </c>
      <c r="D49" s="11">
        <v>0</v>
      </c>
      <c r="E49" s="11"/>
      <c r="F49" s="11"/>
      <c r="G49" s="11"/>
      <c r="H49" s="63" t="b">
        <v>0</v>
      </c>
      <c r="I49" s="11"/>
      <c r="J49" t="str">
        <f>IFERROR(HYPERLINK("#Main!A"&amp;MATCH(A49,Main!A:A,0),"Open"),HYPERLINK("#Main!A1","Open"))</f>
        <v>Open</v>
      </c>
    </row>
    <row r="50" spans="1:11" ht="30" customHeight="1" x14ac:dyDescent="0.25">
      <c r="A50" s="59" t="s">
        <v>433</v>
      </c>
      <c r="B50" s="8"/>
      <c r="C50" s="8">
        <v>0</v>
      </c>
      <c r="D50" s="8">
        <v>0</v>
      </c>
      <c r="E50" s="8"/>
      <c r="F50" s="8"/>
      <c r="G50" s="8"/>
      <c r="H50" s="63" t="b">
        <v>0</v>
      </c>
      <c r="I50" s="8"/>
      <c r="J50" s="9" t="str">
        <f>IFERROR(HYPERLINK("#Main!A"&amp;MATCH(A50,Main!A:A,0),"Open"),HYPERLINK("#Main!A1","Open"))</f>
        <v>Open</v>
      </c>
      <c r="K50" s="9"/>
    </row>
    <row r="51" spans="1:11" ht="30" customHeight="1" x14ac:dyDescent="0.25">
      <c r="A51" s="58" t="s">
        <v>743</v>
      </c>
      <c r="B51" s="11"/>
      <c r="C51" s="11">
        <v>0</v>
      </c>
      <c r="D51" s="11">
        <v>0</v>
      </c>
      <c r="E51" s="11"/>
      <c r="F51" s="11"/>
      <c r="G51" s="11"/>
      <c r="H51" s="63" t="b">
        <v>0</v>
      </c>
      <c r="I51" s="11"/>
      <c r="J51" t="str">
        <f>IFERROR(HYPERLINK("#Main!A"&amp;MATCH(A51,Main!A:A,0),"Open"),HYPERLINK("#Main!A1","Open"))</f>
        <v>Open</v>
      </c>
    </row>
    <row r="52" spans="1:11" ht="30" customHeight="1" x14ac:dyDescent="0.25">
      <c r="A52" s="59" t="s">
        <v>598</v>
      </c>
      <c r="B52" s="8"/>
      <c r="C52" s="8">
        <v>0</v>
      </c>
      <c r="D52" s="8">
        <v>0</v>
      </c>
      <c r="E52" s="8"/>
      <c r="F52" s="8"/>
      <c r="G52" s="8"/>
      <c r="H52" s="63" t="b">
        <v>0</v>
      </c>
      <c r="I52" s="8"/>
      <c r="J52" s="9" t="str">
        <f>IFERROR(HYPERLINK("#Main!A"&amp;MATCH(A52,Main!A:A,0),"Open"),HYPERLINK("#Main!A1","Open"))</f>
        <v>Open</v>
      </c>
      <c r="K52" s="9"/>
    </row>
    <row r="53" spans="1:11" ht="30" customHeight="1" x14ac:dyDescent="0.25">
      <c r="A53" s="58" t="s">
        <v>735</v>
      </c>
      <c r="B53" s="11"/>
      <c r="C53" s="11">
        <v>0</v>
      </c>
      <c r="D53" s="11">
        <v>0</v>
      </c>
      <c r="E53" s="11"/>
      <c r="F53" s="11"/>
      <c r="G53" s="11"/>
      <c r="H53" s="63" t="b">
        <v>0</v>
      </c>
      <c r="I53" s="11"/>
      <c r="J53" t="str">
        <f>IFERROR(HYPERLINK("#Main!A"&amp;MATCH(A53,Main!A:A,0),"Open"),HYPERLINK("#Main!A1","Open"))</f>
        <v>Open</v>
      </c>
    </row>
    <row r="54" spans="1:11" ht="30" customHeight="1" x14ac:dyDescent="0.25">
      <c r="A54" s="59" t="s">
        <v>712</v>
      </c>
      <c r="B54" s="8"/>
      <c r="C54" s="8">
        <v>0</v>
      </c>
      <c r="D54" s="8">
        <v>0</v>
      </c>
      <c r="E54" s="8"/>
      <c r="F54" s="8"/>
      <c r="G54" s="8"/>
      <c r="H54" s="63" t="b">
        <v>0</v>
      </c>
      <c r="I54" s="8"/>
      <c r="J54" s="9" t="str">
        <f>IFERROR(HYPERLINK("#Main!A"&amp;MATCH(A54,Main!A:A,0),"Open"),HYPERLINK("#Main!A1","Open"))</f>
        <v>Open</v>
      </c>
      <c r="K54" s="9"/>
    </row>
    <row r="55" spans="1:11" ht="30" customHeight="1" x14ac:dyDescent="0.25">
      <c r="A55" s="58" t="s">
        <v>622</v>
      </c>
      <c r="B55" s="11"/>
      <c r="C55" s="11">
        <v>0</v>
      </c>
      <c r="D55" s="11">
        <v>0</v>
      </c>
      <c r="E55" s="11"/>
      <c r="F55" s="11"/>
      <c r="G55" s="11"/>
      <c r="H55" s="63" t="b">
        <v>0</v>
      </c>
      <c r="I55" s="11"/>
      <c r="J55" t="str">
        <f>IFERROR(HYPERLINK("#Main!A"&amp;MATCH(A55,Main!A:A,0),"Open"),HYPERLINK("#Main!A1","Open"))</f>
        <v>Open</v>
      </c>
    </row>
    <row r="56" spans="1:11" ht="30" customHeight="1" x14ac:dyDescent="0.25">
      <c r="A56" s="59" t="s">
        <v>535</v>
      </c>
      <c r="B56" s="8"/>
      <c r="C56" s="8">
        <v>0</v>
      </c>
      <c r="D56" s="8">
        <v>0</v>
      </c>
      <c r="E56" s="8"/>
      <c r="F56" s="8"/>
      <c r="G56" s="8"/>
      <c r="H56" s="63" t="b">
        <v>0</v>
      </c>
      <c r="I56" s="8"/>
      <c r="J56" s="9" t="str">
        <f>IFERROR(HYPERLINK("#Main!A"&amp;MATCH(A56,Main!A:A,0),"Open"),HYPERLINK("#Main!A1","Open"))</f>
        <v>Open</v>
      </c>
      <c r="K56" s="9"/>
    </row>
    <row r="57" spans="1:11" ht="30" customHeight="1" x14ac:dyDescent="0.25">
      <c r="A57" s="58" t="s">
        <v>527</v>
      </c>
      <c r="B57" s="11"/>
      <c r="C57" s="11">
        <v>0</v>
      </c>
      <c r="D57" s="11">
        <v>0</v>
      </c>
      <c r="E57" s="11"/>
      <c r="F57" s="11"/>
      <c r="G57" s="11"/>
      <c r="H57" s="63" t="b">
        <v>0</v>
      </c>
      <c r="I57" s="11"/>
      <c r="J57" t="str">
        <f>IFERROR(HYPERLINK("#Main!A"&amp;MATCH(A57,Main!A:A,0),"Open"),HYPERLINK("#Main!A1","Open"))</f>
        <v>Open</v>
      </c>
    </row>
    <row r="58" spans="1:11" ht="30" customHeight="1" x14ac:dyDescent="0.25">
      <c r="A58" s="59" t="s">
        <v>590</v>
      </c>
      <c r="B58" s="8"/>
      <c r="C58" s="8">
        <v>0</v>
      </c>
      <c r="D58" s="8">
        <v>0</v>
      </c>
      <c r="E58" s="8"/>
      <c r="F58" s="8"/>
      <c r="G58" s="8"/>
      <c r="H58" s="63" t="b">
        <v>0</v>
      </c>
      <c r="I58" s="8"/>
      <c r="J58" s="9" t="str">
        <f>IFERROR(HYPERLINK("#Main!A"&amp;MATCH(A58,Main!A:A,0),"Open"),HYPERLINK("#Main!A1","Open"))</f>
        <v>Open</v>
      </c>
      <c r="K58" s="9"/>
    </row>
    <row r="59" spans="1:11" ht="30" customHeight="1" x14ac:dyDescent="0.25">
      <c r="A59" s="58" t="s">
        <v>758</v>
      </c>
      <c r="B59" s="11"/>
      <c r="C59" s="11">
        <v>0</v>
      </c>
      <c r="D59" s="11">
        <v>0</v>
      </c>
      <c r="E59" s="11"/>
      <c r="F59" s="11"/>
      <c r="G59" s="11"/>
      <c r="H59" s="63" t="b">
        <v>0</v>
      </c>
      <c r="I59" s="11"/>
      <c r="J59" t="str">
        <f>IFERROR(HYPERLINK("#Main!A"&amp;MATCH(A59,Main!A:A,0),"Open"),HYPERLINK("#Main!A1","Open"))</f>
        <v>Open</v>
      </c>
    </row>
    <row r="60" spans="1:11" ht="30" customHeight="1" x14ac:dyDescent="0.25">
      <c r="A60" s="59" t="s">
        <v>282</v>
      </c>
      <c r="B60" s="8"/>
      <c r="C60" s="8">
        <v>0</v>
      </c>
      <c r="D60" s="8">
        <v>0</v>
      </c>
      <c r="E60" s="8"/>
      <c r="F60" s="8"/>
      <c r="G60" s="8"/>
      <c r="H60" s="63" t="b">
        <v>0</v>
      </c>
      <c r="I60" s="8"/>
      <c r="J60" s="9" t="str">
        <f>IFERROR(HYPERLINK("#Main!A"&amp;MATCH(A60,Main!A:A,0),"Open"),HYPERLINK("#Main!A1","Open"))</f>
        <v>Open</v>
      </c>
      <c r="K60" s="9"/>
    </row>
    <row r="61" spans="1:11" ht="30" customHeight="1" x14ac:dyDescent="0.25">
      <c r="A61" s="58" t="s">
        <v>766</v>
      </c>
      <c r="B61" s="11"/>
      <c r="C61" s="11">
        <v>0</v>
      </c>
      <c r="D61" s="11">
        <v>0</v>
      </c>
      <c r="E61" s="11"/>
      <c r="F61" s="11"/>
      <c r="G61" s="11"/>
      <c r="H61" s="63" t="b">
        <v>0</v>
      </c>
      <c r="I61" s="11"/>
      <c r="J61" t="str">
        <f>IFERROR(HYPERLINK("#Main!A"&amp;MATCH(A61,Main!A:A,0),"Open"),HYPERLINK("#Main!A1","Open"))</f>
        <v>Open</v>
      </c>
    </row>
    <row r="62" spans="1:11" ht="30" customHeight="1" x14ac:dyDescent="0.25">
      <c r="A62" s="59" t="s">
        <v>614</v>
      </c>
      <c r="B62" s="8"/>
      <c r="C62" s="8">
        <v>0</v>
      </c>
      <c r="D62" s="8">
        <v>0</v>
      </c>
      <c r="E62" s="8"/>
      <c r="F62" s="8"/>
      <c r="G62" s="8"/>
      <c r="H62" s="63" t="b">
        <v>0</v>
      </c>
      <c r="I62" s="8"/>
      <c r="J62" s="9" t="str">
        <f>IFERROR(HYPERLINK("#Main!A"&amp;MATCH(A62,Main!A:A,0),"Open"),HYPERLINK("#Main!A1","Open"))</f>
        <v>Open</v>
      </c>
      <c r="K62" s="9"/>
    </row>
    <row r="63" spans="1:11" ht="30" customHeight="1" x14ac:dyDescent="0.25">
      <c r="A63" s="58" t="s">
        <v>425</v>
      </c>
      <c r="B63" s="11"/>
      <c r="C63" s="11">
        <v>0</v>
      </c>
      <c r="D63" s="11">
        <v>0</v>
      </c>
      <c r="E63" s="11"/>
      <c r="F63" s="11"/>
      <c r="G63" s="11"/>
      <c r="H63" s="63" t="b">
        <v>0</v>
      </c>
      <c r="I63" s="11"/>
      <c r="J63" t="str">
        <f>IFERROR(HYPERLINK("#Main!A"&amp;MATCH(A63,Main!A:A,0),"Open"),HYPERLINK("#Main!A1","Open"))</f>
        <v>Open</v>
      </c>
    </row>
    <row r="64" spans="1:11" ht="30" customHeight="1" x14ac:dyDescent="0.25">
      <c r="A64" s="59" t="s">
        <v>210</v>
      </c>
      <c r="B64" s="8"/>
      <c r="C64" s="8">
        <v>0</v>
      </c>
      <c r="D64" s="8">
        <v>0</v>
      </c>
      <c r="E64" s="8"/>
      <c r="F64" s="8"/>
      <c r="G64" s="8"/>
      <c r="H64" s="63" t="b">
        <v>0</v>
      </c>
      <c r="I64" s="8"/>
      <c r="J64" s="9" t="str">
        <f>IFERROR(HYPERLINK("#Main!A"&amp;MATCH(A64,Main!A:A,0),"Open"),HYPERLINK("#Main!A1","Open"))</f>
        <v>Open</v>
      </c>
      <c r="K64" s="9"/>
    </row>
    <row r="65" spans="1:11" ht="30" customHeight="1" x14ac:dyDescent="0.25">
      <c r="A65" s="58" t="s">
        <v>258</v>
      </c>
      <c r="B65" s="11"/>
      <c r="C65" s="11">
        <v>0</v>
      </c>
      <c r="D65" s="11">
        <v>0</v>
      </c>
      <c r="E65" s="11"/>
      <c r="F65" s="11"/>
      <c r="G65" s="11"/>
      <c r="H65" s="63" t="b">
        <v>0</v>
      </c>
      <c r="I65" s="11"/>
      <c r="J65" t="str">
        <f>IFERROR(HYPERLINK("#Main!A"&amp;MATCH(A65,Main!A:A,0),"Open"),HYPERLINK("#Main!A1","Open"))</f>
        <v>Open</v>
      </c>
    </row>
    <row r="66" spans="1:11" ht="30" customHeight="1" x14ac:dyDescent="0.25">
      <c r="A66" s="59" t="s">
        <v>250</v>
      </c>
      <c r="B66" s="8"/>
      <c r="C66" s="8">
        <v>0</v>
      </c>
      <c r="D66" s="8">
        <v>0</v>
      </c>
      <c r="E66" s="8"/>
      <c r="F66" s="8"/>
      <c r="G66" s="8"/>
      <c r="H66" s="63" t="b">
        <v>0</v>
      </c>
      <c r="I66" s="8"/>
      <c r="J66" s="9" t="str">
        <f>IFERROR(HYPERLINK("#Main!A"&amp;MATCH(A66,Main!A:A,0),"Open"),HYPERLINK("#Main!A1","Open"))</f>
        <v>Open</v>
      </c>
      <c r="K66" s="9"/>
    </row>
    <row r="67" spans="1:11" ht="30" customHeight="1" x14ac:dyDescent="0.25">
      <c r="A67" s="58" t="s">
        <v>266</v>
      </c>
      <c r="B67" s="11"/>
      <c r="C67" s="11">
        <v>0</v>
      </c>
      <c r="D67" s="11">
        <v>0</v>
      </c>
      <c r="E67" s="11"/>
      <c r="F67" s="11"/>
      <c r="G67" s="11"/>
      <c r="H67" s="63" t="b">
        <v>0</v>
      </c>
      <c r="I67" s="11"/>
      <c r="J67" t="str">
        <f>IFERROR(HYPERLINK("#Main!A"&amp;MATCH(A67,Main!A:A,0),"Open"),HYPERLINK("#Main!A1","Open"))</f>
        <v>Open</v>
      </c>
    </row>
    <row r="68" spans="1:11" ht="30" customHeight="1" x14ac:dyDescent="0.25">
      <c r="A68" s="59" t="s">
        <v>543</v>
      </c>
      <c r="B68" s="8"/>
      <c r="C68" s="8">
        <v>0</v>
      </c>
      <c r="D68" s="8">
        <v>0</v>
      </c>
      <c r="E68" s="8"/>
      <c r="F68" s="8"/>
      <c r="G68" s="8"/>
      <c r="H68" s="63" t="b">
        <v>0</v>
      </c>
      <c r="I68" s="8"/>
      <c r="J68" s="9" t="str">
        <f>IFERROR(HYPERLINK("#Main!A"&amp;MATCH(A68,Main!A:A,0),"Open"),HYPERLINK("#Main!A1","Open"))</f>
        <v>Open</v>
      </c>
      <c r="K68" s="9"/>
    </row>
    <row r="69" spans="1:11" ht="30" customHeight="1" x14ac:dyDescent="0.25">
      <c r="A69" s="58" t="s">
        <v>99</v>
      </c>
      <c r="B69" s="11"/>
      <c r="C69" s="11">
        <v>0</v>
      </c>
      <c r="D69" s="11">
        <v>0</v>
      </c>
      <c r="E69" s="11"/>
      <c r="F69" s="11"/>
      <c r="G69" s="11"/>
      <c r="H69" s="63" t="b">
        <v>0</v>
      </c>
      <c r="I69" s="11"/>
      <c r="J69" t="str">
        <f>IFERROR(HYPERLINK("#Main!A"&amp;MATCH(A69,Main!A:A,0),"Open"),HYPERLINK("#Main!A1","Open"))</f>
        <v>Open</v>
      </c>
    </row>
    <row r="70" spans="1:11" ht="30" customHeight="1" x14ac:dyDescent="0.25">
      <c r="A70" s="59" t="s">
        <v>226</v>
      </c>
      <c r="B70" s="8"/>
      <c r="C70" s="8">
        <v>0</v>
      </c>
      <c r="D70" s="8">
        <v>0</v>
      </c>
      <c r="E70" s="8"/>
      <c r="F70" s="8"/>
      <c r="G70" s="8"/>
      <c r="H70" s="63" t="b">
        <v>0</v>
      </c>
      <c r="I70" s="8"/>
      <c r="J70" s="9" t="str">
        <f>IFERROR(HYPERLINK("#Main!A"&amp;MATCH(A70,Main!A:A,0),"Open"),HYPERLINK("#Main!A1","Open"))</f>
        <v>Open</v>
      </c>
      <c r="K70" s="9"/>
    </row>
    <row r="71" spans="1:11" ht="30" customHeight="1" x14ac:dyDescent="0.25">
      <c r="A71" s="58" t="s">
        <v>234</v>
      </c>
      <c r="B71" s="11"/>
      <c r="C71" s="11">
        <v>0</v>
      </c>
      <c r="D71" s="11">
        <v>0</v>
      </c>
      <c r="E71" s="11"/>
      <c r="F71" s="11"/>
      <c r="G71" s="11"/>
      <c r="H71" s="63" t="b">
        <v>0</v>
      </c>
      <c r="I71" s="11"/>
      <c r="J71" t="str">
        <f>IFERROR(HYPERLINK("#Main!A"&amp;MATCH(A71,Main!A:A,0),"Open"),HYPERLINK("#Main!A1","Open"))</f>
        <v>Open</v>
      </c>
    </row>
    <row r="72" spans="1:11" ht="30" customHeight="1" x14ac:dyDescent="0.25">
      <c r="A72" s="59" t="s">
        <v>218</v>
      </c>
      <c r="B72" s="8"/>
      <c r="C72" s="8">
        <v>0</v>
      </c>
      <c r="D72" s="8">
        <v>0</v>
      </c>
      <c r="E72" s="8"/>
      <c r="F72" s="8"/>
      <c r="G72" s="8"/>
      <c r="H72" s="63" t="b">
        <v>0</v>
      </c>
      <c r="I72" s="8"/>
      <c r="J72" s="9" t="str">
        <f>IFERROR(HYPERLINK("#Main!A"&amp;MATCH(A72,Main!A:A,0),"Open"),HYPERLINK("#Main!A1","Open"))</f>
        <v>Open</v>
      </c>
      <c r="K72" s="9"/>
    </row>
    <row r="73" spans="1:11" ht="30" customHeight="1" x14ac:dyDescent="0.25">
      <c r="A73" s="58" t="s">
        <v>342</v>
      </c>
      <c r="B73" s="11"/>
      <c r="C73" s="11">
        <v>0</v>
      </c>
      <c r="D73" s="11">
        <v>0</v>
      </c>
      <c r="E73" s="11"/>
      <c r="F73" s="11"/>
      <c r="G73" s="11"/>
      <c r="H73" s="63" t="b">
        <v>0</v>
      </c>
      <c r="I73" s="11"/>
      <c r="J73" t="str">
        <f>IFERROR(HYPERLINK("#Main!A"&amp;MATCH(A73,Main!A:A,0),"Open"),HYPERLINK("#Main!A1","Open"))</f>
        <v>Open</v>
      </c>
    </row>
    <row r="74" spans="1:11" ht="30" customHeight="1" x14ac:dyDescent="0.25">
      <c r="A74" s="59" t="s">
        <v>774</v>
      </c>
      <c r="B74" s="8"/>
      <c r="C74" s="8">
        <v>0</v>
      </c>
      <c r="D74" s="8">
        <v>0</v>
      </c>
      <c r="E74" s="8"/>
      <c r="F74" s="8"/>
      <c r="G74" s="8"/>
      <c r="H74" s="63" t="b">
        <v>0</v>
      </c>
      <c r="I74" s="8"/>
      <c r="J74" s="9" t="str">
        <f>IFERROR(HYPERLINK("#Main!A"&amp;MATCH(A74,Main!A:A,0),"Open"),HYPERLINK("#Main!A1","Open"))</f>
        <v>Open</v>
      </c>
      <c r="K74" s="9"/>
    </row>
    <row r="75" spans="1:11" ht="30" customHeight="1" x14ac:dyDescent="0.25">
      <c r="A75" s="58" t="s">
        <v>750</v>
      </c>
      <c r="B75" s="11"/>
      <c r="C75" s="11">
        <v>0</v>
      </c>
      <c r="D75" s="11">
        <v>0</v>
      </c>
      <c r="E75" s="11"/>
      <c r="F75" s="11"/>
      <c r="G75" s="11"/>
      <c r="H75" s="63" t="b">
        <v>0</v>
      </c>
      <c r="I75" s="11"/>
      <c r="J75" t="str">
        <f>IFERROR(HYPERLINK("#Main!A"&amp;MATCH(A75,Main!A:A,0),"Open"),HYPERLINK("#Main!A1","Open"))</f>
        <v>Open</v>
      </c>
    </row>
    <row r="76" spans="1:11" ht="30" customHeight="1" x14ac:dyDescent="0.25">
      <c r="A76" s="59" t="s">
        <v>465</v>
      </c>
      <c r="B76" s="8"/>
      <c r="C76" s="8">
        <v>0</v>
      </c>
      <c r="D76" s="8">
        <v>0</v>
      </c>
      <c r="E76" s="8"/>
      <c r="F76" s="8"/>
      <c r="G76" s="8"/>
      <c r="H76" s="63" t="b">
        <v>0</v>
      </c>
      <c r="I76" s="8"/>
      <c r="J76" s="9" t="str">
        <f>IFERROR(HYPERLINK("#Main!A"&amp;MATCH(A76,Main!A:A,0),"Open"),HYPERLINK("#Main!A1","Open"))</f>
        <v>Open</v>
      </c>
      <c r="K76" s="9"/>
    </row>
    <row r="77" spans="1:11" ht="30" customHeight="1" x14ac:dyDescent="0.25">
      <c r="A77" s="58" t="s">
        <v>457</v>
      </c>
      <c r="B77" s="11"/>
      <c r="C77" s="11">
        <v>0</v>
      </c>
      <c r="D77" s="11">
        <v>0</v>
      </c>
      <c r="E77" s="11"/>
      <c r="F77" s="11"/>
      <c r="G77" s="11"/>
      <c r="H77" s="63" t="b">
        <v>0</v>
      </c>
      <c r="I77" s="11"/>
      <c r="J77" t="str">
        <f>IFERROR(HYPERLINK("#Main!A"&amp;MATCH(A77,Main!A:A,0),"Open"),HYPERLINK("#Main!A1","Open"))</f>
        <v>Open</v>
      </c>
    </row>
    <row r="78" spans="1:11" ht="30" customHeight="1" x14ac:dyDescent="0.25">
      <c r="A78" s="59" t="s">
        <v>449</v>
      </c>
      <c r="B78" s="8"/>
      <c r="C78" s="8">
        <v>0</v>
      </c>
      <c r="D78" s="8">
        <v>0</v>
      </c>
      <c r="E78" s="8"/>
      <c r="F78" s="8"/>
      <c r="G78" s="8"/>
      <c r="H78" s="63" t="b">
        <v>0</v>
      </c>
      <c r="I78" s="8"/>
      <c r="J78" s="9" t="str">
        <f>IFERROR(HYPERLINK("#Main!A"&amp;MATCH(A78,Main!A:A,0),"Open"),HYPERLINK("#Main!A1","Open"))</f>
        <v>Open</v>
      </c>
      <c r="K78" s="9"/>
    </row>
    <row r="79" spans="1:11" ht="30" customHeight="1" x14ac:dyDescent="0.25">
      <c r="A79" s="58" t="s">
        <v>444</v>
      </c>
      <c r="B79" s="11"/>
      <c r="C79" s="11">
        <v>0</v>
      </c>
      <c r="D79" s="11">
        <v>0</v>
      </c>
      <c r="E79" s="11"/>
      <c r="F79" s="11"/>
      <c r="G79" s="11"/>
      <c r="H79" s="63" t="b">
        <v>0</v>
      </c>
      <c r="I79" s="11"/>
      <c r="J79" t="str">
        <f>IFERROR(HYPERLINK("#Main!A"&amp;MATCH(A79,Main!A:A,0),"Open"),HYPERLINK("#Main!A1","Open"))</f>
        <v>Open</v>
      </c>
    </row>
    <row r="80" spans="1:11" ht="30" customHeight="1" x14ac:dyDescent="0.25">
      <c r="A80" s="59" t="s">
        <v>330</v>
      </c>
      <c r="B80" s="8"/>
      <c r="C80" s="8">
        <v>0</v>
      </c>
      <c r="D80" s="8">
        <v>0</v>
      </c>
      <c r="E80" s="8"/>
      <c r="F80" s="8"/>
      <c r="G80" s="8"/>
      <c r="H80" s="63" t="b">
        <v>0</v>
      </c>
      <c r="I80" s="8"/>
      <c r="J80" s="9" t="str">
        <f>IFERROR(HYPERLINK("#Main!A"&amp;MATCH(A80,Main!A:A,0),"Open"),HYPERLINK("#Main!A1","Open"))</f>
        <v>Open</v>
      </c>
      <c r="K80" s="9"/>
    </row>
    <row r="81" spans="1:11" ht="30" customHeight="1" x14ac:dyDescent="0.25">
      <c r="A81" s="58" t="s">
        <v>782</v>
      </c>
      <c r="B81" s="11"/>
      <c r="C81" s="11">
        <v>0</v>
      </c>
      <c r="D81" s="11">
        <v>0</v>
      </c>
      <c r="E81" s="11"/>
      <c r="F81" s="11"/>
      <c r="G81" s="11"/>
      <c r="H81" s="63" t="b">
        <v>0</v>
      </c>
      <c r="I81" s="11"/>
      <c r="J81" t="str">
        <f>IFERROR(HYPERLINK("#Main!A"&amp;MATCH(A81,Main!A:A,0),"Open"),HYPERLINK("#Main!A1","Open"))</f>
        <v>Open</v>
      </c>
    </row>
    <row r="82" spans="1:11" ht="30" customHeight="1" x14ac:dyDescent="0.25">
      <c r="A82" s="59" t="s">
        <v>720</v>
      </c>
      <c r="B82" s="8"/>
      <c r="C82" s="8">
        <v>0</v>
      </c>
      <c r="D82" s="8">
        <v>0</v>
      </c>
      <c r="E82" s="8"/>
      <c r="F82" s="8"/>
      <c r="G82" s="8"/>
      <c r="H82" s="63" t="b">
        <v>0</v>
      </c>
      <c r="I82" s="8"/>
      <c r="J82" s="9" t="str">
        <f>IFERROR(HYPERLINK("#Main!A"&amp;MATCH(A82,Main!A:A,0),"Open"),HYPERLINK("#Main!A1","Open"))</f>
        <v>Open</v>
      </c>
      <c r="K82" s="9"/>
    </row>
    <row r="83" spans="1:11" ht="30" customHeight="1" x14ac:dyDescent="0.25">
      <c r="A83" s="58" t="s">
        <v>635</v>
      </c>
      <c r="B83" s="11"/>
      <c r="C83" s="11">
        <v>0</v>
      </c>
      <c r="D83" s="11">
        <v>0</v>
      </c>
      <c r="E83" s="11"/>
      <c r="F83" s="11"/>
      <c r="G83" s="11"/>
      <c r="H83" s="63" t="b">
        <v>0</v>
      </c>
      <c r="I83" s="11"/>
      <c r="J83" t="str">
        <f>IFERROR(HYPERLINK("#Main!A"&amp;MATCH(A83,Main!A:A,0),"Open"),HYPERLINK("#Main!A1","Open"))</f>
        <v>Open</v>
      </c>
    </row>
    <row r="84" spans="1:11" ht="30" customHeight="1" x14ac:dyDescent="0.25">
      <c r="A84" s="59" t="s">
        <v>180</v>
      </c>
      <c r="B84" s="8"/>
      <c r="C84" s="8">
        <v>0</v>
      </c>
      <c r="D84" s="8">
        <v>0</v>
      </c>
      <c r="E84" s="8"/>
      <c r="F84" s="8"/>
      <c r="G84" s="8"/>
      <c r="H84" s="63" t="b">
        <v>0</v>
      </c>
      <c r="I84" s="8"/>
      <c r="J84" s="9" t="str">
        <f>IFERROR(HYPERLINK("#Main!A"&amp;MATCH(A84,Main!A:A,0),"Open"),HYPERLINK("#Main!A1","Open"))</f>
        <v>Open</v>
      </c>
      <c r="K84" s="9"/>
    </row>
    <row r="85" spans="1:11" ht="30" customHeight="1" x14ac:dyDescent="0.25">
      <c r="A85" s="58" t="s">
        <v>698</v>
      </c>
      <c r="B85" s="11"/>
      <c r="C85" s="11">
        <v>0</v>
      </c>
      <c r="D85" s="11">
        <v>0</v>
      </c>
      <c r="E85" s="11"/>
      <c r="F85" s="11"/>
      <c r="G85" s="11"/>
      <c r="H85" s="63" t="b">
        <v>0</v>
      </c>
      <c r="I85" s="11"/>
      <c r="J85" t="str">
        <f>IFERROR(HYPERLINK("#Main!A"&amp;MATCH(A85,Main!A:A,0),"Open"),HYPERLINK("#Main!A1","Open"))</f>
        <v>Open</v>
      </c>
    </row>
    <row r="86" spans="1:11" ht="30" customHeight="1" x14ac:dyDescent="0.25">
      <c r="A86" s="59" t="s">
        <v>666</v>
      </c>
      <c r="B86" s="8"/>
      <c r="C86" s="8">
        <v>0</v>
      </c>
      <c r="D86" s="8">
        <v>0</v>
      </c>
      <c r="E86" s="8"/>
      <c r="F86" s="8"/>
      <c r="G86" s="8"/>
      <c r="H86" s="63" t="b">
        <v>0</v>
      </c>
      <c r="I86" s="8"/>
      <c r="J86" s="9" t="str">
        <f>IFERROR(HYPERLINK("#Main!A"&amp;MATCH(A86,Main!A:A,0),"Open"),HYPERLINK("#Main!A1","Open"))</f>
        <v>Open</v>
      </c>
      <c r="K86" s="9"/>
    </row>
  </sheetData>
  <autoFilter ref="A1:K86" xr:uid="{00000000-0009-0000-0000-000008000000}"/>
  <dataValidations count="11">
    <dataValidation type="custom" allowBlank="1" showInputMessage="1" promptTitle="URL" prompt="URL. Use this URL to inspect the page directly or jump to related tabs." sqref="A1" xr:uid="{00000000-0002-0000-0800-000000000000}">
      <formula1>TRUE</formula1>
    </dataValidation>
    <dataValidation type="custom" allowBlank="1" showInputMessage="1" promptTitle="Schema Types Found" prompt="Structured data signal. Fix: add valid schema types and correct parsing/validation errors." sqref="B1" xr:uid="{00000000-0002-0000-0800-000001000000}">
      <formula1>TRUE</formula1>
    </dataValidation>
    <dataValidation type="custom" allowBlank="1" showInputMessage="1" promptTitle="Schema Types Count" prompt="Structured data signal. Fix: add valid schema types and correct parsing/validation errors." sqref="C1" xr:uid="{00000000-0002-0000-0800-000002000000}">
      <formula1>TRUE</formula1>
    </dataValidation>
    <dataValidation type="custom" allowBlank="1" showInputMessage="1" promptTitle="Schema Parse Errors" prompt="Structured data signal. Fix: add valid schema types and correct parsing/validation errors." sqref="D1" xr:uid="{00000000-0002-0000-0800-000003000000}">
      <formula1>TRUE</formula1>
    </dataValidation>
    <dataValidation type="custom" allowBlank="1" showInputMessage="1" promptTitle="OG Title" prompt="OG Title. Review this metric to identify risk, then use linked tabs for details and remediation." sqref="E1" xr:uid="{00000000-0002-0000-0800-000004000000}">
      <formula1>TRUE</formula1>
    </dataValidation>
    <dataValidation type="custom" allowBlank="1" showInputMessage="1" promptTitle="OG Description" prompt="OG Description. Review this metric to identify risk, then use linked tabs for details and remediation." sqref="F1" xr:uid="{00000000-0002-0000-0800-000005000000}">
      <formula1>TRUE</formula1>
    </dataValidation>
    <dataValidation type="custom" allowBlank="1" showInputMessage="1" promptTitle="OG Image" prompt="OG Image. Review this metric to identify risk, then use linked tabs for details and remediation." sqref="G1" xr:uid="{00000000-0002-0000-0800-000006000000}">
      <formula1>TRUE</formula1>
    </dataValidation>
    <dataValidation type="custom" allowBlank="1" showInputMessage="1" promptTitle="Open Graph Complete" prompt="Open Graph Complete. Review this metric to identify risk, then use linked tabs for details and remediation." sqref="H1" xr:uid="{00000000-0002-0000-0800-000007000000}">
      <formula1>TRUE</formula1>
    </dataValidation>
    <dataValidation type="custom" allowBlank="1" showInputMessage="1" promptTitle="Twitter Card Type" prompt="Twitter Card Type. Review this metric to identify risk, then use linked tabs for details and remediation." sqref="I1" xr:uid="{00000000-0002-0000-0800-000008000000}">
      <formula1>TRUE</formula1>
    </dataValidation>
    <dataValidation type="custom" allowBlank="1" showInputMessage="1" promptTitle="Open in Main" prompt="Navigation helper. Click to jump directly to the related record in another tab." sqref="J1" xr:uid="{00000000-0002-0000-0800-000009000000}">
      <formula1>TRUE</formula1>
    </dataValidation>
    <dataValidation type="custom" allowBlank="1" showInputMessage="1" promptTitle="BACK TO DASHBOARD" prompt="BACK TO DASHBOARD. Review this metric to identify risk, then use linked tabs for details and remediation." sqref="K1" xr:uid="{00000000-0002-0000-0800-00000A000000}">
      <formula1>TRUE</formula1>
    </dataValidation>
  </dataValidations>
  <hyperlinks>
    <hyperlink ref="K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86"/>
  <sheetViews>
    <sheetView workbookViewId="0">
      <pane ySplit="1" topLeftCell="A2" activePane="bottomLeft" state="frozen"/>
      <selection pane="bottomLeft"/>
    </sheetView>
  </sheetViews>
  <sheetFormatPr defaultRowHeight="15" x14ac:dyDescent="0.25"/>
  <cols>
    <col min="1" max="1" width="45" customWidth="1"/>
    <col min="2" max="2" width="22" customWidth="1"/>
    <col min="3" max="4" width="29" customWidth="1"/>
    <col min="5" max="5" width="33" customWidth="1"/>
    <col min="6" max="6" width="27" customWidth="1"/>
    <col min="7" max="7" width="22" customWidth="1"/>
    <col min="8" max="9" width="31" customWidth="1"/>
    <col min="10" max="10" width="24" customWidth="1"/>
  </cols>
  <sheetData>
    <row r="1" spans="1:12" ht="45" x14ac:dyDescent="0.25">
      <c r="A1" s="5" t="s">
        <v>118</v>
      </c>
      <c r="B1" s="5" t="s">
        <v>1201</v>
      </c>
      <c r="C1" s="5" t="s">
        <v>1202</v>
      </c>
      <c r="D1" s="5" t="s">
        <v>1203</v>
      </c>
      <c r="E1" s="5" t="s">
        <v>1204</v>
      </c>
      <c r="F1" s="5" t="s">
        <v>1205</v>
      </c>
      <c r="G1" s="5" t="s">
        <v>1206</v>
      </c>
      <c r="H1" s="5" t="s">
        <v>1207</v>
      </c>
      <c r="I1" s="5" t="s">
        <v>1208</v>
      </c>
      <c r="J1" s="5" t="s">
        <v>1209</v>
      </c>
      <c r="K1" s="5" t="s">
        <v>135</v>
      </c>
      <c r="L1" s="39" t="s">
        <v>136</v>
      </c>
    </row>
    <row r="2" spans="1:12" ht="30" customHeight="1" x14ac:dyDescent="0.25">
      <c r="A2" s="59" t="s">
        <v>682</v>
      </c>
      <c r="B2" s="8">
        <v>0</v>
      </c>
      <c r="C2" s="8">
        <v>0</v>
      </c>
      <c r="D2" s="6">
        <v>0</v>
      </c>
      <c r="E2" s="8">
        <v>0</v>
      </c>
      <c r="F2" s="6">
        <v>0</v>
      </c>
      <c r="G2" s="8">
        <v>0</v>
      </c>
      <c r="H2" s="8">
        <v>0</v>
      </c>
      <c r="I2" s="8">
        <v>0</v>
      </c>
      <c r="J2" s="8"/>
      <c r="K2" s="9" t="str">
        <f>IFERROR(HYPERLINK("#Main!A"&amp;MATCH(A2,Main!A:A,0),"Open"),HYPERLINK("#Main!A1","Open"))</f>
        <v>Open</v>
      </c>
      <c r="L2" s="9"/>
    </row>
    <row r="3" spans="1:12" ht="15.75" x14ac:dyDescent="0.25">
      <c r="A3" s="58" t="s">
        <v>140</v>
      </c>
      <c r="B3" s="11">
        <v>0</v>
      </c>
      <c r="C3" s="11">
        <v>0</v>
      </c>
      <c r="D3" s="6">
        <v>0</v>
      </c>
      <c r="E3" s="11">
        <v>0</v>
      </c>
      <c r="F3" s="6">
        <v>0</v>
      </c>
      <c r="G3" s="11">
        <v>0</v>
      </c>
      <c r="H3" s="11">
        <v>0</v>
      </c>
      <c r="I3" s="11">
        <v>0</v>
      </c>
      <c r="J3" s="11"/>
      <c r="K3" t="str">
        <f>IFERROR(HYPERLINK("#Main!A"&amp;MATCH(A3,Main!A:A,0),"Open"),HYPERLINK("#Main!A1","Open"))</f>
        <v>Open</v>
      </c>
    </row>
    <row r="4" spans="1:12" ht="30" customHeight="1" x14ac:dyDescent="0.25">
      <c r="A4" s="59" t="s">
        <v>674</v>
      </c>
      <c r="B4" s="8">
        <v>0</v>
      </c>
      <c r="C4" s="8">
        <v>0</v>
      </c>
      <c r="D4" s="6">
        <v>0</v>
      </c>
      <c r="E4" s="8">
        <v>0</v>
      </c>
      <c r="F4" s="6">
        <v>0</v>
      </c>
      <c r="G4" s="8">
        <v>0</v>
      </c>
      <c r="H4" s="8">
        <v>0</v>
      </c>
      <c r="I4" s="8">
        <v>0</v>
      </c>
      <c r="J4" s="8"/>
      <c r="K4" s="9" t="str">
        <f>IFERROR(HYPERLINK("#Main!A"&amp;MATCH(A4,Main!A:A,0),"Open"),HYPERLINK("#Main!A1","Open"))</f>
        <v>Open</v>
      </c>
      <c r="L4" s="9"/>
    </row>
    <row r="5" spans="1:12" ht="30" customHeight="1" x14ac:dyDescent="0.25">
      <c r="A5" s="58" t="s">
        <v>642</v>
      </c>
      <c r="B5" s="11">
        <v>0</v>
      </c>
      <c r="C5" s="11">
        <v>0</v>
      </c>
      <c r="D5" s="6">
        <v>0</v>
      </c>
      <c r="E5" s="11">
        <v>0</v>
      </c>
      <c r="F5" s="6">
        <v>0</v>
      </c>
      <c r="G5" s="11">
        <v>0</v>
      </c>
      <c r="H5" s="11">
        <v>0</v>
      </c>
      <c r="I5" s="11">
        <v>0</v>
      </c>
      <c r="J5" s="11"/>
      <c r="K5" t="str">
        <f>IFERROR(HYPERLINK("#Main!A"&amp;MATCH(A5,Main!A:A,0),"Open"),HYPERLINK("#Main!A1","Open"))</f>
        <v>Open</v>
      </c>
    </row>
    <row r="6" spans="1:12" ht="30" customHeight="1" x14ac:dyDescent="0.25">
      <c r="A6" s="59" t="s">
        <v>322</v>
      </c>
      <c r="B6" s="8">
        <v>0</v>
      </c>
      <c r="C6" s="8">
        <v>0</v>
      </c>
      <c r="D6" s="6">
        <v>0</v>
      </c>
      <c r="E6" s="8">
        <v>0</v>
      </c>
      <c r="F6" s="6">
        <v>0</v>
      </c>
      <c r="G6" s="8">
        <v>0</v>
      </c>
      <c r="H6" s="8">
        <v>0</v>
      </c>
      <c r="I6" s="8">
        <v>0</v>
      </c>
      <c r="J6" s="8"/>
      <c r="K6" s="9" t="str">
        <f>IFERROR(HYPERLINK("#Main!A"&amp;MATCH(A6,Main!A:A,0),"Open"),HYPERLINK("#Main!A1","Open"))</f>
        <v>Open</v>
      </c>
      <c r="L6" s="9"/>
    </row>
    <row r="7" spans="1:12" ht="30" customHeight="1" x14ac:dyDescent="0.25">
      <c r="A7" s="58" t="s">
        <v>519</v>
      </c>
      <c r="B7" s="11">
        <v>0</v>
      </c>
      <c r="C7" s="11">
        <v>0</v>
      </c>
      <c r="D7" s="6">
        <v>0</v>
      </c>
      <c r="E7" s="11">
        <v>0</v>
      </c>
      <c r="F7" s="6">
        <v>0</v>
      </c>
      <c r="G7" s="11">
        <v>0</v>
      </c>
      <c r="H7" s="11">
        <v>0</v>
      </c>
      <c r="I7" s="11">
        <v>0</v>
      </c>
      <c r="J7" s="11"/>
      <c r="K7" t="str">
        <f>IFERROR(HYPERLINK("#Main!A"&amp;MATCH(A7,Main!A:A,0),"Open"),HYPERLINK("#Main!A1","Open"))</f>
        <v>Open</v>
      </c>
    </row>
    <row r="8" spans="1:12" ht="30" customHeight="1" x14ac:dyDescent="0.25">
      <c r="A8" s="59" t="s">
        <v>551</v>
      </c>
      <c r="B8" s="8">
        <v>0</v>
      </c>
      <c r="C8" s="8">
        <v>0</v>
      </c>
      <c r="D8" s="6">
        <v>0</v>
      </c>
      <c r="E8" s="8">
        <v>0</v>
      </c>
      <c r="F8" s="6">
        <v>0</v>
      </c>
      <c r="G8" s="8">
        <v>0</v>
      </c>
      <c r="H8" s="8">
        <v>0</v>
      </c>
      <c r="I8" s="8">
        <v>0</v>
      </c>
      <c r="J8" s="8"/>
      <c r="K8" s="9" t="str">
        <f>IFERROR(HYPERLINK("#Main!A"&amp;MATCH(A8,Main!A:A,0),"Open"),HYPERLINK("#Main!A1","Open"))</f>
        <v>Open</v>
      </c>
      <c r="L8" s="9"/>
    </row>
    <row r="9" spans="1:12" ht="30" customHeight="1" x14ac:dyDescent="0.25">
      <c r="A9" s="58" t="s">
        <v>606</v>
      </c>
      <c r="B9" s="11">
        <v>0</v>
      </c>
      <c r="C9" s="11">
        <v>0</v>
      </c>
      <c r="D9" s="6">
        <v>0</v>
      </c>
      <c r="E9" s="11">
        <v>0</v>
      </c>
      <c r="F9" s="6">
        <v>0</v>
      </c>
      <c r="G9" s="11">
        <v>0</v>
      </c>
      <c r="H9" s="11">
        <v>0</v>
      </c>
      <c r="I9" s="11">
        <v>0</v>
      </c>
      <c r="J9" s="11"/>
      <c r="K9" t="str">
        <f>IFERROR(HYPERLINK("#Main!A"&amp;MATCH(A9,Main!A:A,0),"Open"),HYPERLINK("#Main!A1","Open"))</f>
        <v>Open</v>
      </c>
    </row>
    <row r="10" spans="1:12" ht="30" customHeight="1" x14ac:dyDescent="0.25">
      <c r="A10" s="59" t="s">
        <v>512</v>
      </c>
      <c r="B10" s="8">
        <v>0</v>
      </c>
      <c r="C10" s="8">
        <v>0</v>
      </c>
      <c r="D10" s="6">
        <v>0</v>
      </c>
      <c r="E10" s="8">
        <v>0</v>
      </c>
      <c r="F10" s="6">
        <v>0</v>
      </c>
      <c r="G10" s="8">
        <v>0</v>
      </c>
      <c r="H10" s="8">
        <v>0</v>
      </c>
      <c r="I10" s="8">
        <v>0</v>
      </c>
      <c r="J10" s="8"/>
      <c r="K10" s="9" t="str">
        <f>IFERROR(HYPERLINK("#Main!A"&amp;MATCH(A10,Main!A:A,0),"Open"),HYPERLINK("#Main!A1","Open"))</f>
        <v>Open</v>
      </c>
      <c r="L10" s="9"/>
    </row>
    <row r="11" spans="1:12" ht="30" customHeight="1" x14ac:dyDescent="0.25">
      <c r="A11" s="58" t="s">
        <v>582</v>
      </c>
      <c r="B11" s="11">
        <v>0</v>
      </c>
      <c r="C11" s="11">
        <v>0</v>
      </c>
      <c r="D11" s="6">
        <v>0</v>
      </c>
      <c r="E11" s="11">
        <v>0</v>
      </c>
      <c r="F11" s="6">
        <v>0</v>
      </c>
      <c r="G11" s="11">
        <v>0</v>
      </c>
      <c r="H11" s="11">
        <v>0</v>
      </c>
      <c r="I11" s="11">
        <v>0</v>
      </c>
      <c r="J11" s="11"/>
      <c r="K11" t="str">
        <f>IFERROR(HYPERLINK("#Main!A"&amp;MATCH(A11,Main!A:A,0),"Open"),HYPERLINK("#Main!A1","Open"))</f>
        <v>Open</v>
      </c>
    </row>
    <row r="12" spans="1:12" ht="30" customHeight="1" x14ac:dyDescent="0.25">
      <c r="A12" s="59" t="s">
        <v>658</v>
      </c>
      <c r="B12" s="8">
        <v>0</v>
      </c>
      <c r="C12" s="8">
        <v>0</v>
      </c>
      <c r="D12" s="6">
        <v>0</v>
      </c>
      <c r="E12" s="8">
        <v>0</v>
      </c>
      <c r="F12" s="6">
        <v>0</v>
      </c>
      <c r="G12" s="8">
        <v>0</v>
      </c>
      <c r="H12" s="8">
        <v>0</v>
      </c>
      <c r="I12" s="8">
        <v>0</v>
      </c>
      <c r="J12" s="8"/>
      <c r="K12" s="9" t="str">
        <f>IFERROR(HYPERLINK("#Main!A"&amp;MATCH(A12,Main!A:A,0),"Open"),HYPERLINK("#Main!A1","Open"))</f>
        <v>Open</v>
      </c>
      <c r="L12" s="9"/>
    </row>
    <row r="13" spans="1:12" ht="30" customHeight="1" x14ac:dyDescent="0.25">
      <c r="A13" s="58" t="s">
        <v>156</v>
      </c>
      <c r="B13" s="11">
        <v>0</v>
      </c>
      <c r="C13" s="11">
        <v>0</v>
      </c>
      <c r="D13" s="6">
        <v>0</v>
      </c>
      <c r="E13" s="11">
        <v>0</v>
      </c>
      <c r="F13" s="6">
        <v>0</v>
      </c>
      <c r="G13" s="11">
        <v>0</v>
      </c>
      <c r="H13" s="11">
        <v>0</v>
      </c>
      <c r="I13" s="11">
        <v>0</v>
      </c>
      <c r="J13" s="11"/>
      <c r="K13" t="str">
        <f>IFERROR(HYPERLINK("#Main!A"&amp;MATCH(A13,Main!A:A,0),"Open"),HYPERLINK("#Main!A1","Open"))</f>
        <v>Open</v>
      </c>
    </row>
    <row r="14" spans="1:12" ht="30" customHeight="1" x14ac:dyDescent="0.25">
      <c r="A14" s="59" t="s">
        <v>650</v>
      </c>
      <c r="B14" s="8">
        <v>0</v>
      </c>
      <c r="C14" s="8">
        <v>0</v>
      </c>
      <c r="D14" s="6">
        <v>0</v>
      </c>
      <c r="E14" s="8">
        <v>0</v>
      </c>
      <c r="F14" s="6">
        <v>0</v>
      </c>
      <c r="G14" s="8">
        <v>0</v>
      </c>
      <c r="H14" s="8">
        <v>0</v>
      </c>
      <c r="I14" s="8">
        <v>0</v>
      </c>
      <c r="J14" s="8"/>
      <c r="K14" s="9" t="str">
        <f>IFERROR(HYPERLINK("#Main!A"&amp;MATCH(A14,Main!A:A,0),"Open"),HYPERLINK("#Main!A1","Open"))</f>
        <v>Open</v>
      </c>
      <c r="L14" s="9"/>
    </row>
    <row r="15" spans="1:12" ht="30" customHeight="1" x14ac:dyDescent="0.25">
      <c r="A15" s="58" t="s">
        <v>704</v>
      </c>
      <c r="B15" s="11">
        <v>0</v>
      </c>
      <c r="C15" s="11">
        <v>0</v>
      </c>
      <c r="D15" s="6">
        <v>0</v>
      </c>
      <c r="E15" s="11">
        <v>0</v>
      </c>
      <c r="F15" s="6">
        <v>0</v>
      </c>
      <c r="G15" s="11">
        <v>0</v>
      </c>
      <c r="H15" s="11">
        <v>0</v>
      </c>
      <c r="I15" s="11">
        <v>0</v>
      </c>
      <c r="J15" s="11"/>
      <c r="K15" t="str">
        <f>IFERROR(HYPERLINK("#Main!A"&amp;MATCH(A15,Main!A:A,0),"Open"),HYPERLINK("#Main!A1","Open"))</f>
        <v>Open</v>
      </c>
    </row>
    <row r="16" spans="1:12" ht="30" customHeight="1" x14ac:dyDescent="0.25">
      <c r="A16" s="59" t="s">
        <v>148</v>
      </c>
      <c r="B16" s="8">
        <v>0</v>
      </c>
      <c r="C16" s="8">
        <v>0</v>
      </c>
      <c r="D16" s="6">
        <v>0</v>
      </c>
      <c r="E16" s="8">
        <v>0</v>
      </c>
      <c r="F16" s="6">
        <v>0</v>
      </c>
      <c r="G16" s="8">
        <v>0</v>
      </c>
      <c r="H16" s="8">
        <v>0</v>
      </c>
      <c r="I16" s="8">
        <v>0</v>
      </c>
      <c r="J16" s="8"/>
      <c r="K16" s="9" t="str">
        <f>IFERROR(HYPERLINK("#Main!A"&amp;MATCH(A16,Main!A:A,0),"Open"),HYPERLINK("#Main!A1","Open"))</f>
        <v>Open</v>
      </c>
      <c r="L16" s="9"/>
    </row>
    <row r="17" spans="1:12" ht="30" customHeight="1" x14ac:dyDescent="0.25">
      <c r="A17" s="58" t="s">
        <v>497</v>
      </c>
      <c r="B17" s="11">
        <v>0</v>
      </c>
      <c r="C17" s="11">
        <v>0</v>
      </c>
      <c r="D17" s="6">
        <v>0</v>
      </c>
      <c r="E17" s="11">
        <v>0</v>
      </c>
      <c r="F17" s="6">
        <v>0</v>
      </c>
      <c r="G17" s="11">
        <v>0</v>
      </c>
      <c r="H17" s="11">
        <v>0</v>
      </c>
      <c r="I17" s="11">
        <v>0</v>
      </c>
      <c r="J17" s="11"/>
      <c r="K17" t="str">
        <f>IFERROR(HYPERLINK("#Main!A"&amp;MATCH(A17,Main!A:A,0),"Open"),HYPERLINK("#Main!A1","Open"))</f>
        <v>Open</v>
      </c>
    </row>
    <row r="18" spans="1:12" ht="30" customHeight="1" x14ac:dyDescent="0.25">
      <c r="A18" s="59" t="s">
        <v>505</v>
      </c>
      <c r="B18" s="8">
        <v>0</v>
      </c>
      <c r="C18" s="8">
        <v>0</v>
      </c>
      <c r="D18" s="6">
        <v>0</v>
      </c>
      <c r="E18" s="8">
        <v>0</v>
      </c>
      <c r="F18" s="6">
        <v>0</v>
      </c>
      <c r="G18" s="8">
        <v>0</v>
      </c>
      <c r="H18" s="8">
        <v>0</v>
      </c>
      <c r="I18" s="8">
        <v>0</v>
      </c>
      <c r="J18" s="8"/>
      <c r="K18" s="9" t="str">
        <f>IFERROR(HYPERLINK("#Main!A"&amp;MATCH(A18,Main!A:A,0),"Open"),HYPERLINK("#Main!A1","Open"))</f>
        <v>Open</v>
      </c>
      <c r="L18" s="9"/>
    </row>
    <row r="19" spans="1:12" ht="30" customHeight="1" x14ac:dyDescent="0.25">
      <c r="A19" s="58" t="s">
        <v>690</v>
      </c>
      <c r="B19" s="11">
        <v>0</v>
      </c>
      <c r="C19" s="11">
        <v>0</v>
      </c>
      <c r="D19" s="6">
        <v>0</v>
      </c>
      <c r="E19" s="11">
        <v>0</v>
      </c>
      <c r="F19" s="6">
        <v>0</v>
      </c>
      <c r="G19" s="11">
        <v>0</v>
      </c>
      <c r="H19" s="11">
        <v>0</v>
      </c>
      <c r="I19" s="11">
        <v>0</v>
      </c>
      <c r="J19" s="11"/>
      <c r="K19" t="str">
        <f>IFERROR(HYPERLINK("#Main!A"&amp;MATCH(A19,Main!A:A,0),"Open"),HYPERLINK("#Main!A1","Open"))</f>
        <v>Open</v>
      </c>
    </row>
    <row r="20" spans="1:12" ht="30" customHeight="1" x14ac:dyDescent="0.25">
      <c r="A20" s="59" t="s">
        <v>306</v>
      </c>
      <c r="B20" s="8">
        <v>0</v>
      </c>
      <c r="C20" s="8">
        <v>0</v>
      </c>
      <c r="D20" s="6">
        <v>0</v>
      </c>
      <c r="E20" s="8">
        <v>0</v>
      </c>
      <c r="F20" s="6">
        <v>0</v>
      </c>
      <c r="G20" s="8">
        <v>0</v>
      </c>
      <c r="H20" s="8">
        <v>0</v>
      </c>
      <c r="I20" s="8">
        <v>0</v>
      </c>
      <c r="J20" s="8"/>
      <c r="K20" s="9" t="str">
        <f>IFERROR(HYPERLINK("#Main!A"&amp;MATCH(A20,Main!A:A,0),"Open"),HYPERLINK("#Main!A1","Open"))</f>
        <v>Open</v>
      </c>
      <c r="L20" s="9"/>
    </row>
    <row r="21" spans="1:12" ht="30" customHeight="1" x14ac:dyDescent="0.25">
      <c r="A21" s="58" t="s">
        <v>314</v>
      </c>
      <c r="B21" s="11">
        <v>0</v>
      </c>
      <c r="C21" s="11">
        <v>0</v>
      </c>
      <c r="D21" s="6">
        <v>0</v>
      </c>
      <c r="E21" s="11">
        <v>0</v>
      </c>
      <c r="F21" s="6">
        <v>0</v>
      </c>
      <c r="G21" s="11">
        <v>0</v>
      </c>
      <c r="H21" s="11">
        <v>0</v>
      </c>
      <c r="I21" s="11">
        <v>0</v>
      </c>
      <c r="J21" s="11"/>
      <c r="K21" t="str">
        <f>IFERROR(HYPERLINK("#Main!A"&amp;MATCH(A21,Main!A:A,0),"Open"),HYPERLINK("#Main!A1","Open"))</f>
        <v>Open</v>
      </c>
    </row>
    <row r="22" spans="1:12" ht="30" customHeight="1" x14ac:dyDescent="0.25">
      <c r="A22" s="59" t="s">
        <v>366</v>
      </c>
      <c r="B22" s="8">
        <v>0</v>
      </c>
      <c r="C22" s="8">
        <v>0</v>
      </c>
      <c r="D22" s="6">
        <v>0</v>
      </c>
      <c r="E22" s="8">
        <v>0</v>
      </c>
      <c r="F22" s="6">
        <v>0</v>
      </c>
      <c r="G22" s="8">
        <v>0</v>
      </c>
      <c r="H22" s="8">
        <v>0</v>
      </c>
      <c r="I22" s="8">
        <v>0</v>
      </c>
      <c r="J22" s="8"/>
      <c r="K22" s="9" t="str">
        <f>IFERROR(HYPERLINK("#Main!A"&amp;MATCH(A22,Main!A:A,0),"Open"),HYPERLINK("#Main!A1","Open"))</f>
        <v>Open</v>
      </c>
      <c r="L22" s="9"/>
    </row>
    <row r="23" spans="1:12" ht="30" customHeight="1" x14ac:dyDescent="0.25">
      <c r="A23" s="58" t="s">
        <v>417</v>
      </c>
      <c r="B23" s="11">
        <v>0</v>
      </c>
      <c r="C23" s="11">
        <v>0</v>
      </c>
      <c r="D23" s="6">
        <v>0</v>
      </c>
      <c r="E23" s="11">
        <v>0</v>
      </c>
      <c r="F23" s="6">
        <v>0</v>
      </c>
      <c r="G23" s="11">
        <v>0</v>
      </c>
      <c r="H23" s="11">
        <v>0</v>
      </c>
      <c r="I23" s="11">
        <v>0</v>
      </c>
      <c r="J23" s="11"/>
      <c r="K23" t="str">
        <f>IFERROR(HYPERLINK("#Main!A"&amp;MATCH(A23,Main!A:A,0),"Open"),HYPERLINK("#Main!A1","Open"))</f>
        <v>Open</v>
      </c>
    </row>
    <row r="24" spans="1:12" ht="30" customHeight="1" x14ac:dyDescent="0.25">
      <c r="A24" s="59" t="s">
        <v>290</v>
      </c>
      <c r="B24" s="8">
        <v>0</v>
      </c>
      <c r="C24" s="8">
        <v>0</v>
      </c>
      <c r="D24" s="6">
        <v>0</v>
      </c>
      <c r="E24" s="8">
        <v>0</v>
      </c>
      <c r="F24" s="6">
        <v>0</v>
      </c>
      <c r="G24" s="8">
        <v>0</v>
      </c>
      <c r="H24" s="8">
        <v>0</v>
      </c>
      <c r="I24" s="8">
        <v>0</v>
      </c>
      <c r="J24" s="8"/>
      <c r="K24" s="9" t="str">
        <f>IFERROR(HYPERLINK("#Main!A"&amp;MATCH(A24,Main!A:A,0),"Open"),HYPERLINK("#Main!A1","Open"))</f>
        <v>Open</v>
      </c>
      <c r="L24" s="9"/>
    </row>
    <row r="25" spans="1:12" ht="30" customHeight="1" x14ac:dyDescent="0.25">
      <c r="A25" s="58" t="s">
        <v>188</v>
      </c>
      <c r="B25" s="11">
        <v>0</v>
      </c>
      <c r="C25" s="11">
        <v>0</v>
      </c>
      <c r="D25" s="6">
        <v>0</v>
      </c>
      <c r="E25" s="11">
        <v>0</v>
      </c>
      <c r="F25" s="6">
        <v>0</v>
      </c>
      <c r="G25" s="11">
        <v>0</v>
      </c>
      <c r="H25" s="11">
        <v>0</v>
      </c>
      <c r="I25" s="11">
        <v>0</v>
      </c>
      <c r="J25" s="11"/>
      <c r="K25" t="str">
        <f>IFERROR(HYPERLINK("#Main!A"&amp;MATCH(A25,Main!A:A,0),"Open"),HYPERLINK("#Main!A1","Open"))</f>
        <v>Open</v>
      </c>
    </row>
    <row r="26" spans="1:12" ht="30" customHeight="1" x14ac:dyDescent="0.25">
      <c r="A26" s="59" t="s">
        <v>242</v>
      </c>
      <c r="B26" s="8">
        <v>0</v>
      </c>
      <c r="C26" s="8">
        <v>0</v>
      </c>
      <c r="D26" s="6">
        <v>0</v>
      </c>
      <c r="E26" s="8">
        <v>0</v>
      </c>
      <c r="F26" s="6">
        <v>0</v>
      </c>
      <c r="G26" s="8">
        <v>0</v>
      </c>
      <c r="H26" s="8">
        <v>0</v>
      </c>
      <c r="I26" s="8">
        <v>0</v>
      </c>
      <c r="J26" s="8"/>
      <c r="K26" s="9" t="str">
        <f>IFERROR(HYPERLINK("#Main!A"&amp;MATCH(A26,Main!A:A,0),"Open"),HYPERLINK("#Main!A1","Open"))</f>
        <v>Open</v>
      </c>
      <c r="L26" s="9"/>
    </row>
    <row r="27" spans="1:12" ht="30" customHeight="1" x14ac:dyDescent="0.25">
      <c r="A27" s="58" t="s">
        <v>574</v>
      </c>
      <c r="B27" s="11">
        <v>0</v>
      </c>
      <c r="C27" s="11">
        <v>0</v>
      </c>
      <c r="D27" s="6">
        <v>0</v>
      </c>
      <c r="E27" s="11">
        <v>0</v>
      </c>
      <c r="F27" s="6">
        <v>0</v>
      </c>
      <c r="G27" s="11">
        <v>0</v>
      </c>
      <c r="H27" s="11">
        <v>0</v>
      </c>
      <c r="I27" s="11">
        <v>0</v>
      </c>
      <c r="J27" s="11"/>
      <c r="K27" t="str">
        <f>IFERROR(HYPERLINK("#Main!A"&amp;MATCH(A27,Main!A:A,0),"Open"),HYPERLINK("#Main!A1","Open"))</f>
        <v>Open</v>
      </c>
    </row>
    <row r="28" spans="1:12" ht="30" customHeight="1" x14ac:dyDescent="0.25">
      <c r="A28" s="59" t="s">
        <v>627</v>
      </c>
      <c r="B28" s="8">
        <v>0</v>
      </c>
      <c r="C28" s="8">
        <v>0</v>
      </c>
      <c r="D28" s="6">
        <v>0</v>
      </c>
      <c r="E28" s="8">
        <v>0</v>
      </c>
      <c r="F28" s="6">
        <v>0</v>
      </c>
      <c r="G28" s="8">
        <v>0</v>
      </c>
      <c r="H28" s="8">
        <v>0</v>
      </c>
      <c r="I28" s="8">
        <v>0</v>
      </c>
      <c r="J28" s="8"/>
      <c r="K28" s="9" t="str">
        <f>IFERROR(HYPERLINK("#Main!A"&amp;MATCH(A28,Main!A:A,0),"Open"),HYPERLINK("#Main!A1","Open"))</f>
        <v>Open</v>
      </c>
      <c r="L28" s="9"/>
    </row>
    <row r="29" spans="1:12" ht="30" customHeight="1" x14ac:dyDescent="0.25">
      <c r="A29" s="58" t="s">
        <v>274</v>
      </c>
      <c r="B29" s="11">
        <v>0</v>
      </c>
      <c r="C29" s="11">
        <v>0</v>
      </c>
      <c r="D29" s="6">
        <v>0</v>
      </c>
      <c r="E29" s="11">
        <v>0</v>
      </c>
      <c r="F29" s="6">
        <v>0</v>
      </c>
      <c r="G29" s="11">
        <v>0</v>
      </c>
      <c r="H29" s="11">
        <v>0</v>
      </c>
      <c r="I29" s="11">
        <v>0</v>
      </c>
      <c r="J29" s="11"/>
      <c r="K29" t="str">
        <f>IFERROR(HYPERLINK("#Main!A"&amp;MATCH(A29,Main!A:A,0),"Open"),HYPERLINK("#Main!A1","Open"))</f>
        <v>Open</v>
      </c>
    </row>
    <row r="30" spans="1:12" ht="30" customHeight="1" x14ac:dyDescent="0.25">
      <c r="A30" s="59" t="s">
        <v>401</v>
      </c>
      <c r="B30" s="8">
        <v>0</v>
      </c>
      <c r="C30" s="8">
        <v>0</v>
      </c>
      <c r="D30" s="6">
        <v>0</v>
      </c>
      <c r="E30" s="8">
        <v>0</v>
      </c>
      <c r="F30" s="6">
        <v>0</v>
      </c>
      <c r="G30" s="8">
        <v>0</v>
      </c>
      <c r="H30" s="8">
        <v>0</v>
      </c>
      <c r="I30" s="8">
        <v>0</v>
      </c>
      <c r="J30" s="8"/>
      <c r="K30" s="9" t="str">
        <f>IFERROR(HYPERLINK("#Main!A"&amp;MATCH(A30,Main!A:A,0),"Open"),HYPERLINK("#Main!A1","Open"))</f>
        <v>Open</v>
      </c>
      <c r="L30" s="9"/>
    </row>
    <row r="31" spans="1:12" ht="30" customHeight="1" x14ac:dyDescent="0.25">
      <c r="A31" s="58" t="s">
        <v>298</v>
      </c>
      <c r="B31" s="11">
        <v>0</v>
      </c>
      <c r="C31" s="11">
        <v>0</v>
      </c>
      <c r="D31" s="6">
        <v>0</v>
      </c>
      <c r="E31" s="11">
        <v>0</v>
      </c>
      <c r="F31" s="6">
        <v>0</v>
      </c>
      <c r="G31" s="11">
        <v>0</v>
      </c>
      <c r="H31" s="11">
        <v>0</v>
      </c>
      <c r="I31" s="11">
        <v>0</v>
      </c>
      <c r="J31" s="11"/>
      <c r="K31" t="str">
        <f>IFERROR(HYPERLINK("#Main!A"&amp;MATCH(A31,Main!A:A,0),"Open"),HYPERLINK("#Main!A1","Open"))</f>
        <v>Open</v>
      </c>
    </row>
    <row r="32" spans="1:12" ht="30" customHeight="1" x14ac:dyDescent="0.25">
      <c r="A32" s="59" t="s">
        <v>481</v>
      </c>
      <c r="B32" s="8">
        <v>0</v>
      </c>
      <c r="C32" s="8">
        <v>0</v>
      </c>
      <c r="D32" s="6">
        <v>0</v>
      </c>
      <c r="E32" s="8">
        <v>0</v>
      </c>
      <c r="F32" s="6">
        <v>0</v>
      </c>
      <c r="G32" s="8">
        <v>0</v>
      </c>
      <c r="H32" s="8">
        <v>0</v>
      </c>
      <c r="I32" s="8">
        <v>0</v>
      </c>
      <c r="J32" s="8"/>
      <c r="K32" s="9" t="str">
        <f>IFERROR(HYPERLINK("#Main!A"&amp;MATCH(A32,Main!A:A,0),"Open"),HYPERLINK("#Main!A1","Open"))</f>
        <v>Open</v>
      </c>
      <c r="L32" s="9"/>
    </row>
    <row r="33" spans="1:12" ht="30" customHeight="1" x14ac:dyDescent="0.25">
      <c r="A33" s="58" t="s">
        <v>172</v>
      </c>
      <c r="B33" s="11">
        <v>0</v>
      </c>
      <c r="C33" s="11">
        <v>0</v>
      </c>
      <c r="D33" s="6">
        <v>0</v>
      </c>
      <c r="E33" s="11">
        <v>0</v>
      </c>
      <c r="F33" s="6">
        <v>0</v>
      </c>
      <c r="G33" s="11">
        <v>0</v>
      </c>
      <c r="H33" s="11">
        <v>0</v>
      </c>
      <c r="I33" s="11">
        <v>0</v>
      </c>
      <c r="J33" s="11"/>
      <c r="K33" t="str">
        <f>IFERROR(HYPERLINK("#Main!A"&amp;MATCH(A33,Main!A:A,0),"Open"),HYPERLINK("#Main!A1","Open"))</f>
        <v>Open</v>
      </c>
    </row>
    <row r="34" spans="1:12" ht="30" customHeight="1" x14ac:dyDescent="0.25">
      <c r="A34" s="59" t="s">
        <v>727</v>
      </c>
      <c r="B34" s="8">
        <v>0</v>
      </c>
      <c r="C34" s="8">
        <v>0</v>
      </c>
      <c r="D34" s="6">
        <v>0</v>
      </c>
      <c r="E34" s="8">
        <v>0</v>
      </c>
      <c r="F34" s="6">
        <v>0</v>
      </c>
      <c r="G34" s="8">
        <v>0</v>
      </c>
      <c r="H34" s="8">
        <v>0</v>
      </c>
      <c r="I34" s="8">
        <v>0</v>
      </c>
      <c r="J34" s="8"/>
      <c r="K34" s="9" t="str">
        <f>IFERROR(HYPERLINK("#Main!A"&amp;MATCH(A34,Main!A:A,0),"Open"),HYPERLINK("#Main!A1","Open"))</f>
        <v>Open</v>
      </c>
      <c r="L34" s="9"/>
    </row>
    <row r="35" spans="1:12" ht="30" customHeight="1" x14ac:dyDescent="0.25">
      <c r="A35" s="58" t="s">
        <v>559</v>
      </c>
      <c r="B35" s="11">
        <v>0</v>
      </c>
      <c r="C35" s="11">
        <v>0</v>
      </c>
      <c r="D35" s="6">
        <v>0</v>
      </c>
      <c r="E35" s="11">
        <v>0</v>
      </c>
      <c r="F35" s="6">
        <v>0</v>
      </c>
      <c r="G35" s="11">
        <v>0</v>
      </c>
      <c r="H35" s="11">
        <v>0</v>
      </c>
      <c r="I35" s="11">
        <v>0</v>
      </c>
      <c r="J35" s="11"/>
      <c r="K35" t="str">
        <f>IFERROR(HYPERLINK("#Main!A"&amp;MATCH(A35,Main!A:A,0),"Open"),HYPERLINK("#Main!A1","Open"))</f>
        <v>Open</v>
      </c>
    </row>
    <row r="36" spans="1:12" ht="30" customHeight="1" x14ac:dyDescent="0.25">
      <c r="A36" s="59" t="s">
        <v>393</v>
      </c>
      <c r="B36" s="8">
        <v>0</v>
      </c>
      <c r="C36" s="8">
        <v>0</v>
      </c>
      <c r="D36" s="6">
        <v>0</v>
      </c>
      <c r="E36" s="8">
        <v>0</v>
      </c>
      <c r="F36" s="6">
        <v>0</v>
      </c>
      <c r="G36" s="8">
        <v>0</v>
      </c>
      <c r="H36" s="8">
        <v>0</v>
      </c>
      <c r="I36" s="8">
        <v>0</v>
      </c>
      <c r="J36" s="8"/>
      <c r="K36" s="9" t="str">
        <f>IFERROR(HYPERLINK("#Main!A"&amp;MATCH(A36,Main!A:A,0),"Open"),HYPERLINK("#Main!A1","Open"))</f>
        <v>Open</v>
      </c>
      <c r="L36" s="9"/>
    </row>
    <row r="37" spans="1:12" ht="30" customHeight="1" x14ac:dyDescent="0.25">
      <c r="A37" s="58" t="s">
        <v>566</v>
      </c>
      <c r="B37" s="11">
        <v>0</v>
      </c>
      <c r="C37" s="11">
        <v>0</v>
      </c>
      <c r="D37" s="6">
        <v>0</v>
      </c>
      <c r="E37" s="11">
        <v>0</v>
      </c>
      <c r="F37" s="6">
        <v>0</v>
      </c>
      <c r="G37" s="11">
        <v>0</v>
      </c>
      <c r="H37" s="11">
        <v>0</v>
      </c>
      <c r="I37" s="11">
        <v>0</v>
      </c>
      <c r="J37" s="11"/>
      <c r="K37" t="str">
        <f>IFERROR(HYPERLINK("#Main!A"&amp;MATCH(A37,Main!A:A,0),"Open"),HYPERLINK("#Main!A1","Open"))</f>
        <v>Open</v>
      </c>
    </row>
    <row r="38" spans="1:12" ht="45" customHeight="1" x14ac:dyDescent="0.25">
      <c r="A38" s="59" t="s">
        <v>377</v>
      </c>
      <c r="B38" s="8">
        <v>0</v>
      </c>
      <c r="C38" s="8">
        <v>0</v>
      </c>
      <c r="D38" s="6">
        <v>0</v>
      </c>
      <c r="E38" s="8">
        <v>0</v>
      </c>
      <c r="F38" s="6">
        <v>0</v>
      </c>
      <c r="G38" s="8">
        <v>0</v>
      </c>
      <c r="H38" s="8">
        <v>0</v>
      </c>
      <c r="I38" s="8">
        <v>0</v>
      </c>
      <c r="J38" s="8"/>
      <c r="K38" s="9" t="str">
        <f>IFERROR(HYPERLINK("#Main!A"&amp;MATCH(A38,Main!A:A,0),"Open"),HYPERLINK("#Main!A1","Open"))</f>
        <v>Open</v>
      </c>
      <c r="L38" s="9"/>
    </row>
    <row r="39" spans="1:12" ht="30" customHeight="1" x14ac:dyDescent="0.25">
      <c r="A39" s="58" t="s">
        <v>385</v>
      </c>
      <c r="B39" s="11">
        <v>0</v>
      </c>
      <c r="C39" s="11">
        <v>0</v>
      </c>
      <c r="D39" s="6">
        <v>0</v>
      </c>
      <c r="E39" s="11">
        <v>0</v>
      </c>
      <c r="F39" s="6">
        <v>0</v>
      </c>
      <c r="G39" s="11">
        <v>0</v>
      </c>
      <c r="H39" s="11">
        <v>0</v>
      </c>
      <c r="I39" s="11">
        <v>0</v>
      </c>
      <c r="J39" s="11"/>
      <c r="K39" t="str">
        <f>IFERROR(HYPERLINK("#Main!A"&amp;MATCH(A39,Main!A:A,0),"Open"),HYPERLINK("#Main!A1","Open"))</f>
        <v>Open</v>
      </c>
    </row>
    <row r="40" spans="1:12" ht="30" customHeight="1" x14ac:dyDescent="0.25">
      <c r="A40" s="59" t="s">
        <v>358</v>
      </c>
      <c r="B40" s="8">
        <v>0</v>
      </c>
      <c r="C40" s="8">
        <v>0</v>
      </c>
      <c r="D40" s="6">
        <v>0</v>
      </c>
      <c r="E40" s="8">
        <v>0</v>
      </c>
      <c r="F40" s="6">
        <v>0</v>
      </c>
      <c r="G40" s="8">
        <v>0</v>
      </c>
      <c r="H40" s="8">
        <v>0</v>
      </c>
      <c r="I40" s="8">
        <v>0</v>
      </c>
      <c r="J40" s="8"/>
      <c r="K40" s="9" t="str">
        <f>IFERROR(HYPERLINK("#Main!A"&amp;MATCH(A40,Main!A:A,0),"Open"),HYPERLINK("#Main!A1","Open"))</f>
        <v>Open</v>
      </c>
      <c r="L40" s="9"/>
    </row>
    <row r="41" spans="1:12" ht="30" customHeight="1" x14ac:dyDescent="0.25">
      <c r="A41" s="58" t="s">
        <v>196</v>
      </c>
      <c r="B41" s="11">
        <v>0</v>
      </c>
      <c r="C41" s="11">
        <v>0</v>
      </c>
      <c r="D41" s="6">
        <v>0</v>
      </c>
      <c r="E41" s="11">
        <v>0</v>
      </c>
      <c r="F41" s="6">
        <v>0</v>
      </c>
      <c r="G41" s="11">
        <v>0</v>
      </c>
      <c r="H41" s="11">
        <v>0</v>
      </c>
      <c r="I41" s="11">
        <v>0</v>
      </c>
      <c r="J41" s="11"/>
      <c r="K41" t="str">
        <f>IFERROR(HYPERLINK("#Main!A"&amp;MATCH(A41,Main!A:A,0),"Open"),HYPERLINK("#Main!A1","Open"))</f>
        <v>Open</v>
      </c>
    </row>
    <row r="42" spans="1:12" ht="30" customHeight="1" x14ac:dyDescent="0.25">
      <c r="A42" s="59" t="s">
        <v>164</v>
      </c>
      <c r="B42" s="8">
        <v>0</v>
      </c>
      <c r="C42" s="8">
        <v>0</v>
      </c>
      <c r="D42" s="6">
        <v>0</v>
      </c>
      <c r="E42" s="8">
        <v>0</v>
      </c>
      <c r="F42" s="6">
        <v>0</v>
      </c>
      <c r="G42" s="8">
        <v>0</v>
      </c>
      <c r="H42" s="8">
        <v>0</v>
      </c>
      <c r="I42" s="8">
        <v>0</v>
      </c>
      <c r="J42" s="8"/>
      <c r="K42" s="9" t="str">
        <f>IFERROR(HYPERLINK("#Main!A"&amp;MATCH(A42,Main!A:A,0),"Open"),HYPERLINK("#Main!A1","Open"))</f>
        <v>Open</v>
      </c>
      <c r="L42" s="9"/>
    </row>
    <row r="43" spans="1:12" ht="30" customHeight="1" x14ac:dyDescent="0.25">
      <c r="A43" s="58" t="s">
        <v>350</v>
      </c>
      <c r="B43" s="11">
        <v>0</v>
      </c>
      <c r="C43" s="11">
        <v>0</v>
      </c>
      <c r="D43" s="6">
        <v>0</v>
      </c>
      <c r="E43" s="11">
        <v>0</v>
      </c>
      <c r="F43" s="6">
        <v>0</v>
      </c>
      <c r="G43" s="11">
        <v>0</v>
      </c>
      <c r="H43" s="11">
        <v>0</v>
      </c>
      <c r="I43" s="11">
        <v>0</v>
      </c>
      <c r="J43" s="11"/>
      <c r="K43" t="str">
        <f>IFERROR(HYPERLINK("#Main!A"&amp;MATCH(A43,Main!A:A,0),"Open"),HYPERLINK("#Main!A1","Open"))</f>
        <v>Open</v>
      </c>
    </row>
    <row r="44" spans="1:12" ht="30" customHeight="1" x14ac:dyDescent="0.25">
      <c r="A44" s="59" t="s">
        <v>374</v>
      </c>
      <c r="B44" s="8">
        <v>0</v>
      </c>
      <c r="C44" s="8">
        <v>0</v>
      </c>
      <c r="D44" s="6">
        <v>0</v>
      </c>
      <c r="E44" s="8">
        <v>0</v>
      </c>
      <c r="F44" s="6">
        <v>0</v>
      </c>
      <c r="G44" s="8">
        <v>0</v>
      </c>
      <c r="H44" s="8">
        <v>0</v>
      </c>
      <c r="I44" s="8">
        <v>0</v>
      </c>
      <c r="J44" s="8"/>
      <c r="K44" s="9" t="str">
        <f>IFERROR(HYPERLINK("#Main!A"&amp;MATCH(A44,Main!A:A,0),"Open"),HYPERLINK("#Main!A1","Open"))</f>
        <v>Open</v>
      </c>
      <c r="L44" s="9"/>
    </row>
    <row r="45" spans="1:12" ht="45" customHeight="1" x14ac:dyDescent="0.25">
      <c r="A45" s="58" t="s">
        <v>409</v>
      </c>
      <c r="B45" s="11">
        <v>0</v>
      </c>
      <c r="C45" s="11">
        <v>0</v>
      </c>
      <c r="D45" s="6">
        <v>0</v>
      </c>
      <c r="E45" s="11">
        <v>0</v>
      </c>
      <c r="F45" s="6">
        <v>0</v>
      </c>
      <c r="G45" s="11">
        <v>0</v>
      </c>
      <c r="H45" s="11">
        <v>0</v>
      </c>
      <c r="I45" s="11">
        <v>0</v>
      </c>
      <c r="J45" s="11"/>
      <c r="K45" t="str">
        <f>IFERROR(HYPERLINK("#Main!A"&amp;MATCH(A45,Main!A:A,0),"Open"),HYPERLINK("#Main!A1","Open"))</f>
        <v>Open</v>
      </c>
    </row>
    <row r="46" spans="1:12" ht="30" customHeight="1" x14ac:dyDescent="0.25">
      <c r="A46" s="59" t="s">
        <v>436</v>
      </c>
      <c r="B46" s="8">
        <v>0</v>
      </c>
      <c r="C46" s="8">
        <v>0</v>
      </c>
      <c r="D46" s="6">
        <v>0</v>
      </c>
      <c r="E46" s="8">
        <v>0</v>
      </c>
      <c r="F46" s="6">
        <v>0</v>
      </c>
      <c r="G46" s="8">
        <v>0</v>
      </c>
      <c r="H46" s="8">
        <v>0</v>
      </c>
      <c r="I46" s="8">
        <v>0</v>
      </c>
      <c r="J46" s="8"/>
      <c r="K46" s="9" t="str">
        <f>IFERROR(HYPERLINK("#Main!A"&amp;MATCH(A46,Main!A:A,0),"Open"),HYPERLINK("#Main!A1","Open"))</f>
        <v>Open</v>
      </c>
      <c r="L46" s="9"/>
    </row>
    <row r="47" spans="1:12" ht="30" customHeight="1" x14ac:dyDescent="0.25">
      <c r="A47" s="58" t="s">
        <v>473</v>
      </c>
      <c r="B47" s="11">
        <v>0</v>
      </c>
      <c r="C47" s="11">
        <v>0</v>
      </c>
      <c r="D47" s="6">
        <v>0</v>
      </c>
      <c r="E47" s="11">
        <v>0</v>
      </c>
      <c r="F47" s="6">
        <v>0</v>
      </c>
      <c r="G47" s="11">
        <v>0</v>
      </c>
      <c r="H47" s="11">
        <v>0</v>
      </c>
      <c r="I47" s="11">
        <v>0</v>
      </c>
      <c r="J47" s="11"/>
      <c r="K47" t="str">
        <f>IFERROR(HYPERLINK("#Main!A"&amp;MATCH(A47,Main!A:A,0),"Open"),HYPERLINK("#Main!A1","Open"))</f>
        <v>Open</v>
      </c>
    </row>
    <row r="48" spans="1:12" ht="30" customHeight="1" x14ac:dyDescent="0.25">
      <c r="A48" s="59" t="s">
        <v>489</v>
      </c>
      <c r="B48" s="8">
        <v>0</v>
      </c>
      <c r="C48" s="8">
        <v>0</v>
      </c>
      <c r="D48" s="6">
        <v>0</v>
      </c>
      <c r="E48" s="8">
        <v>0</v>
      </c>
      <c r="F48" s="6">
        <v>0</v>
      </c>
      <c r="G48" s="8">
        <v>0</v>
      </c>
      <c r="H48" s="8">
        <v>0</v>
      </c>
      <c r="I48" s="8">
        <v>0</v>
      </c>
      <c r="J48" s="8"/>
      <c r="K48" s="9" t="str">
        <f>IFERROR(HYPERLINK("#Main!A"&amp;MATCH(A48,Main!A:A,0),"Open"),HYPERLINK("#Main!A1","Open"))</f>
        <v>Open</v>
      </c>
      <c r="L48" s="9"/>
    </row>
    <row r="49" spans="1:12" ht="30" customHeight="1" x14ac:dyDescent="0.25">
      <c r="A49" s="58" t="s">
        <v>338</v>
      </c>
      <c r="B49" s="11">
        <v>0</v>
      </c>
      <c r="C49" s="11">
        <v>0</v>
      </c>
      <c r="D49" s="6">
        <v>0</v>
      </c>
      <c r="E49" s="11">
        <v>0</v>
      </c>
      <c r="F49" s="6">
        <v>0</v>
      </c>
      <c r="G49" s="11">
        <v>0</v>
      </c>
      <c r="H49" s="11">
        <v>0</v>
      </c>
      <c r="I49" s="11">
        <v>0</v>
      </c>
      <c r="J49" s="11"/>
      <c r="K49" t="str">
        <f>IFERROR(HYPERLINK("#Main!A"&amp;MATCH(A49,Main!A:A,0),"Open"),HYPERLINK("#Main!A1","Open"))</f>
        <v>Open</v>
      </c>
    </row>
    <row r="50" spans="1:12" ht="30" customHeight="1" x14ac:dyDescent="0.25">
      <c r="A50" s="59" t="s">
        <v>433</v>
      </c>
      <c r="B50" s="8">
        <v>0</v>
      </c>
      <c r="C50" s="8">
        <v>0</v>
      </c>
      <c r="D50" s="6">
        <v>0</v>
      </c>
      <c r="E50" s="8">
        <v>0</v>
      </c>
      <c r="F50" s="6">
        <v>0</v>
      </c>
      <c r="G50" s="8">
        <v>0</v>
      </c>
      <c r="H50" s="8">
        <v>0</v>
      </c>
      <c r="I50" s="8">
        <v>0</v>
      </c>
      <c r="J50" s="8"/>
      <c r="K50" s="9" t="str">
        <f>IFERROR(HYPERLINK("#Main!A"&amp;MATCH(A50,Main!A:A,0),"Open"),HYPERLINK("#Main!A1","Open"))</f>
        <v>Open</v>
      </c>
      <c r="L50" s="9"/>
    </row>
    <row r="51" spans="1:12" ht="30" customHeight="1" x14ac:dyDescent="0.25">
      <c r="A51" s="58" t="s">
        <v>743</v>
      </c>
      <c r="B51" s="11">
        <v>0</v>
      </c>
      <c r="C51" s="11">
        <v>0</v>
      </c>
      <c r="D51" s="6">
        <v>0</v>
      </c>
      <c r="E51" s="11">
        <v>0</v>
      </c>
      <c r="F51" s="6">
        <v>0</v>
      </c>
      <c r="G51" s="11">
        <v>0</v>
      </c>
      <c r="H51" s="11">
        <v>0</v>
      </c>
      <c r="I51" s="11">
        <v>0</v>
      </c>
      <c r="J51" s="11"/>
      <c r="K51" t="str">
        <f>IFERROR(HYPERLINK("#Main!A"&amp;MATCH(A51,Main!A:A,0),"Open"),HYPERLINK("#Main!A1","Open"))</f>
        <v>Open</v>
      </c>
    </row>
    <row r="52" spans="1:12" ht="30" customHeight="1" x14ac:dyDescent="0.25">
      <c r="A52" s="59" t="s">
        <v>598</v>
      </c>
      <c r="B52" s="8">
        <v>0</v>
      </c>
      <c r="C52" s="8">
        <v>0</v>
      </c>
      <c r="D52" s="6">
        <v>0</v>
      </c>
      <c r="E52" s="8">
        <v>0</v>
      </c>
      <c r="F52" s="6">
        <v>0</v>
      </c>
      <c r="G52" s="8">
        <v>0</v>
      </c>
      <c r="H52" s="8">
        <v>0</v>
      </c>
      <c r="I52" s="8">
        <v>0</v>
      </c>
      <c r="J52" s="8"/>
      <c r="K52" s="9" t="str">
        <f>IFERROR(HYPERLINK("#Main!A"&amp;MATCH(A52,Main!A:A,0),"Open"),HYPERLINK("#Main!A1","Open"))</f>
        <v>Open</v>
      </c>
      <c r="L52" s="9"/>
    </row>
    <row r="53" spans="1:12" ht="30" customHeight="1" x14ac:dyDescent="0.25">
      <c r="A53" s="58" t="s">
        <v>735</v>
      </c>
      <c r="B53" s="11">
        <v>0</v>
      </c>
      <c r="C53" s="11">
        <v>0</v>
      </c>
      <c r="D53" s="6">
        <v>0</v>
      </c>
      <c r="E53" s="11">
        <v>0</v>
      </c>
      <c r="F53" s="6">
        <v>0</v>
      </c>
      <c r="G53" s="11">
        <v>0</v>
      </c>
      <c r="H53" s="11">
        <v>0</v>
      </c>
      <c r="I53" s="11">
        <v>0</v>
      </c>
      <c r="J53" s="11"/>
      <c r="K53" t="str">
        <f>IFERROR(HYPERLINK("#Main!A"&amp;MATCH(A53,Main!A:A,0),"Open"),HYPERLINK("#Main!A1","Open"))</f>
        <v>Open</v>
      </c>
    </row>
    <row r="54" spans="1:12" ht="30" customHeight="1" x14ac:dyDescent="0.25">
      <c r="A54" s="59" t="s">
        <v>712</v>
      </c>
      <c r="B54" s="8">
        <v>0</v>
      </c>
      <c r="C54" s="8">
        <v>0</v>
      </c>
      <c r="D54" s="6">
        <v>0</v>
      </c>
      <c r="E54" s="8">
        <v>0</v>
      </c>
      <c r="F54" s="6">
        <v>0</v>
      </c>
      <c r="G54" s="8">
        <v>0</v>
      </c>
      <c r="H54" s="8">
        <v>0</v>
      </c>
      <c r="I54" s="8">
        <v>0</v>
      </c>
      <c r="J54" s="8"/>
      <c r="K54" s="9" t="str">
        <f>IFERROR(HYPERLINK("#Main!A"&amp;MATCH(A54,Main!A:A,0),"Open"),HYPERLINK("#Main!A1","Open"))</f>
        <v>Open</v>
      </c>
      <c r="L54" s="9"/>
    </row>
    <row r="55" spans="1:12" ht="30" customHeight="1" x14ac:dyDescent="0.25">
      <c r="A55" s="58" t="s">
        <v>622</v>
      </c>
      <c r="B55" s="11">
        <v>0</v>
      </c>
      <c r="C55" s="11">
        <v>0</v>
      </c>
      <c r="D55" s="6">
        <v>0</v>
      </c>
      <c r="E55" s="11">
        <v>0</v>
      </c>
      <c r="F55" s="6">
        <v>0</v>
      </c>
      <c r="G55" s="11">
        <v>0</v>
      </c>
      <c r="H55" s="11">
        <v>0</v>
      </c>
      <c r="I55" s="11">
        <v>0</v>
      </c>
      <c r="J55" s="11"/>
      <c r="K55" t="str">
        <f>IFERROR(HYPERLINK("#Main!A"&amp;MATCH(A55,Main!A:A,0),"Open"),HYPERLINK("#Main!A1","Open"))</f>
        <v>Open</v>
      </c>
    </row>
    <row r="56" spans="1:12" ht="30" customHeight="1" x14ac:dyDescent="0.25">
      <c r="A56" s="59" t="s">
        <v>535</v>
      </c>
      <c r="B56" s="8">
        <v>0</v>
      </c>
      <c r="C56" s="8">
        <v>0</v>
      </c>
      <c r="D56" s="6">
        <v>0</v>
      </c>
      <c r="E56" s="8">
        <v>0</v>
      </c>
      <c r="F56" s="6">
        <v>0</v>
      </c>
      <c r="G56" s="8">
        <v>0</v>
      </c>
      <c r="H56" s="8">
        <v>0</v>
      </c>
      <c r="I56" s="8">
        <v>0</v>
      </c>
      <c r="J56" s="8"/>
      <c r="K56" s="9" t="str">
        <f>IFERROR(HYPERLINK("#Main!A"&amp;MATCH(A56,Main!A:A,0),"Open"),HYPERLINK("#Main!A1","Open"))</f>
        <v>Open</v>
      </c>
      <c r="L56" s="9"/>
    </row>
    <row r="57" spans="1:12" ht="30" customHeight="1" x14ac:dyDescent="0.25">
      <c r="A57" s="58" t="s">
        <v>527</v>
      </c>
      <c r="B57" s="11">
        <v>0</v>
      </c>
      <c r="C57" s="11">
        <v>0</v>
      </c>
      <c r="D57" s="6">
        <v>0</v>
      </c>
      <c r="E57" s="11">
        <v>0</v>
      </c>
      <c r="F57" s="6">
        <v>0</v>
      </c>
      <c r="G57" s="11">
        <v>0</v>
      </c>
      <c r="H57" s="11">
        <v>0</v>
      </c>
      <c r="I57" s="11">
        <v>0</v>
      </c>
      <c r="J57" s="11"/>
      <c r="K57" t="str">
        <f>IFERROR(HYPERLINK("#Main!A"&amp;MATCH(A57,Main!A:A,0),"Open"),HYPERLINK("#Main!A1","Open"))</f>
        <v>Open</v>
      </c>
    </row>
    <row r="58" spans="1:12" ht="30" customHeight="1" x14ac:dyDescent="0.25">
      <c r="A58" s="59" t="s">
        <v>590</v>
      </c>
      <c r="B58" s="8">
        <v>0</v>
      </c>
      <c r="C58" s="8">
        <v>0</v>
      </c>
      <c r="D58" s="6">
        <v>0</v>
      </c>
      <c r="E58" s="8">
        <v>0</v>
      </c>
      <c r="F58" s="6">
        <v>0</v>
      </c>
      <c r="G58" s="8">
        <v>0</v>
      </c>
      <c r="H58" s="8">
        <v>0</v>
      </c>
      <c r="I58" s="8">
        <v>0</v>
      </c>
      <c r="J58" s="8"/>
      <c r="K58" s="9" t="str">
        <f>IFERROR(HYPERLINK("#Main!A"&amp;MATCH(A58,Main!A:A,0),"Open"),HYPERLINK("#Main!A1","Open"))</f>
        <v>Open</v>
      </c>
      <c r="L58" s="9"/>
    </row>
    <row r="59" spans="1:12" ht="30" customHeight="1" x14ac:dyDescent="0.25">
      <c r="A59" s="58" t="s">
        <v>758</v>
      </c>
      <c r="B59" s="11">
        <v>0</v>
      </c>
      <c r="C59" s="11">
        <v>0</v>
      </c>
      <c r="D59" s="6">
        <v>0</v>
      </c>
      <c r="E59" s="11">
        <v>0</v>
      </c>
      <c r="F59" s="6">
        <v>0</v>
      </c>
      <c r="G59" s="11">
        <v>0</v>
      </c>
      <c r="H59" s="11">
        <v>0</v>
      </c>
      <c r="I59" s="11">
        <v>0</v>
      </c>
      <c r="J59" s="11"/>
      <c r="K59" t="str">
        <f>IFERROR(HYPERLINK("#Main!A"&amp;MATCH(A59,Main!A:A,0),"Open"),HYPERLINK("#Main!A1","Open"))</f>
        <v>Open</v>
      </c>
    </row>
    <row r="60" spans="1:12" ht="30" customHeight="1" x14ac:dyDescent="0.25">
      <c r="A60" s="59" t="s">
        <v>282</v>
      </c>
      <c r="B60" s="8">
        <v>0</v>
      </c>
      <c r="C60" s="8">
        <v>0</v>
      </c>
      <c r="D60" s="6">
        <v>0</v>
      </c>
      <c r="E60" s="8">
        <v>0</v>
      </c>
      <c r="F60" s="6">
        <v>0</v>
      </c>
      <c r="G60" s="8">
        <v>0</v>
      </c>
      <c r="H60" s="8">
        <v>0</v>
      </c>
      <c r="I60" s="8">
        <v>0</v>
      </c>
      <c r="J60" s="8"/>
      <c r="K60" s="9" t="str">
        <f>IFERROR(HYPERLINK("#Main!A"&amp;MATCH(A60,Main!A:A,0),"Open"),HYPERLINK("#Main!A1","Open"))</f>
        <v>Open</v>
      </c>
      <c r="L60" s="9"/>
    </row>
    <row r="61" spans="1:12" ht="30" customHeight="1" x14ac:dyDescent="0.25">
      <c r="A61" s="58" t="s">
        <v>766</v>
      </c>
      <c r="B61" s="11">
        <v>0</v>
      </c>
      <c r="C61" s="11">
        <v>0</v>
      </c>
      <c r="D61" s="6">
        <v>0</v>
      </c>
      <c r="E61" s="11">
        <v>0</v>
      </c>
      <c r="F61" s="6">
        <v>0</v>
      </c>
      <c r="G61" s="11">
        <v>0</v>
      </c>
      <c r="H61" s="11">
        <v>0</v>
      </c>
      <c r="I61" s="11">
        <v>0</v>
      </c>
      <c r="J61" s="11"/>
      <c r="K61" t="str">
        <f>IFERROR(HYPERLINK("#Main!A"&amp;MATCH(A61,Main!A:A,0),"Open"),HYPERLINK("#Main!A1","Open"))</f>
        <v>Open</v>
      </c>
    </row>
    <row r="62" spans="1:12" ht="30" customHeight="1" x14ac:dyDescent="0.25">
      <c r="A62" s="59" t="s">
        <v>614</v>
      </c>
      <c r="B62" s="8">
        <v>0</v>
      </c>
      <c r="C62" s="8">
        <v>0</v>
      </c>
      <c r="D62" s="6">
        <v>0</v>
      </c>
      <c r="E62" s="8">
        <v>0</v>
      </c>
      <c r="F62" s="6">
        <v>0</v>
      </c>
      <c r="G62" s="8">
        <v>0</v>
      </c>
      <c r="H62" s="8">
        <v>0</v>
      </c>
      <c r="I62" s="8">
        <v>0</v>
      </c>
      <c r="J62" s="8"/>
      <c r="K62" s="9" t="str">
        <f>IFERROR(HYPERLINK("#Main!A"&amp;MATCH(A62,Main!A:A,0),"Open"),HYPERLINK("#Main!A1","Open"))</f>
        <v>Open</v>
      </c>
      <c r="L62" s="9"/>
    </row>
    <row r="63" spans="1:12" ht="30" customHeight="1" x14ac:dyDescent="0.25">
      <c r="A63" s="58" t="s">
        <v>425</v>
      </c>
      <c r="B63" s="11">
        <v>0</v>
      </c>
      <c r="C63" s="11">
        <v>0</v>
      </c>
      <c r="D63" s="6">
        <v>0</v>
      </c>
      <c r="E63" s="11">
        <v>0</v>
      </c>
      <c r="F63" s="6">
        <v>0</v>
      </c>
      <c r="G63" s="11">
        <v>0</v>
      </c>
      <c r="H63" s="11">
        <v>0</v>
      </c>
      <c r="I63" s="11">
        <v>0</v>
      </c>
      <c r="J63" s="11"/>
      <c r="K63" t="str">
        <f>IFERROR(HYPERLINK("#Main!A"&amp;MATCH(A63,Main!A:A,0),"Open"),HYPERLINK("#Main!A1","Open"))</f>
        <v>Open</v>
      </c>
    </row>
    <row r="64" spans="1:12" ht="30" customHeight="1" x14ac:dyDescent="0.25">
      <c r="A64" s="59" t="s">
        <v>210</v>
      </c>
      <c r="B64" s="8">
        <v>0</v>
      </c>
      <c r="C64" s="8">
        <v>0</v>
      </c>
      <c r="D64" s="6">
        <v>0</v>
      </c>
      <c r="E64" s="8">
        <v>0</v>
      </c>
      <c r="F64" s="6">
        <v>0</v>
      </c>
      <c r="G64" s="8">
        <v>0</v>
      </c>
      <c r="H64" s="8">
        <v>0</v>
      </c>
      <c r="I64" s="8">
        <v>0</v>
      </c>
      <c r="J64" s="8"/>
      <c r="K64" s="9" t="str">
        <f>IFERROR(HYPERLINK("#Main!A"&amp;MATCH(A64,Main!A:A,0),"Open"),HYPERLINK("#Main!A1","Open"))</f>
        <v>Open</v>
      </c>
      <c r="L64" s="9"/>
    </row>
    <row r="65" spans="1:12" ht="30" customHeight="1" x14ac:dyDescent="0.25">
      <c r="A65" s="58" t="s">
        <v>258</v>
      </c>
      <c r="B65" s="11">
        <v>0</v>
      </c>
      <c r="C65" s="11">
        <v>0</v>
      </c>
      <c r="D65" s="6">
        <v>0</v>
      </c>
      <c r="E65" s="11">
        <v>0</v>
      </c>
      <c r="F65" s="6">
        <v>0</v>
      </c>
      <c r="G65" s="11">
        <v>0</v>
      </c>
      <c r="H65" s="11">
        <v>0</v>
      </c>
      <c r="I65" s="11">
        <v>0</v>
      </c>
      <c r="J65" s="11"/>
      <c r="K65" t="str">
        <f>IFERROR(HYPERLINK("#Main!A"&amp;MATCH(A65,Main!A:A,0),"Open"),HYPERLINK("#Main!A1","Open"))</f>
        <v>Open</v>
      </c>
    </row>
    <row r="66" spans="1:12" ht="30" customHeight="1" x14ac:dyDescent="0.25">
      <c r="A66" s="59" t="s">
        <v>250</v>
      </c>
      <c r="B66" s="8">
        <v>0</v>
      </c>
      <c r="C66" s="8">
        <v>0</v>
      </c>
      <c r="D66" s="6">
        <v>0</v>
      </c>
      <c r="E66" s="8">
        <v>0</v>
      </c>
      <c r="F66" s="6">
        <v>0</v>
      </c>
      <c r="G66" s="8">
        <v>0</v>
      </c>
      <c r="H66" s="8">
        <v>0</v>
      </c>
      <c r="I66" s="8">
        <v>0</v>
      </c>
      <c r="J66" s="8"/>
      <c r="K66" s="9" t="str">
        <f>IFERROR(HYPERLINK("#Main!A"&amp;MATCH(A66,Main!A:A,0),"Open"),HYPERLINK("#Main!A1","Open"))</f>
        <v>Open</v>
      </c>
      <c r="L66" s="9"/>
    </row>
    <row r="67" spans="1:12" ht="30" customHeight="1" x14ac:dyDescent="0.25">
      <c r="A67" s="58" t="s">
        <v>266</v>
      </c>
      <c r="B67" s="11">
        <v>0</v>
      </c>
      <c r="C67" s="11">
        <v>0</v>
      </c>
      <c r="D67" s="6">
        <v>0</v>
      </c>
      <c r="E67" s="11">
        <v>0</v>
      </c>
      <c r="F67" s="6">
        <v>0</v>
      </c>
      <c r="G67" s="11">
        <v>0</v>
      </c>
      <c r="H67" s="11">
        <v>0</v>
      </c>
      <c r="I67" s="11">
        <v>0</v>
      </c>
      <c r="J67" s="11"/>
      <c r="K67" t="str">
        <f>IFERROR(HYPERLINK("#Main!A"&amp;MATCH(A67,Main!A:A,0),"Open"),HYPERLINK("#Main!A1","Open"))</f>
        <v>Open</v>
      </c>
    </row>
    <row r="68" spans="1:12" ht="30" customHeight="1" x14ac:dyDescent="0.25">
      <c r="A68" s="59" t="s">
        <v>543</v>
      </c>
      <c r="B68" s="8">
        <v>0</v>
      </c>
      <c r="C68" s="8">
        <v>0</v>
      </c>
      <c r="D68" s="6">
        <v>0</v>
      </c>
      <c r="E68" s="8">
        <v>0</v>
      </c>
      <c r="F68" s="6">
        <v>0</v>
      </c>
      <c r="G68" s="8">
        <v>0</v>
      </c>
      <c r="H68" s="8">
        <v>0</v>
      </c>
      <c r="I68" s="8">
        <v>0</v>
      </c>
      <c r="J68" s="8"/>
      <c r="K68" s="9" t="str">
        <f>IFERROR(HYPERLINK("#Main!A"&amp;MATCH(A68,Main!A:A,0),"Open"),HYPERLINK("#Main!A1","Open"))</f>
        <v>Open</v>
      </c>
      <c r="L68" s="9"/>
    </row>
    <row r="69" spans="1:12" ht="30" customHeight="1" x14ac:dyDescent="0.25">
      <c r="A69" s="58" t="s">
        <v>99</v>
      </c>
      <c r="B69" s="11">
        <v>0</v>
      </c>
      <c r="C69" s="11">
        <v>0</v>
      </c>
      <c r="D69" s="6">
        <v>0</v>
      </c>
      <c r="E69" s="11">
        <v>0</v>
      </c>
      <c r="F69" s="6">
        <v>0</v>
      </c>
      <c r="G69" s="11">
        <v>0</v>
      </c>
      <c r="H69" s="11">
        <v>0</v>
      </c>
      <c r="I69" s="11">
        <v>0</v>
      </c>
      <c r="J69" s="11"/>
      <c r="K69" t="str">
        <f>IFERROR(HYPERLINK("#Main!A"&amp;MATCH(A69,Main!A:A,0),"Open"),HYPERLINK("#Main!A1","Open"))</f>
        <v>Open</v>
      </c>
    </row>
    <row r="70" spans="1:12" ht="30" customHeight="1" x14ac:dyDescent="0.25">
      <c r="A70" s="59" t="s">
        <v>226</v>
      </c>
      <c r="B70" s="8">
        <v>0</v>
      </c>
      <c r="C70" s="8">
        <v>0</v>
      </c>
      <c r="D70" s="6">
        <v>0</v>
      </c>
      <c r="E70" s="8">
        <v>0</v>
      </c>
      <c r="F70" s="6">
        <v>0</v>
      </c>
      <c r="G70" s="8">
        <v>0</v>
      </c>
      <c r="H70" s="8">
        <v>0</v>
      </c>
      <c r="I70" s="8">
        <v>0</v>
      </c>
      <c r="J70" s="8"/>
      <c r="K70" s="9" t="str">
        <f>IFERROR(HYPERLINK("#Main!A"&amp;MATCH(A70,Main!A:A,0),"Open"),HYPERLINK("#Main!A1","Open"))</f>
        <v>Open</v>
      </c>
      <c r="L70" s="9"/>
    </row>
    <row r="71" spans="1:12" ht="30" customHeight="1" x14ac:dyDescent="0.25">
      <c r="A71" s="58" t="s">
        <v>234</v>
      </c>
      <c r="B71" s="11">
        <v>0</v>
      </c>
      <c r="C71" s="11">
        <v>0</v>
      </c>
      <c r="D71" s="6">
        <v>0</v>
      </c>
      <c r="E71" s="11">
        <v>0</v>
      </c>
      <c r="F71" s="6">
        <v>0</v>
      </c>
      <c r="G71" s="11">
        <v>0</v>
      </c>
      <c r="H71" s="11">
        <v>0</v>
      </c>
      <c r="I71" s="11">
        <v>0</v>
      </c>
      <c r="J71" s="11"/>
      <c r="K71" t="str">
        <f>IFERROR(HYPERLINK("#Main!A"&amp;MATCH(A71,Main!A:A,0),"Open"),HYPERLINK("#Main!A1","Open"))</f>
        <v>Open</v>
      </c>
    </row>
    <row r="72" spans="1:12" ht="30" customHeight="1" x14ac:dyDescent="0.25">
      <c r="A72" s="59" t="s">
        <v>218</v>
      </c>
      <c r="B72" s="8">
        <v>0</v>
      </c>
      <c r="C72" s="8">
        <v>0</v>
      </c>
      <c r="D72" s="6">
        <v>0</v>
      </c>
      <c r="E72" s="8">
        <v>0</v>
      </c>
      <c r="F72" s="6">
        <v>0</v>
      </c>
      <c r="G72" s="8">
        <v>0</v>
      </c>
      <c r="H72" s="8">
        <v>0</v>
      </c>
      <c r="I72" s="8">
        <v>0</v>
      </c>
      <c r="J72" s="8"/>
      <c r="K72" s="9" t="str">
        <f>IFERROR(HYPERLINK("#Main!A"&amp;MATCH(A72,Main!A:A,0),"Open"),HYPERLINK("#Main!A1","Open"))</f>
        <v>Open</v>
      </c>
      <c r="L72" s="9"/>
    </row>
    <row r="73" spans="1:12" ht="30" customHeight="1" x14ac:dyDescent="0.25">
      <c r="A73" s="58" t="s">
        <v>342</v>
      </c>
      <c r="B73" s="11">
        <v>0</v>
      </c>
      <c r="C73" s="11">
        <v>0</v>
      </c>
      <c r="D73" s="6">
        <v>0</v>
      </c>
      <c r="E73" s="11">
        <v>0</v>
      </c>
      <c r="F73" s="6">
        <v>0</v>
      </c>
      <c r="G73" s="11">
        <v>0</v>
      </c>
      <c r="H73" s="11">
        <v>0</v>
      </c>
      <c r="I73" s="11">
        <v>0</v>
      </c>
      <c r="J73" s="11"/>
      <c r="K73" t="str">
        <f>IFERROR(HYPERLINK("#Main!A"&amp;MATCH(A73,Main!A:A,0),"Open"),HYPERLINK("#Main!A1","Open"))</f>
        <v>Open</v>
      </c>
    </row>
    <row r="74" spans="1:12" ht="30" customHeight="1" x14ac:dyDescent="0.25">
      <c r="A74" s="59" t="s">
        <v>774</v>
      </c>
      <c r="B74" s="8">
        <v>0</v>
      </c>
      <c r="C74" s="8">
        <v>0</v>
      </c>
      <c r="D74" s="6">
        <v>0</v>
      </c>
      <c r="E74" s="8">
        <v>0</v>
      </c>
      <c r="F74" s="6">
        <v>0</v>
      </c>
      <c r="G74" s="8">
        <v>0</v>
      </c>
      <c r="H74" s="8">
        <v>0</v>
      </c>
      <c r="I74" s="8">
        <v>0</v>
      </c>
      <c r="J74" s="8"/>
      <c r="K74" s="9" t="str">
        <f>IFERROR(HYPERLINK("#Main!A"&amp;MATCH(A74,Main!A:A,0),"Open"),HYPERLINK("#Main!A1","Open"))</f>
        <v>Open</v>
      </c>
      <c r="L74" s="9"/>
    </row>
    <row r="75" spans="1:12" ht="30" customHeight="1" x14ac:dyDescent="0.25">
      <c r="A75" s="58" t="s">
        <v>750</v>
      </c>
      <c r="B75" s="11">
        <v>0</v>
      </c>
      <c r="C75" s="11">
        <v>0</v>
      </c>
      <c r="D75" s="6">
        <v>0</v>
      </c>
      <c r="E75" s="11">
        <v>0</v>
      </c>
      <c r="F75" s="6">
        <v>0</v>
      </c>
      <c r="G75" s="11">
        <v>0</v>
      </c>
      <c r="H75" s="11">
        <v>0</v>
      </c>
      <c r="I75" s="11">
        <v>0</v>
      </c>
      <c r="J75" s="11"/>
      <c r="K75" t="str">
        <f>IFERROR(HYPERLINK("#Main!A"&amp;MATCH(A75,Main!A:A,0),"Open"),HYPERLINK("#Main!A1","Open"))</f>
        <v>Open</v>
      </c>
    </row>
    <row r="76" spans="1:12" ht="30" customHeight="1" x14ac:dyDescent="0.25">
      <c r="A76" s="59" t="s">
        <v>465</v>
      </c>
      <c r="B76" s="8">
        <v>0</v>
      </c>
      <c r="C76" s="8">
        <v>0</v>
      </c>
      <c r="D76" s="6">
        <v>0</v>
      </c>
      <c r="E76" s="8">
        <v>0</v>
      </c>
      <c r="F76" s="6">
        <v>0</v>
      </c>
      <c r="G76" s="8">
        <v>0</v>
      </c>
      <c r="H76" s="8">
        <v>0</v>
      </c>
      <c r="I76" s="8">
        <v>0</v>
      </c>
      <c r="J76" s="8"/>
      <c r="K76" s="9" t="str">
        <f>IFERROR(HYPERLINK("#Main!A"&amp;MATCH(A76,Main!A:A,0),"Open"),HYPERLINK("#Main!A1","Open"))</f>
        <v>Open</v>
      </c>
      <c r="L76" s="9"/>
    </row>
    <row r="77" spans="1:12" ht="30" customHeight="1" x14ac:dyDescent="0.25">
      <c r="A77" s="58" t="s">
        <v>457</v>
      </c>
      <c r="B77" s="11">
        <v>0</v>
      </c>
      <c r="C77" s="11">
        <v>0</v>
      </c>
      <c r="D77" s="6">
        <v>0</v>
      </c>
      <c r="E77" s="11">
        <v>0</v>
      </c>
      <c r="F77" s="6">
        <v>0</v>
      </c>
      <c r="G77" s="11">
        <v>0</v>
      </c>
      <c r="H77" s="11">
        <v>0</v>
      </c>
      <c r="I77" s="11">
        <v>0</v>
      </c>
      <c r="J77" s="11"/>
      <c r="K77" t="str">
        <f>IFERROR(HYPERLINK("#Main!A"&amp;MATCH(A77,Main!A:A,0),"Open"),HYPERLINK("#Main!A1","Open"))</f>
        <v>Open</v>
      </c>
    </row>
    <row r="78" spans="1:12" ht="30" customHeight="1" x14ac:dyDescent="0.25">
      <c r="A78" s="59" t="s">
        <v>449</v>
      </c>
      <c r="B78" s="8">
        <v>0</v>
      </c>
      <c r="C78" s="8">
        <v>0</v>
      </c>
      <c r="D78" s="6">
        <v>0</v>
      </c>
      <c r="E78" s="8">
        <v>0</v>
      </c>
      <c r="F78" s="6">
        <v>0</v>
      </c>
      <c r="G78" s="8">
        <v>0</v>
      </c>
      <c r="H78" s="8">
        <v>0</v>
      </c>
      <c r="I78" s="8">
        <v>0</v>
      </c>
      <c r="J78" s="8"/>
      <c r="K78" s="9" t="str">
        <f>IFERROR(HYPERLINK("#Main!A"&amp;MATCH(A78,Main!A:A,0),"Open"),HYPERLINK("#Main!A1","Open"))</f>
        <v>Open</v>
      </c>
      <c r="L78" s="9"/>
    </row>
    <row r="79" spans="1:12" ht="30" customHeight="1" x14ac:dyDescent="0.25">
      <c r="A79" s="58" t="s">
        <v>444</v>
      </c>
      <c r="B79" s="11">
        <v>0</v>
      </c>
      <c r="C79" s="11">
        <v>0</v>
      </c>
      <c r="D79" s="6">
        <v>0</v>
      </c>
      <c r="E79" s="11">
        <v>0</v>
      </c>
      <c r="F79" s="6">
        <v>0</v>
      </c>
      <c r="G79" s="11">
        <v>0</v>
      </c>
      <c r="H79" s="11">
        <v>0</v>
      </c>
      <c r="I79" s="11">
        <v>0</v>
      </c>
      <c r="J79" s="11"/>
      <c r="K79" t="str">
        <f>IFERROR(HYPERLINK("#Main!A"&amp;MATCH(A79,Main!A:A,0),"Open"),HYPERLINK("#Main!A1","Open"))</f>
        <v>Open</v>
      </c>
    </row>
    <row r="80" spans="1:12" ht="30" customHeight="1" x14ac:dyDescent="0.25">
      <c r="A80" s="59" t="s">
        <v>330</v>
      </c>
      <c r="B80" s="8">
        <v>0</v>
      </c>
      <c r="C80" s="8">
        <v>0</v>
      </c>
      <c r="D80" s="6">
        <v>0</v>
      </c>
      <c r="E80" s="8">
        <v>0</v>
      </c>
      <c r="F80" s="6">
        <v>0</v>
      </c>
      <c r="G80" s="8">
        <v>0</v>
      </c>
      <c r="H80" s="8">
        <v>0</v>
      </c>
      <c r="I80" s="8">
        <v>0</v>
      </c>
      <c r="J80" s="8"/>
      <c r="K80" s="9" t="str">
        <f>IFERROR(HYPERLINK("#Main!A"&amp;MATCH(A80,Main!A:A,0),"Open"),HYPERLINK("#Main!A1","Open"))</f>
        <v>Open</v>
      </c>
      <c r="L80" s="9"/>
    </row>
    <row r="81" spans="1:12" ht="30" customHeight="1" x14ac:dyDescent="0.25">
      <c r="A81" s="58" t="s">
        <v>782</v>
      </c>
      <c r="B81" s="11">
        <v>0</v>
      </c>
      <c r="C81" s="11">
        <v>0</v>
      </c>
      <c r="D81" s="6">
        <v>0</v>
      </c>
      <c r="E81" s="11">
        <v>0</v>
      </c>
      <c r="F81" s="6">
        <v>0</v>
      </c>
      <c r="G81" s="11">
        <v>0</v>
      </c>
      <c r="H81" s="11">
        <v>0</v>
      </c>
      <c r="I81" s="11">
        <v>0</v>
      </c>
      <c r="J81" s="11"/>
      <c r="K81" t="str">
        <f>IFERROR(HYPERLINK("#Main!A"&amp;MATCH(A81,Main!A:A,0),"Open"),HYPERLINK("#Main!A1","Open"))</f>
        <v>Open</v>
      </c>
    </row>
    <row r="82" spans="1:12" ht="30" customHeight="1" x14ac:dyDescent="0.25">
      <c r="A82" s="59" t="s">
        <v>720</v>
      </c>
      <c r="B82" s="8">
        <v>0</v>
      </c>
      <c r="C82" s="8">
        <v>0</v>
      </c>
      <c r="D82" s="6">
        <v>0</v>
      </c>
      <c r="E82" s="8">
        <v>0</v>
      </c>
      <c r="F82" s="6">
        <v>0</v>
      </c>
      <c r="G82" s="8">
        <v>0</v>
      </c>
      <c r="H82" s="8">
        <v>0</v>
      </c>
      <c r="I82" s="8">
        <v>0</v>
      </c>
      <c r="J82" s="8"/>
      <c r="K82" s="9" t="str">
        <f>IFERROR(HYPERLINK("#Main!A"&amp;MATCH(A82,Main!A:A,0),"Open"),HYPERLINK("#Main!A1","Open"))</f>
        <v>Open</v>
      </c>
      <c r="L82" s="9"/>
    </row>
    <row r="83" spans="1:12" ht="30" customHeight="1" x14ac:dyDescent="0.25">
      <c r="A83" s="58" t="s">
        <v>635</v>
      </c>
      <c r="B83" s="11">
        <v>0</v>
      </c>
      <c r="C83" s="11">
        <v>0</v>
      </c>
      <c r="D83" s="6">
        <v>0</v>
      </c>
      <c r="E83" s="11">
        <v>0</v>
      </c>
      <c r="F83" s="6">
        <v>0</v>
      </c>
      <c r="G83" s="11">
        <v>0</v>
      </c>
      <c r="H83" s="11">
        <v>0</v>
      </c>
      <c r="I83" s="11">
        <v>0</v>
      </c>
      <c r="J83" s="11"/>
      <c r="K83" t="str">
        <f>IFERROR(HYPERLINK("#Main!A"&amp;MATCH(A83,Main!A:A,0),"Open"),HYPERLINK("#Main!A1","Open"))</f>
        <v>Open</v>
      </c>
    </row>
    <row r="84" spans="1:12" ht="30" customHeight="1" x14ac:dyDescent="0.25">
      <c r="A84" s="59" t="s">
        <v>180</v>
      </c>
      <c r="B84" s="8">
        <v>0</v>
      </c>
      <c r="C84" s="8">
        <v>0</v>
      </c>
      <c r="D84" s="6">
        <v>0</v>
      </c>
      <c r="E84" s="8">
        <v>0</v>
      </c>
      <c r="F84" s="6">
        <v>0</v>
      </c>
      <c r="G84" s="8">
        <v>0</v>
      </c>
      <c r="H84" s="8">
        <v>0</v>
      </c>
      <c r="I84" s="8">
        <v>0</v>
      </c>
      <c r="J84" s="8"/>
      <c r="K84" s="9" t="str">
        <f>IFERROR(HYPERLINK("#Main!A"&amp;MATCH(A84,Main!A:A,0),"Open"),HYPERLINK("#Main!A1","Open"))</f>
        <v>Open</v>
      </c>
      <c r="L84" s="9"/>
    </row>
    <row r="85" spans="1:12" ht="30" customHeight="1" x14ac:dyDescent="0.25">
      <c r="A85" s="58" t="s">
        <v>698</v>
      </c>
      <c r="B85" s="11">
        <v>0</v>
      </c>
      <c r="C85" s="11">
        <v>0</v>
      </c>
      <c r="D85" s="6">
        <v>0</v>
      </c>
      <c r="E85" s="11">
        <v>0</v>
      </c>
      <c r="F85" s="6">
        <v>0</v>
      </c>
      <c r="G85" s="11">
        <v>0</v>
      </c>
      <c r="H85" s="11">
        <v>0</v>
      </c>
      <c r="I85" s="11">
        <v>0</v>
      </c>
      <c r="J85" s="11"/>
      <c r="K85" t="str">
        <f>IFERROR(HYPERLINK("#Main!A"&amp;MATCH(A85,Main!A:A,0),"Open"),HYPERLINK("#Main!A1","Open"))</f>
        <v>Open</v>
      </c>
    </row>
    <row r="86" spans="1:12" ht="30" customHeight="1" x14ac:dyDescent="0.25">
      <c r="A86" s="59" t="s">
        <v>666</v>
      </c>
      <c r="B86" s="8">
        <v>0</v>
      </c>
      <c r="C86" s="8">
        <v>0</v>
      </c>
      <c r="D86" s="6">
        <v>0</v>
      </c>
      <c r="E86" s="8">
        <v>0</v>
      </c>
      <c r="F86" s="6">
        <v>0</v>
      </c>
      <c r="G86" s="8">
        <v>0</v>
      </c>
      <c r="H86" s="8">
        <v>0</v>
      </c>
      <c r="I86" s="8">
        <v>0</v>
      </c>
      <c r="J86" s="8"/>
      <c r="K86" s="9" t="str">
        <f>IFERROR(HYPERLINK("#Main!A"&amp;MATCH(A86,Main!A:A,0),"Open"),HYPERLINK("#Main!A1","Open"))</f>
        <v>Open</v>
      </c>
      <c r="L86" s="9"/>
    </row>
  </sheetData>
  <autoFilter ref="A1:L86" xr:uid="{00000000-0009-0000-0000-000009000000}"/>
  <dataValidations count="12">
    <dataValidation type="custom" allowBlank="1" showInputMessage="1" promptTitle="URL" prompt="URL. Use this URL to inspect the page directly or jump to related tabs." sqref="A1" xr:uid="{00000000-0002-0000-0900-000000000000}">
      <formula1>TRUE</formula1>
    </dataValidation>
    <dataValidation type="custom" allowBlank="1" showInputMessage="1" promptTitle="Internal Links Count" prompt="Link quality and crawl-path metric. Fix: repair broken links and improve internal linking relevance." sqref="B1" xr:uid="{00000000-0002-0000-0900-000001000000}">
      <formula1>TRUE</formula1>
    </dataValidation>
    <dataValidation type="custom" allowBlank="1" showInputMessage="1" promptTitle="Unique Internal Links Count" prompt="Link quality and crawl-path metric. Fix: repair broken links and improve internal linking relevance." sqref="C1" xr:uid="{00000000-0002-0000-0900-000002000000}">
      <formula1>TRUE</formula1>
    </dataValidation>
    <dataValidation type="custom" allowBlank="1" showInputMessage="1" promptTitle="Broken Internal Links Count" prompt="Link quality and crawl-path metric. Fix: repair broken links and improve internal linking relevance." sqref="D1" xr:uid="{00000000-0002-0000-0900-000003000000}">
      <formula1>TRUE</formula1>
    </dataValidation>
    <dataValidation type="custom" allowBlank="1" showInputMessage="1" promptTitle="Unresolved Internal Links Count" prompt="Link quality and crawl-path metric. Fix: repair broken links and improve internal linking relevance." sqref="E1" xr:uid="{00000000-0002-0000-0900-000004000000}">
      <formula1>TRUE</formula1>
    </dataValidation>
    <dataValidation type="custom" allowBlank="1" showInputMessage="1" promptTitle="Generic Anchor Text Count" prompt="Link quality and crawl-path metric. Fix: repair broken links and improve internal linking relevance." sqref="F1" xr:uid="{00000000-0002-0000-0900-000005000000}">
      <formula1>TRUE</formula1>
    </dataValidation>
    <dataValidation type="custom" allowBlank="1" showInputMessage="1" promptTitle="External Links Count" prompt="Link quality and crawl-path metric. Fix: repair broken links and improve internal linking relevance." sqref="G1" xr:uid="{00000000-0002-0000-0900-000006000000}">
      <formula1>TRUE</formula1>
    </dataValidation>
    <dataValidation type="custom" allowBlank="1" showInputMessage="1" promptTitle="Nofollow Internal Links Count" prompt="Link quality and crawl-path metric. Fix: repair broken links and improve internal linking relevance." sqref="H1" xr:uid="{00000000-0002-0000-0900-000007000000}">
      <formula1>TRUE</formula1>
    </dataValidation>
    <dataValidation type="custom" allowBlank="1" showInputMessage="1" promptTitle="Nofollow External Links Count" prompt="Link quality and crawl-path metric. Fix: repair broken links and improve internal linking relevance." sqref="I1" xr:uid="{00000000-0002-0000-0900-000008000000}">
      <formula1>TRUE</formula1>
    </dataValidation>
    <dataValidation type="custom" allowBlank="1" showInputMessage="1" promptTitle="Internal Link Statuses" prompt="Link quality and crawl-path metric. Fix: repair broken links and improve internal linking relevance." sqref="J1" xr:uid="{00000000-0002-0000-0900-000009000000}">
      <formula1>TRUE</formula1>
    </dataValidation>
    <dataValidation type="custom" allowBlank="1" showInputMessage="1" promptTitle="Open in Main" prompt="Navigation helper. Click to jump directly to the related record in another tab." sqref="K1" xr:uid="{00000000-0002-0000-0900-00000A000000}">
      <formula1>TRUE</formula1>
    </dataValidation>
    <dataValidation type="custom" allowBlank="1" showInputMessage="1" promptTitle="BACK TO DASHBOARD" prompt="BACK TO DASHBOARD. Review this metric to identify risk, then use linked tabs for details and remediation." sqref="L1" xr:uid="{00000000-0002-0000-0900-00000B000000}">
      <formula1>TRUE</formula1>
    </dataValidation>
  </dataValidations>
  <hyperlinks>
    <hyperlink ref="L1" location="Dashboard!A1" display="BACK TO DASHBOARD" xr:uid="{00000000-0004-0000-0900-000000000000}"/>
    <hyperlink ref="A2" r:id="rId1" xr:uid="{00000000-0004-0000-0900-000001000000}"/>
    <hyperlink ref="A3" r:id="rId2" xr:uid="{00000000-0004-0000-0900-000002000000}"/>
    <hyperlink ref="A4" r:id="rId3" xr:uid="{00000000-0004-0000-0900-000003000000}"/>
    <hyperlink ref="A5" r:id="rId4" xr:uid="{00000000-0004-0000-0900-000004000000}"/>
    <hyperlink ref="A6" r:id="rId5" xr:uid="{00000000-0004-0000-0900-000005000000}"/>
    <hyperlink ref="A7" r:id="rId6" xr:uid="{00000000-0004-0000-0900-000006000000}"/>
    <hyperlink ref="A8" r:id="rId7" xr:uid="{00000000-0004-0000-0900-000007000000}"/>
    <hyperlink ref="A9" r:id="rId8" xr:uid="{00000000-0004-0000-0900-000008000000}"/>
    <hyperlink ref="A10" r:id="rId9" xr:uid="{00000000-0004-0000-0900-000009000000}"/>
    <hyperlink ref="A11" r:id="rId10" xr:uid="{00000000-0004-0000-0900-00000A000000}"/>
    <hyperlink ref="A12" r:id="rId11" xr:uid="{00000000-0004-0000-0900-00000B000000}"/>
    <hyperlink ref="A13" r:id="rId12" xr:uid="{00000000-0004-0000-0900-00000C000000}"/>
    <hyperlink ref="A14" r:id="rId13" xr:uid="{00000000-0004-0000-0900-00000D000000}"/>
    <hyperlink ref="A15" r:id="rId14" xr:uid="{00000000-0004-0000-0900-00000E000000}"/>
    <hyperlink ref="A16" r:id="rId15" xr:uid="{00000000-0004-0000-0900-00000F000000}"/>
    <hyperlink ref="A17" r:id="rId16" xr:uid="{00000000-0004-0000-0900-000010000000}"/>
    <hyperlink ref="A18" r:id="rId17" xr:uid="{00000000-0004-0000-0900-000011000000}"/>
    <hyperlink ref="A19" r:id="rId18" xr:uid="{00000000-0004-0000-0900-000012000000}"/>
    <hyperlink ref="A20" r:id="rId19" xr:uid="{00000000-0004-0000-0900-000013000000}"/>
    <hyperlink ref="A21" r:id="rId20" xr:uid="{00000000-0004-0000-0900-000014000000}"/>
    <hyperlink ref="A22" r:id="rId21" xr:uid="{00000000-0004-0000-0900-000015000000}"/>
    <hyperlink ref="A23" r:id="rId22" xr:uid="{00000000-0004-0000-0900-000016000000}"/>
    <hyperlink ref="A24" r:id="rId23" xr:uid="{00000000-0004-0000-0900-000017000000}"/>
    <hyperlink ref="A25" r:id="rId24" xr:uid="{00000000-0004-0000-0900-000018000000}"/>
    <hyperlink ref="A26" r:id="rId25" xr:uid="{00000000-0004-0000-0900-000019000000}"/>
    <hyperlink ref="A27" r:id="rId26" xr:uid="{00000000-0004-0000-0900-00001A000000}"/>
    <hyperlink ref="A28" r:id="rId27" xr:uid="{00000000-0004-0000-0900-00001B000000}"/>
    <hyperlink ref="A29" r:id="rId28" xr:uid="{00000000-0004-0000-0900-00001C000000}"/>
    <hyperlink ref="A30" r:id="rId29" xr:uid="{00000000-0004-0000-0900-00001D000000}"/>
    <hyperlink ref="A31" r:id="rId30" xr:uid="{00000000-0004-0000-0900-00001E000000}"/>
    <hyperlink ref="A32" r:id="rId31" xr:uid="{00000000-0004-0000-0900-00001F000000}"/>
    <hyperlink ref="A33" r:id="rId32" xr:uid="{00000000-0004-0000-0900-000020000000}"/>
    <hyperlink ref="A34" r:id="rId33" xr:uid="{00000000-0004-0000-0900-000021000000}"/>
    <hyperlink ref="A35" r:id="rId34" xr:uid="{00000000-0004-0000-0900-000022000000}"/>
    <hyperlink ref="A36" r:id="rId35" xr:uid="{00000000-0004-0000-0900-000023000000}"/>
    <hyperlink ref="A37" r:id="rId36" xr:uid="{00000000-0004-0000-0900-000024000000}"/>
    <hyperlink ref="A38" r:id="rId37" xr:uid="{00000000-0004-0000-0900-000025000000}"/>
    <hyperlink ref="A39" r:id="rId38" xr:uid="{00000000-0004-0000-0900-000026000000}"/>
    <hyperlink ref="A40" r:id="rId39" xr:uid="{00000000-0004-0000-0900-000027000000}"/>
    <hyperlink ref="A41" r:id="rId40" xr:uid="{00000000-0004-0000-0900-000028000000}"/>
    <hyperlink ref="A42" r:id="rId41" xr:uid="{00000000-0004-0000-0900-000029000000}"/>
    <hyperlink ref="A43" r:id="rId42" xr:uid="{00000000-0004-0000-0900-00002A000000}"/>
    <hyperlink ref="A44" r:id="rId43" xr:uid="{00000000-0004-0000-0900-00002B000000}"/>
    <hyperlink ref="A45" r:id="rId44" xr:uid="{00000000-0004-0000-0900-00002C000000}"/>
    <hyperlink ref="A46" r:id="rId45" xr:uid="{00000000-0004-0000-0900-00002D000000}"/>
    <hyperlink ref="A47" r:id="rId46" xr:uid="{00000000-0004-0000-0900-00002E000000}"/>
    <hyperlink ref="A48" r:id="rId47" xr:uid="{00000000-0004-0000-0900-00002F000000}"/>
    <hyperlink ref="A49" r:id="rId48" xr:uid="{00000000-0004-0000-0900-000030000000}"/>
    <hyperlink ref="A50" r:id="rId49" xr:uid="{00000000-0004-0000-0900-000031000000}"/>
    <hyperlink ref="A51" r:id="rId50" xr:uid="{00000000-0004-0000-0900-000032000000}"/>
    <hyperlink ref="A52" r:id="rId51" xr:uid="{00000000-0004-0000-0900-000033000000}"/>
    <hyperlink ref="A53" r:id="rId52" xr:uid="{00000000-0004-0000-0900-000034000000}"/>
    <hyperlink ref="A54" r:id="rId53" xr:uid="{00000000-0004-0000-0900-000035000000}"/>
    <hyperlink ref="A55" r:id="rId54" xr:uid="{00000000-0004-0000-0900-000036000000}"/>
    <hyperlink ref="A56" r:id="rId55" xr:uid="{00000000-0004-0000-0900-000037000000}"/>
    <hyperlink ref="A57" r:id="rId56" xr:uid="{00000000-0004-0000-0900-000038000000}"/>
    <hyperlink ref="A58" r:id="rId57" xr:uid="{00000000-0004-0000-0900-000039000000}"/>
    <hyperlink ref="A59" r:id="rId58" xr:uid="{00000000-0004-0000-0900-00003A000000}"/>
    <hyperlink ref="A60" r:id="rId59" xr:uid="{00000000-0004-0000-0900-00003B000000}"/>
    <hyperlink ref="A61" r:id="rId60" xr:uid="{00000000-0004-0000-0900-00003C000000}"/>
    <hyperlink ref="A62" r:id="rId61" xr:uid="{00000000-0004-0000-0900-00003D000000}"/>
    <hyperlink ref="A63" r:id="rId62" xr:uid="{00000000-0004-0000-0900-00003E000000}"/>
    <hyperlink ref="A64" r:id="rId63" xr:uid="{00000000-0004-0000-0900-00003F000000}"/>
    <hyperlink ref="A65" r:id="rId64" xr:uid="{00000000-0004-0000-0900-000040000000}"/>
    <hyperlink ref="A66" r:id="rId65" xr:uid="{00000000-0004-0000-0900-000041000000}"/>
    <hyperlink ref="A67" r:id="rId66" xr:uid="{00000000-0004-0000-0900-000042000000}"/>
    <hyperlink ref="A68" r:id="rId67" xr:uid="{00000000-0004-0000-0900-000043000000}"/>
    <hyperlink ref="A69" r:id="rId68" xr:uid="{00000000-0004-0000-0900-000044000000}"/>
    <hyperlink ref="A70" r:id="rId69" xr:uid="{00000000-0004-0000-0900-000045000000}"/>
    <hyperlink ref="A71" r:id="rId70" xr:uid="{00000000-0004-0000-0900-000046000000}"/>
    <hyperlink ref="A72" r:id="rId71" xr:uid="{00000000-0004-0000-0900-000047000000}"/>
    <hyperlink ref="A73" r:id="rId72" xr:uid="{00000000-0004-0000-0900-000048000000}"/>
    <hyperlink ref="A74" r:id="rId73" xr:uid="{00000000-0004-0000-0900-000049000000}"/>
    <hyperlink ref="A75" r:id="rId74" xr:uid="{00000000-0004-0000-0900-00004A000000}"/>
    <hyperlink ref="A76" r:id="rId75" xr:uid="{00000000-0004-0000-0900-00004B000000}"/>
    <hyperlink ref="A77" r:id="rId76" xr:uid="{00000000-0004-0000-0900-00004C000000}"/>
    <hyperlink ref="A78" r:id="rId77" xr:uid="{00000000-0004-0000-0900-00004D000000}"/>
    <hyperlink ref="A79" r:id="rId78" xr:uid="{00000000-0004-0000-0900-00004E000000}"/>
    <hyperlink ref="A80" r:id="rId79" xr:uid="{00000000-0004-0000-0900-00004F000000}"/>
    <hyperlink ref="A81" r:id="rId80" xr:uid="{00000000-0004-0000-0900-000050000000}"/>
    <hyperlink ref="A82" r:id="rId81" xr:uid="{00000000-0004-0000-0900-000051000000}"/>
    <hyperlink ref="A83" r:id="rId82" xr:uid="{00000000-0004-0000-0900-000052000000}"/>
    <hyperlink ref="A84" r:id="rId83" xr:uid="{00000000-0004-0000-0900-000053000000}"/>
    <hyperlink ref="A85" r:id="rId84" xr:uid="{00000000-0004-0000-0900-000054000000}"/>
    <hyperlink ref="A86" r:id="rId85" xr:uid="{00000000-0004-0000-0900-000055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86"/>
  <sheetViews>
    <sheetView workbookViewId="0">
      <pane ySplit="1" topLeftCell="A2" activePane="bottomLeft" state="frozen"/>
      <selection pane="bottomLeft"/>
    </sheetView>
  </sheetViews>
  <sheetFormatPr defaultRowHeight="15" x14ac:dyDescent="0.25"/>
  <cols>
    <col min="1" max="1" width="45" customWidth="1"/>
    <col min="2" max="2" width="13" customWidth="1"/>
    <col min="3" max="3" width="14" customWidth="1"/>
    <col min="4" max="4" width="21" customWidth="1"/>
    <col min="5" max="5" width="15" customWidth="1"/>
    <col min="6" max="6" width="16" customWidth="1"/>
    <col min="7" max="7" width="29" customWidth="1"/>
    <col min="8" max="8" width="28" customWidth="1"/>
    <col min="9" max="9" width="17" customWidth="1"/>
    <col min="10" max="10" width="14" customWidth="1"/>
    <col min="11" max="11" width="45" customWidth="1"/>
  </cols>
  <sheetData>
    <row r="1" spans="1:13" ht="45" x14ac:dyDescent="0.25">
      <c r="A1" s="5" t="s">
        <v>118</v>
      </c>
      <c r="B1" s="5" t="s">
        <v>888</v>
      </c>
      <c r="C1" s="5" t="s">
        <v>921</v>
      </c>
      <c r="D1" s="5" t="s">
        <v>922</v>
      </c>
      <c r="E1" s="5" t="s">
        <v>926</v>
      </c>
      <c r="F1" s="5" t="s">
        <v>927</v>
      </c>
      <c r="G1" s="5" t="s">
        <v>941</v>
      </c>
      <c r="H1" s="5" t="s">
        <v>943</v>
      </c>
      <c r="I1" s="5" t="s">
        <v>940</v>
      </c>
      <c r="J1" s="5" t="s">
        <v>939</v>
      </c>
      <c r="K1" s="5" t="s">
        <v>925</v>
      </c>
      <c r="L1" s="5" t="s">
        <v>135</v>
      </c>
      <c r="M1" s="39" t="s">
        <v>136</v>
      </c>
    </row>
    <row r="2" spans="1:13" ht="30" customHeight="1" x14ac:dyDescent="0.25">
      <c r="A2" s="59" t="s">
        <v>682</v>
      </c>
      <c r="B2" s="6">
        <v>200</v>
      </c>
      <c r="C2" s="8" t="s">
        <v>991</v>
      </c>
      <c r="D2" s="6" t="s">
        <v>918</v>
      </c>
      <c r="E2" s="51"/>
      <c r="F2" s="8"/>
      <c r="G2" s="51"/>
      <c r="H2" s="8"/>
      <c r="I2" s="8"/>
      <c r="J2" s="8"/>
      <c r="K2" s="51" t="s">
        <v>682</v>
      </c>
      <c r="L2" s="9" t="str">
        <f>IFERROR(HYPERLINK("#Main!A"&amp;MATCH(A2,Main!A:A,0),"Open"),HYPERLINK("#Main!A1","Open"))</f>
        <v>Open</v>
      </c>
      <c r="M2" s="9"/>
    </row>
    <row r="3" spans="1:13" ht="15.75" x14ac:dyDescent="0.25">
      <c r="A3" s="58" t="s">
        <v>140</v>
      </c>
      <c r="B3" s="6">
        <v>200</v>
      </c>
      <c r="C3" s="11" t="s">
        <v>991</v>
      </c>
      <c r="D3" s="6" t="s">
        <v>918</v>
      </c>
      <c r="E3" s="55"/>
      <c r="F3" s="11"/>
      <c r="G3" s="55"/>
      <c r="H3" s="11"/>
      <c r="I3" s="11"/>
      <c r="J3" s="11"/>
      <c r="K3" s="55" t="s">
        <v>140</v>
      </c>
      <c r="L3" t="str">
        <f>IFERROR(HYPERLINK("#Main!A"&amp;MATCH(A3,Main!A:A,0),"Open"),HYPERLINK("#Main!A1","Open"))</f>
        <v>Open</v>
      </c>
    </row>
    <row r="4" spans="1:13" ht="30" customHeight="1" x14ac:dyDescent="0.25">
      <c r="A4" s="59" t="s">
        <v>674</v>
      </c>
      <c r="B4" s="6">
        <v>200</v>
      </c>
      <c r="C4" s="8" t="s">
        <v>991</v>
      </c>
      <c r="D4" s="6" t="s">
        <v>918</v>
      </c>
      <c r="E4" s="51"/>
      <c r="F4" s="8"/>
      <c r="G4" s="51"/>
      <c r="H4" s="8"/>
      <c r="I4" s="8"/>
      <c r="J4" s="8"/>
      <c r="K4" s="51" t="s">
        <v>674</v>
      </c>
      <c r="L4" s="9" t="str">
        <f>IFERROR(HYPERLINK("#Main!A"&amp;MATCH(A4,Main!A:A,0),"Open"),HYPERLINK("#Main!A1","Open"))</f>
        <v>Open</v>
      </c>
      <c r="M4" s="9"/>
    </row>
    <row r="5" spans="1:13" ht="30" customHeight="1" x14ac:dyDescent="0.25">
      <c r="A5" s="58" t="s">
        <v>642</v>
      </c>
      <c r="B5" s="6">
        <v>200</v>
      </c>
      <c r="C5" s="11" t="s">
        <v>991</v>
      </c>
      <c r="D5" s="6" t="s">
        <v>918</v>
      </c>
      <c r="E5" s="55"/>
      <c r="F5" s="11"/>
      <c r="G5" s="55"/>
      <c r="H5" s="11"/>
      <c r="I5" s="11"/>
      <c r="J5" s="11"/>
      <c r="K5" s="55" t="s">
        <v>642</v>
      </c>
      <c r="L5" t="str">
        <f>IFERROR(HYPERLINK("#Main!A"&amp;MATCH(A5,Main!A:A,0),"Open"),HYPERLINK("#Main!A1","Open"))</f>
        <v>Open</v>
      </c>
    </row>
    <row r="6" spans="1:13" ht="30" customHeight="1" x14ac:dyDescent="0.25">
      <c r="A6" s="59" t="s">
        <v>322</v>
      </c>
      <c r="B6" s="6">
        <v>200</v>
      </c>
      <c r="C6" s="8" t="s">
        <v>991</v>
      </c>
      <c r="D6" s="6" t="s">
        <v>918</v>
      </c>
      <c r="E6" s="51"/>
      <c r="F6" s="8"/>
      <c r="G6" s="51"/>
      <c r="H6" s="8"/>
      <c r="I6" s="8"/>
      <c r="J6" s="8"/>
      <c r="K6" s="51" t="s">
        <v>322</v>
      </c>
      <c r="L6" s="9" t="str">
        <f>IFERROR(HYPERLINK("#Main!A"&amp;MATCH(A6,Main!A:A,0),"Open"),HYPERLINK("#Main!A1","Open"))</f>
        <v>Open</v>
      </c>
      <c r="M6" s="9"/>
    </row>
    <row r="7" spans="1:13" ht="30" customHeight="1" x14ac:dyDescent="0.25">
      <c r="A7" s="58" t="s">
        <v>519</v>
      </c>
      <c r="B7" s="6">
        <v>200</v>
      </c>
      <c r="C7" s="11" t="s">
        <v>991</v>
      </c>
      <c r="D7" s="6" t="s">
        <v>918</v>
      </c>
      <c r="E7" s="55"/>
      <c r="F7" s="11"/>
      <c r="G7" s="55"/>
      <c r="H7" s="11"/>
      <c r="I7" s="11"/>
      <c r="J7" s="11"/>
      <c r="K7" s="55" t="s">
        <v>519</v>
      </c>
      <c r="L7" t="str">
        <f>IFERROR(HYPERLINK("#Main!A"&amp;MATCH(A7,Main!A:A,0),"Open"),HYPERLINK("#Main!A1","Open"))</f>
        <v>Open</v>
      </c>
    </row>
    <row r="8" spans="1:13" ht="30" customHeight="1" x14ac:dyDescent="0.25">
      <c r="A8" s="59" t="s">
        <v>551</v>
      </c>
      <c r="B8" s="6">
        <v>200</v>
      </c>
      <c r="C8" s="8" t="s">
        <v>991</v>
      </c>
      <c r="D8" s="6" t="s">
        <v>918</v>
      </c>
      <c r="E8" s="51"/>
      <c r="F8" s="8"/>
      <c r="G8" s="51"/>
      <c r="H8" s="8"/>
      <c r="I8" s="8"/>
      <c r="J8" s="8"/>
      <c r="K8" s="51" t="s">
        <v>551</v>
      </c>
      <c r="L8" s="9" t="str">
        <f>IFERROR(HYPERLINK("#Main!A"&amp;MATCH(A8,Main!A:A,0),"Open"),HYPERLINK("#Main!A1","Open"))</f>
        <v>Open</v>
      </c>
      <c r="M8" s="9"/>
    </row>
    <row r="9" spans="1:13" ht="30" customHeight="1" x14ac:dyDescent="0.25">
      <c r="A9" s="58" t="s">
        <v>606</v>
      </c>
      <c r="B9" s="6">
        <v>200</v>
      </c>
      <c r="C9" s="11" t="s">
        <v>991</v>
      </c>
      <c r="D9" s="6" t="s">
        <v>918</v>
      </c>
      <c r="E9" s="55"/>
      <c r="F9" s="11"/>
      <c r="G9" s="55"/>
      <c r="H9" s="11"/>
      <c r="I9" s="11"/>
      <c r="J9" s="11"/>
      <c r="K9" s="55" t="s">
        <v>606</v>
      </c>
      <c r="L9" t="str">
        <f>IFERROR(HYPERLINK("#Main!A"&amp;MATCH(A9,Main!A:A,0),"Open"),HYPERLINK("#Main!A1","Open"))</f>
        <v>Open</v>
      </c>
    </row>
    <row r="10" spans="1:13" ht="30" customHeight="1" x14ac:dyDescent="0.25">
      <c r="A10" s="59" t="s">
        <v>512</v>
      </c>
      <c r="B10" s="6">
        <v>200</v>
      </c>
      <c r="C10" s="8" t="s">
        <v>991</v>
      </c>
      <c r="D10" s="6" t="s">
        <v>918</v>
      </c>
      <c r="E10" s="51"/>
      <c r="F10" s="8"/>
      <c r="G10" s="51"/>
      <c r="H10" s="8"/>
      <c r="I10" s="8"/>
      <c r="J10" s="8"/>
      <c r="K10" s="51" t="s">
        <v>512</v>
      </c>
      <c r="L10" s="9" t="str">
        <f>IFERROR(HYPERLINK("#Main!A"&amp;MATCH(A10,Main!A:A,0),"Open"),HYPERLINK("#Main!A1","Open"))</f>
        <v>Open</v>
      </c>
      <c r="M10" s="9"/>
    </row>
    <row r="11" spans="1:13" ht="30" customHeight="1" x14ac:dyDescent="0.25">
      <c r="A11" s="58" t="s">
        <v>582</v>
      </c>
      <c r="B11" s="6">
        <v>200</v>
      </c>
      <c r="C11" s="11" t="s">
        <v>991</v>
      </c>
      <c r="D11" s="6" t="s">
        <v>918</v>
      </c>
      <c r="E11" s="55"/>
      <c r="F11" s="11"/>
      <c r="G11" s="55"/>
      <c r="H11" s="11"/>
      <c r="I11" s="11"/>
      <c r="J11" s="11"/>
      <c r="K11" s="55" t="s">
        <v>582</v>
      </c>
      <c r="L11" t="str">
        <f>IFERROR(HYPERLINK("#Main!A"&amp;MATCH(A11,Main!A:A,0),"Open"),HYPERLINK("#Main!A1","Open"))</f>
        <v>Open</v>
      </c>
    </row>
    <row r="12" spans="1:13" ht="30" customHeight="1" x14ac:dyDescent="0.25">
      <c r="A12" s="59" t="s">
        <v>658</v>
      </c>
      <c r="B12" s="6">
        <v>200</v>
      </c>
      <c r="C12" s="8" t="s">
        <v>991</v>
      </c>
      <c r="D12" s="6" t="s">
        <v>918</v>
      </c>
      <c r="E12" s="51"/>
      <c r="F12" s="8"/>
      <c r="G12" s="51"/>
      <c r="H12" s="8"/>
      <c r="I12" s="8"/>
      <c r="J12" s="8"/>
      <c r="K12" s="51" t="s">
        <v>658</v>
      </c>
      <c r="L12" s="9" t="str">
        <f>IFERROR(HYPERLINK("#Main!A"&amp;MATCH(A12,Main!A:A,0),"Open"),HYPERLINK("#Main!A1","Open"))</f>
        <v>Open</v>
      </c>
      <c r="M12" s="9"/>
    </row>
    <row r="13" spans="1:13" ht="30" customHeight="1" x14ac:dyDescent="0.25">
      <c r="A13" s="58" t="s">
        <v>156</v>
      </c>
      <c r="B13" s="6">
        <v>200</v>
      </c>
      <c r="C13" s="11" t="s">
        <v>991</v>
      </c>
      <c r="D13" s="6" t="s">
        <v>918</v>
      </c>
      <c r="E13" s="55"/>
      <c r="F13" s="11"/>
      <c r="G13" s="55"/>
      <c r="H13" s="11"/>
      <c r="I13" s="11"/>
      <c r="J13" s="11"/>
      <c r="K13" s="55" t="s">
        <v>156</v>
      </c>
      <c r="L13" t="str">
        <f>IFERROR(HYPERLINK("#Main!A"&amp;MATCH(A13,Main!A:A,0),"Open"),HYPERLINK("#Main!A1","Open"))</f>
        <v>Open</v>
      </c>
    </row>
    <row r="14" spans="1:13" ht="30" customHeight="1" x14ac:dyDescent="0.25">
      <c r="A14" s="59" t="s">
        <v>650</v>
      </c>
      <c r="B14" s="6">
        <v>200</v>
      </c>
      <c r="C14" s="8" t="s">
        <v>991</v>
      </c>
      <c r="D14" s="6" t="s">
        <v>918</v>
      </c>
      <c r="E14" s="51"/>
      <c r="F14" s="8"/>
      <c r="G14" s="51"/>
      <c r="H14" s="8"/>
      <c r="I14" s="8"/>
      <c r="J14" s="8"/>
      <c r="K14" s="51" t="s">
        <v>650</v>
      </c>
      <c r="L14" s="9" t="str">
        <f>IFERROR(HYPERLINK("#Main!A"&amp;MATCH(A14,Main!A:A,0),"Open"),HYPERLINK("#Main!A1","Open"))</f>
        <v>Open</v>
      </c>
      <c r="M14" s="9"/>
    </row>
    <row r="15" spans="1:13" ht="30" customHeight="1" x14ac:dyDescent="0.25">
      <c r="A15" s="58" t="s">
        <v>704</v>
      </c>
      <c r="B15" s="6">
        <v>200</v>
      </c>
      <c r="C15" s="11" t="s">
        <v>991</v>
      </c>
      <c r="D15" s="6" t="s">
        <v>918</v>
      </c>
      <c r="E15" s="55"/>
      <c r="F15" s="11"/>
      <c r="G15" s="55"/>
      <c r="H15" s="11"/>
      <c r="I15" s="11"/>
      <c r="J15" s="11"/>
      <c r="K15" s="55" t="s">
        <v>704</v>
      </c>
      <c r="L15" t="str">
        <f>IFERROR(HYPERLINK("#Main!A"&amp;MATCH(A15,Main!A:A,0),"Open"),HYPERLINK("#Main!A1","Open"))</f>
        <v>Open</v>
      </c>
    </row>
    <row r="16" spans="1:13" ht="30" customHeight="1" x14ac:dyDescent="0.25">
      <c r="A16" s="59" t="s">
        <v>148</v>
      </c>
      <c r="B16" s="6">
        <v>200</v>
      </c>
      <c r="C16" s="8" t="s">
        <v>991</v>
      </c>
      <c r="D16" s="6" t="s">
        <v>918</v>
      </c>
      <c r="E16" s="51"/>
      <c r="F16" s="8"/>
      <c r="G16" s="51"/>
      <c r="H16" s="8"/>
      <c r="I16" s="8"/>
      <c r="J16" s="8"/>
      <c r="K16" s="51" t="s">
        <v>148</v>
      </c>
      <c r="L16" s="9" t="str">
        <f>IFERROR(HYPERLINK("#Main!A"&amp;MATCH(A16,Main!A:A,0),"Open"),HYPERLINK("#Main!A1","Open"))</f>
        <v>Open</v>
      </c>
      <c r="M16" s="9"/>
    </row>
    <row r="17" spans="1:13" ht="30" customHeight="1" x14ac:dyDescent="0.25">
      <c r="A17" s="58" t="s">
        <v>497</v>
      </c>
      <c r="B17" s="6">
        <v>200</v>
      </c>
      <c r="C17" s="11" t="s">
        <v>991</v>
      </c>
      <c r="D17" s="6" t="s">
        <v>918</v>
      </c>
      <c r="E17" s="55"/>
      <c r="F17" s="11"/>
      <c r="G17" s="55"/>
      <c r="H17" s="11"/>
      <c r="I17" s="11"/>
      <c r="J17" s="11"/>
      <c r="K17" s="55" t="s">
        <v>497</v>
      </c>
      <c r="L17" t="str">
        <f>IFERROR(HYPERLINK("#Main!A"&amp;MATCH(A17,Main!A:A,0),"Open"),HYPERLINK("#Main!A1","Open"))</f>
        <v>Open</v>
      </c>
    </row>
    <row r="18" spans="1:13" ht="30" customHeight="1" x14ac:dyDescent="0.25">
      <c r="A18" s="59" t="s">
        <v>505</v>
      </c>
      <c r="B18" s="6">
        <v>200</v>
      </c>
      <c r="C18" s="8" t="s">
        <v>991</v>
      </c>
      <c r="D18" s="6" t="s">
        <v>918</v>
      </c>
      <c r="E18" s="51"/>
      <c r="F18" s="8"/>
      <c r="G18" s="51"/>
      <c r="H18" s="8"/>
      <c r="I18" s="8"/>
      <c r="J18" s="8"/>
      <c r="K18" s="51" t="s">
        <v>505</v>
      </c>
      <c r="L18" s="9" t="str">
        <f>IFERROR(HYPERLINK("#Main!A"&amp;MATCH(A18,Main!A:A,0),"Open"),HYPERLINK("#Main!A1","Open"))</f>
        <v>Open</v>
      </c>
      <c r="M18" s="9"/>
    </row>
    <row r="19" spans="1:13" ht="30" customHeight="1" x14ac:dyDescent="0.25">
      <c r="A19" s="58" t="s">
        <v>690</v>
      </c>
      <c r="B19" s="6">
        <v>200</v>
      </c>
      <c r="C19" s="11" t="s">
        <v>991</v>
      </c>
      <c r="D19" s="6" t="s">
        <v>918</v>
      </c>
      <c r="E19" s="55"/>
      <c r="F19" s="11"/>
      <c r="G19" s="55"/>
      <c r="H19" s="11"/>
      <c r="I19" s="11"/>
      <c r="J19" s="11"/>
      <c r="K19" s="55" t="s">
        <v>690</v>
      </c>
      <c r="L19" t="str">
        <f>IFERROR(HYPERLINK("#Main!A"&amp;MATCH(A19,Main!A:A,0),"Open"),HYPERLINK("#Main!A1","Open"))</f>
        <v>Open</v>
      </c>
    </row>
    <row r="20" spans="1:13" ht="30" customHeight="1" x14ac:dyDescent="0.25">
      <c r="A20" s="59" t="s">
        <v>306</v>
      </c>
      <c r="B20" s="6">
        <v>200</v>
      </c>
      <c r="C20" s="8" t="s">
        <v>991</v>
      </c>
      <c r="D20" s="6" t="s">
        <v>918</v>
      </c>
      <c r="E20" s="51"/>
      <c r="F20" s="8"/>
      <c r="G20" s="51"/>
      <c r="H20" s="8"/>
      <c r="I20" s="8"/>
      <c r="J20" s="8"/>
      <c r="K20" s="51" t="s">
        <v>306</v>
      </c>
      <c r="L20" s="9" t="str">
        <f>IFERROR(HYPERLINK("#Main!A"&amp;MATCH(A20,Main!A:A,0),"Open"),HYPERLINK("#Main!A1","Open"))</f>
        <v>Open</v>
      </c>
      <c r="M20" s="9"/>
    </row>
    <row r="21" spans="1:13" ht="30" customHeight="1" x14ac:dyDescent="0.25">
      <c r="A21" s="58" t="s">
        <v>314</v>
      </c>
      <c r="B21" s="6">
        <v>200</v>
      </c>
      <c r="C21" s="11" t="s">
        <v>991</v>
      </c>
      <c r="D21" s="6" t="s">
        <v>918</v>
      </c>
      <c r="E21" s="55"/>
      <c r="F21" s="11"/>
      <c r="G21" s="55"/>
      <c r="H21" s="11"/>
      <c r="I21" s="11"/>
      <c r="J21" s="11"/>
      <c r="K21" s="55" t="s">
        <v>314</v>
      </c>
      <c r="L21" t="str">
        <f>IFERROR(HYPERLINK("#Main!A"&amp;MATCH(A21,Main!A:A,0),"Open"),HYPERLINK("#Main!A1","Open"))</f>
        <v>Open</v>
      </c>
    </row>
    <row r="22" spans="1:13" ht="30" customHeight="1" x14ac:dyDescent="0.25">
      <c r="A22" s="59" t="s">
        <v>366</v>
      </c>
      <c r="B22" s="6">
        <v>200</v>
      </c>
      <c r="C22" s="8" t="s">
        <v>991</v>
      </c>
      <c r="D22" s="6" t="s">
        <v>918</v>
      </c>
      <c r="E22" s="51"/>
      <c r="F22" s="8"/>
      <c r="G22" s="51"/>
      <c r="H22" s="8"/>
      <c r="I22" s="8"/>
      <c r="J22" s="8"/>
      <c r="K22" s="51" t="s">
        <v>366</v>
      </c>
      <c r="L22" s="9" t="str">
        <f>IFERROR(HYPERLINK("#Main!A"&amp;MATCH(A22,Main!A:A,0),"Open"),HYPERLINK("#Main!A1","Open"))</f>
        <v>Open</v>
      </c>
      <c r="M22" s="9"/>
    </row>
    <row r="23" spans="1:13" ht="30" customHeight="1" x14ac:dyDescent="0.25">
      <c r="A23" s="58" t="s">
        <v>417</v>
      </c>
      <c r="B23" s="6">
        <v>200</v>
      </c>
      <c r="C23" s="11" t="s">
        <v>991</v>
      </c>
      <c r="D23" s="6" t="s">
        <v>918</v>
      </c>
      <c r="E23" s="55"/>
      <c r="F23" s="11"/>
      <c r="G23" s="55"/>
      <c r="H23" s="11"/>
      <c r="I23" s="11"/>
      <c r="J23" s="11"/>
      <c r="K23" s="55" t="s">
        <v>417</v>
      </c>
      <c r="L23" t="str">
        <f>IFERROR(HYPERLINK("#Main!A"&amp;MATCH(A23,Main!A:A,0),"Open"),HYPERLINK("#Main!A1","Open"))</f>
        <v>Open</v>
      </c>
    </row>
    <row r="24" spans="1:13" ht="30" customHeight="1" x14ac:dyDescent="0.25">
      <c r="A24" s="59" t="s">
        <v>290</v>
      </c>
      <c r="B24" s="6">
        <v>200</v>
      </c>
      <c r="C24" s="8" t="s">
        <v>991</v>
      </c>
      <c r="D24" s="6" t="s">
        <v>918</v>
      </c>
      <c r="E24" s="51"/>
      <c r="F24" s="8"/>
      <c r="G24" s="51"/>
      <c r="H24" s="8"/>
      <c r="I24" s="8"/>
      <c r="J24" s="8"/>
      <c r="K24" s="51" t="s">
        <v>290</v>
      </c>
      <c r="L24" s="9" t="str">
        <f>IFERROR(HYPERLINK("#Main!A"&amp;MATCH(A24,Main!A:A,0),"Open"),HYPERLINK("#Main!A1","Open"))</f>
        <v>Open</v>
      </c>
      <c r="M24" s="9"/>
    </row>
    <row r="25" spans="1:13" ht="30" customHeight="1" x14ac:dyDescent="0.25">
      <c r="A25" s="58" t="s">
        <v>188</v>
      </c>
      <c r="B25" s="6">
        <v>200</v>
      </c>
      <c r="C25" s="11" t="s">
        <v>991</v>
      </c>
      <c r="D25" s="6" t="s">
        <v>918</v>
      </c>
      <c r="E25" s="55"/>
      <c r="F25" s="11"/>
      <c r="G25" s="55"/>
      <c r="H25" s="11"/>
      <c r="I25" s="11"/>
      <c r="J25" s="11"/>
      <c r="K25" s="55" t="s">
        <v>188</v>
      </c>
      <c r="L25" t="str">
        <f>IFERROR(HYPERLINK("#Main!A"&amp;MATCH(A25,Main!A:A,0),"Open"),HYPERLINK("#Main!A1","Open"))</f>
        <v>Open</v>
      </c>
    </row>
    <row r="26" spans="1:13" ht="30" customHeight="1" x14ac:dyDescent="0.25">
      <c r="A26" s="59" t="s">
        <v>242</v>
      </c>
      <c r="B26" s="6">
        <v>200</v>
      </c>
      <c r="C26" s="8" t="s">
        <v>991</v>
      </c>
      <c r="D26" s="6" t="s">
        <v>918</v>
      </c>
      <c r="E26" s="51"/>
      <c r="F26" s="8"/>
      <c r="G26" s="51"/>
      <c r="H26" s="8"/>
      <c r="I26" s="8"/>
      <c r="J26" s="8"/>
      <c r="K26" s="51" t="s">
        <v>242</v>
      </c>
      <c r="L26" s="9" t="str">
        <f>IFERROR(HYPERLINK("#Main!A"&amp;MATCH(A26,Main!A:A,0),"Open"),HYPERLINK("#Main!A1","Open"))</f>
        <v>Open</v>
      </c>
      <c r="M26" s="9"/>
    </row>
    <row r="27" spans="1:13" ht="30" customHeight="1" x14ac:dyDescent="0.25">
      <c r="A27" s="58" t="s">
        <v>574</v>
      </c>
      <c r="B27" s="6">
        <v>200</v>
      </c>
      <c r="C27" s="11" t="s">
        <v>991</v>
      </c>
      <c r="D27" s="6" t="s">
        <v>918</v>
      </c>
      <c r="E27" s="55"/>
      <c r="F27" s="11"/>
      <c r="G27" s="55"/>
      <c r="H27" s="11"/>
      <c r="I27" s="11"/>
      <c r="J27" s="11"/>
      <c r="K27" s="55" t="s">
        <v>574</v>
      </c>
      <c r="L27" t="str">
        <f>IFERROR(HYPERLINK("#Main!A"&amp;MATCH(A27,Main!A:A,0),"Open"),HYPERLINK("#Main!A1","Open"))</f>
        <v>Open</v>
      </c>
    </row>
    <row r="28" spans="1:13" ht="30" customHeight="1" x14ac:dyDescent="0.25">
      <c r="A28" s="59" t="s">
        <v>627</v>
      </c>
      <c r="B28" s="6">
        <v>200</v>
      </c>
      <c r="C28" s="8" t="s">
        <v>991</v>
      </c>
      <c r="D28" s="6" t="s">
        <v>918</v>
      </c>
      <c r="E28" s="51"/>
      <c r="F28" s="8"/>
      <c r="G28" s="51"/>
      <c r="H28" s="8"/>
      <c r="I28" s="8"/>
      <c r="J28" s="8"/>
      <c r="K28" s="51" t="s">
        <v>627</v>
      </c>
      <c r="L28" s="9" t="str">
        <f>IFERROR(HYPERLINK("#Main!A"&amp;MATCH(A28,Main!A:A,0),"Open"),HYPERLINK("#Main!A1","Open"))</f>
        <v>Open</v>
      </c>
      <c r="M28" s="9"/>
    </row>
    <row r="29" spans="1:13" ht="30" customHeight="1" x14ac:dyDescent="0.25">
      <c r="A29" s="58" t="s">
        <v>274</v>
      </c>
      <c r="B29" s="6">
        <v>200</v>
      </c>
      <c r="C29" s="11" t="s">
        <v>991</v>
      </c>
      <c r="D29" s="6" t="s">
        <v>918</v>
      </c>
      <c r="E29" s="55"/>
      <c r="F29" s="11"/>
      <c r="G29" s="55"/>
      <c r="H29" s="11"/>
      <c r="I29" s="11"/>
      <c r="J29" s="11"/>
      <c r="K29" s="55" t="s">
        <v>274</v>
      </c>
      <c r="L29" t="str">
        <f>IFERROR(HYPERLINK("#Main!A"&amp;MATCH(A29,Main!A:A,0),"Open"),HYPERLINK("#Main!A1","Open"))</f>
        <v>Open</v>
      </c>
    </row>
    <row r="30" spans="1:13" ht="30" customHeight="1" x14ac:dyDescent="0.25">
      <c r="A30" s="59" t="s">
        <v>401</v>
      </c>
      <c r="B30" s="6">
        <v>200</v>
      </c>
      <c r="C30" s="8" t="s">
        <v>991</v>
      </c>
      <c r="D30" s="6" t="s">
        <v>918</v>
      </c>
      <c r="E30" s="51"/>
      <c r="F30" s="8"/>
      <c r="G30" s="51"/>
      <c r="H30" s="8"/>
      <c r="I30" s="8"/>
      <c r="J30" s="8"/>
      <c r="K30" s="51" t="s">
        <v>401</v>
      </c>
      <c r="L30" s="9" t="str">
        <f>IFERROR(HYPERLINK("#Main!A"&amp;MATCH(A30,Main!A:A,0),"Open"),HYPERLINK("#Main!A1","Open"))</f>
        <v>Open</v>
      </c>
      <c r="M30" s="9"/>
    </row>
    <row r="31" spans="1:13" ht="30" customHeight="1" x14ac:dyDescent="0.25">
      <c r="A31" s="58" t="s">
        <v>298</v>
      </c>
      <c r="B31" s="6">
        <v>200</v>
      </c>
      <c r="C31" s="11" t="s">
        <v>991</v>
      </c>
      <c r="D31" s="6" t="s">
        <v>918</v>
      </c>
      <c r="E31" s="55"/>
      <c r="F31" s="11"/>
      <c r="G31" s="55"/>
      <c r="H31" s="11"/>
      <c r="I31" s="11"/>
      <c r="J31" s="11"/>
      <c r="K31" s="55" t="s">
        <v>298</v>
      </c>
      <c r="L31" t="str">
        <f>IFERROR(HYPERLINK("#Main!A"&amp;MATCH(A31,Main!A:A,0),"Open"),HYPERLINK("#Main!A1","Open"))</f>
        <v>Open</v>
      </c>
    </row>
    <row r="32" spans="1:13" ht="30" customHeight="1" x14ac:dyDescent="0.25">
      <c r="A32" s="59" t="s">
        <v>481</v>
      </c>
      <c r="B32" s="6">
        <v>200</v>
      </c>
      <c r="C32" s="8" t="s">
        <v>991</v>
      </c>
      <c r="D32" s="6" t="s">
        <v>918</v>
      </c>
      <c r="E32" s="51"/>
      <c r="F32" s="8"/>
      <c r="G32" s="51"/>
      <c r="H32" s="8"/>
      <c r="I32" s="8"/>
      <c r="J32" s="8"/>
      <c r="K32" s="51" t="s">
        <v>481</v>
      </c>
      <c r="L32" s="9" t="str">
        <f>IFERROR(HYPERLINK("#Main!A"&amp;MATCH(A32,Main!A:A,0),"Open"),HYPERLINK("#Main!A1","Open"))</f>
        <v>Open</v>
      </c>
      <c r="M32" s="9"/>
    </row>
    <row r="33" spans="1:13" ht="30" customHeight="1" x14ac:dyDescent="0.25">
      <c r="A33" s="58" t="s">
        <v>172</v>
      </c>
      <c r="B33" s="6">
        <v>200</v>
      </c>
      <c r="C33" s="11" t="s">
        <v>991</v>
      </c>
      <c r="D33" s="6" t="s">
        <v>918</v>
      </c>
      <c r="E33" s="55"/>
      <c r="F33" s="11"/>
      <c r="G33" s="55"/>
      <c r="H33" s="11"/>
      <c r="I33" s="11"/>
      <c r="J33" s="11"/>
      <c r="K33" s="55" t="s">
        <v>172</v>
      </c>
      <c r="L33" t="str">
        <f>IFERROR(HYPERLINK("#Main!A"&amp;MATCH(A33,Main!A:A,0),"Open"),HYPERLINK("#Main!A1","Open"))</f>
        <v>Open</v>
      </c>
    </row>
    <row r="34" spans="1:13" ht="30" customHeight="1" x14ac:dyDescent="0.25">
      <c r="A34" s="59" t="s">
        <v>727</v>
      </c>
      <c r="B34" s="6">
        <v>200</v>
      </c>
      <c r="C34" s="8" t="s">
        <v>991</v>
      </c>
      <c r="D34" s="6" t="s">
        <v>918</v>
      </c>
      <c r="E34" s="51"/>
      <c r="F34" s="8"/>
      <c r="G34" s="51"/>
      <c r="H34" s="8"/>
      <c r="I34" s="8"/>
      <c r="J34" s="8"/>
      <c r="K34" s="51" t="s">
        <v>727</v>
      </c>
      <c r="L34" s="9" t="str">
        <f>IFERROR(HYPERLINK("#Main!A"&amp;MATCH(A34,Main!A:A,0),"Open"),HYPERLINK("#Main!A1","Open"))</f>
        <v>Open</v>
      </c>
      <c r="M34" s="9"/>
    </row>
    <row r="35" spans="1:13" ht="30" customHeight="1" x14ac:dyDescent="0.25">
      <c r="A35" s="58" t="s">
        <v>559</v>
      </c>
      <c r="B35" s="6">
        <v>200</v>
      </c>
      <c r="C35" s="11" t="s">
        <v>991</v>
      </c>
      <c r="D35" s="6" t="s">
        <v>918</v>
      </c>
      <c r="E35" s="55"/>
      <c r="F35" s="11"/>
      <c r="G35" s="55"/>
      <c r="H35" s="11"/>
      <c r="I35" s="11"/>
      <c r="J35" s="11"/>
      <c r="K35" s="55" t="s">
        <v>1103</v>
      </c>
      <c r="L35" t="str">
        <f>IFERROR(HYPERLINK("#Main!A"&amp;MATCH(A35,Main!A:A,0),"Open"),HYPERLINK("#Main!A1","Open"))</f>
        <v>Open</v>
      </c>
    </row>
    <row r="36" spans="1:13" ht="30" customHeight="1" x14ac:dyDescent="0.25">
      <c r="A36" s="59" t="s">
        <v>393</v>
      </c>
      <c r="B36" s="6">
        <v>200</v>
      </c>
      <c r="C36" s="8" t="s">
        <v>991</v>
      </c>
      <c r="D36" s="6" t="s">
        <v>918</v>
      </c>
      <c r="E36" s="51"/>
      <c r="F36" s="8"/>
      <c r="G36" s="51"/>
      <c r="H36" s="8"/>
      <c r="I36" s="8"/>
      <c r="J36" s="8"/>
      <c r="K36" s="51" t="s">
        <v>393</v>
      </c>
      <c r="L36" s="9" t="str">
        <f>IFERROR(HYPERLINK("#Main!A"&amp;MATCH(A36,Main!A:A,0),"Open"),HYPERLINK("#Main!A1","Open"))</f>
        <v>Open</v>
      </c>
      <c r="M36" s="9"/>
    </row>
    <row r="37" spans="1:13" ht="30" customHeight="1" x14ac:dyDescent="0.25">
      <c r="A37" s="58" t="s">
        <v>566</v>
      </c>
      <c r="B37" s="6">
        <v>200</v>
      </c>
      <c r="C37" s="11" t="s">
        <v>991</v>
      </c>
      <c r="D37" s="6" t="s">
        <v>918</v>
      </c>
      <c r="E37" s="55"/>
      <c r="F37" s="11"/>
      <c r="G37" s="55"/>
      <c r="H37" s="11"/>
      <c r="I37" s="11"/>
      <c r="J37" s="11"/>
      <c r="K37" s="55" t="s">
        <v>566</v>
      </c>
      <c r="L37" t="str">
        <f>IFERROR(HYPERLINK("#Main!A"&amp;MATCH(A37,Main!A:A,0),"Open"),HYPERLINK("#Main!A1","Open"))</f>
        <v>Open</v>
      </c>
    </row>
    <row r="38" spans="1:13" ht="45" customHeight="1" x14ac:dyDescent="0.25">
      <c r="A38" s="59" t="s">
        <v>377</v>
      </c>
      <c r="B38" s="6">
        <v>200</v>
      </c>
      <c r="C38" s="8" t="s">
        <v>991</v>
      </c>
      <c r="D38" s="6" t="s">
        <v>918</v>
      </c>
      <c r="E38" s="51"/>
      <c r="F38" s="8"/>
      <c r="G38" s="51"/>
      <c r="H38" s="8"/>
      <c r="I38" s="8"/>
      <c r="J38" s="8"/>
      <c r="K38" s="51" t="s">
        <v>377</v>
      </c>
      <c r="L38" s="9" t="str">
        <f>IFERROR(HYPERLINK("#Main!A"&amp;MATCH(A38,Main!A:A,0),"Open"),HYPERLINK("#Main!A1","Open"))</f>
        <v>Open</v>
      </c>
      <c r="M38" s="9"/>
    </row>
    <row r="39" spans="1:13" ht="30" customHeight="1" x14ac:dyDescent="0.25">
      <c r="A39" s="58" t="s">
        <v>385</v>
      </c>
      <c r="B39" s="6">
        <v>200</v>
      </c>
      <c r="C39" s="11" t="s">
        <v>991</v>
      </c>
      <c r="D39" s="6" t="s">
        <v>918</v>
      </c>
      <c r="E39" s="55"/>
      <c r="F39" s="11"/>
      <c r="G39" s="55"/>
      <c r="H39" s="11"/>
      <c r="I39" s="11"/>
      <c r="J39" s="11"/>
      <c r="K39" s="55" t="s">
        <v>385</v>
      </c>
      <c r="L39" t="str">
        <f>IFERROR(HYPERLINK("#Main!A"&amp;MATCH(A39,Main!A:A,0),"Open"),HYPERLINK("#Main!A1","Open"))</f>
        <v>Open</v>
      </c>
    </row>
    <row r="40" spans="1:13" ht="30" customHeight="1" x14ac:dyDescent="0.25">
      <c r="A40" s="59" t="s">
        <v>358</v>
      </c>
      <c r="B40" s="6">
        <v>200</v>
      </c>
      <c r="C40" s="8" t="s">
        <v>991</v>
      </c>
      <c r="D40" s="6" t="s">
        <v>918</v>
      </c>
      <c r="E40" s="51"/>
      <c r="F40" s="8"/>
      <c r="G40" s="51"/>
      <c r="H40" s="8"/>
      <c r="I40" s="8"/>
      <c r="J40" s="8"/>
      <c r="K40" s="51" t="s">
        <v>358</v>
      </c>
      <c r="L40" s="9" t="str">
        <f>IFERROR(HYPERLINK("#Main!A"&amp;MATCH(A40,Main!A:A,0),"Open"),HYPERLINK("#Main!A1","Open"))</f>
        <v>Open</v>
      </c>
      <c r="M40" s="9"/>
    </row>
    <row r="41" spans="1:13" ht="30" customHeight="1" x14ac:dyDescent="0.25">
      <c r="A41" s="58" t="s">
        <v>196</v>
      </c>
      <c r="B41" s="6">
        <v>200</v>
      </c>
      <c r="C41" s="11" t="s">
        <v>991</v>
      </c>
      <c r="D41" s="6" t="s">
        <v>918</v>
      </c>
      <c r="E41" s="55"/>
      <c r="F41" s="11"/>
      <c r="G41" s="55"/>
      <c r="H41" s="11"/>
      <c r="I41" s="11"/>
      <c r="J41" s="11"/>
      <c r="K41" s="55" t="s">
        <v>196</v>
      </c>
      <c r="L41" t="str">
        <f>IFERROR(HYPERLINK("#Main!A"&amp;MATCH(A41,Main!A:A,0),"Open"),HYPERLINK("#Main!A1","Open"))</f>
        <v>Open</v>
      </c>
    </row>
    <row r="42" spans="1:13" ht="30" customHeight="1" x14ac:dyDescent="0.25">
      <c r="A42" s="59" t="s">
        <v>164</v>
      </c>
      <c r="B42" s="6">
        <v>200</v>
      </c>
      <c r="C42" s="8" t="s">
        <v>991</v>
      </c>
      <c r="D42" s="6" t="s">
        <v>918</v>
      </c>
      <c r="E42" s="51"/>
      <c r="F42" s="8"/>
      <c r="G42" s="51"/>
      <c r="H42" s="8"/>
      <c r="I42" s="8"/>
      <c r="J42" s="8"/>
      <c r="K42" s="51" t="s">
        <v>164</v>
      </c>
      <c r="L42" s="9" t="str">
        <f>IFERROR(HYPERLINK("#Main!A"&amp;MATCH(A42,Main!A:A,0),"Open"),HYPERLINK("#Main!A1","Open"))</f>
        <v>Open</v>
      </c>
      <c r="M42" s="9"/>
    </row>
    <row r="43" spans="1:13" ht="30" customHeight="1" x14ac:dyDescent="0.25">
      <c r="A43" s="58" t="s">
        <v>350</v>
      </c>
      <c r="B43" s="6">
        <v>200</v>
      </c>
      <c r="C43" s="11" t="s">
        <v>991</v>
      </c>
      <c r="D43" s="6" t="s">
        <v>918</v>
      </c>
      <c r="E43" s="55"/>
      <c r="F43" s="11"/>
      <c r="G43" s="55"/>
      <c r="H43" s="11"/>
      <c r="I43" s="11"/>
      <c r="J43" s="11"/>
      <c r="K43" s="55" t="s">
        <v>350</v>
      </c>
      <c r="L43" t="str">
        <f>IFERROR(HYPERLINK("#Main!A"&amp;MATCH(A43,Main!A:A,0),"Open"),HYPERLINK("#Main!A1","Open"))</f>
        <v>Open</v>
      </c>
    </row>
    <row r="44" spans="1:13" ht="30" customHeight="1" x14ac:dyDescent="0.25">
      <c r="A44" s="59" t="s">
        <v>374</v>
      </c>
      <c r="B44" s="6">
        <v>200</v>
      </c>
      <c r="C44" s="8" t="s">
        <v>991</v>
      </c>
      <c r="D44" s="6" t="s">
        <v>918</v>
      </c>
      <c r="E44" s="51"/>
      <c r="F44" s="8"/>
      <c r="G44" s="51"/>
      <c r="H44" s="8"/>
      <c r="I44" s="8"/>
      <c r="J44" s="8"/>
      <c r="K44" s="51" t="s">
        <v>350</v>
      </c>
      <c r="L44" s="9" t="str">
        <f>IFERROR(HYPERLINK("#Main!A"&amp;MATCH(A44,Main!A:A,0),"Open"),HYPERLINK("#Main!A1","Open"))</f>
        <v>Open</v>
      </c>
      <c r="M44" s="9"/>
    </row>
    <row r="45" spans="1:13" ht="45" customHeight="1" x14ac:dyDescent="0.25">
      <c r="A45" s="58" t="s">
        <v>409</v>
      </c>
      <c r="B45" s="6">
        <v>200</v>
      </c>
      <c r="C45" s="11" t="s">
        <v>991</v>
      </c>
      <c r="D45" s="6" t="s">
        <v>918</v>
      </c>
      <c r="E45" s="55"/>
      <c r="F45" s="11"/>
      <c r="G45" s="55"/>
      <c r="H45" s="11"/>
      <c r="I45" s="11"/>
      <c r="J45" s="11"/>
      <c r="K45" s="55" t="s">
        <v>409</v>
      </c>
      <c r="L45" t="str">
        <f>IFERROR(HYPERLINK("#Main!A"&amp;MATCH(A45,Main!A:A,0),"Open"),HYPERLINK("#Main!A1","Open"))</f>
        <v>Open</v>
      </c>
    </row>
    <row r="46" spans="1:13" ht="30" customHeight="1" x14ac:dyDescent="0.25">
      <c r="A46" s="59" t="s">
        <v>436</v>
      </c>
      <c r="B46" s="6">
        <v>200</v>
      </c>
      <c r="C46" s="8" t="s">
        <v>991</v>
      </c>
      <c r="D46" s="6" t="s">
        <v>918</v>
      </c>
      <c r="E46" s="51"/>
      <c r="F46" s="8"/>
      <c r="G46" s="51"/>
      <c r="H46" s="8"/>
      <c r="I46" s="8"/>
      <c r="J46" s="8"/>
      <c r="K46" s="51" t="s">
        <v>436</v>
      </c>
      <c r="L46" s="9" t="str">
        <f>IFERROR(HYPERLINK("#Main!A"&amp;MATCH(A46,Main!A:A,0),"Open"),HYPERLINK("#Main!A1","Open"))</f>
        <v>Open</v>
      </c>
      <c r="M46" s="9"/>
    </row>
    <row r="47" spans="1:13" ht="30" customHeight="1" x14ac:dyDescent="0.25">
      <c r="A47" s="58" t="s">
        <v>473</v>
      </c>
      <c r="B47" s="6">
        <v>200</v>
      </c>
      <c r="C47" s="11" t="s">
        <v>991</v>
      </c>
      <c r="D47" s="6" t="s">
        <v>918</v>
      </c>
      <c r="E47" s="55"/>
      <c r="F47" s="11"/>
      <c r="G47" s="55"/>
      <c r="H47" s="11"/>
      <c r="I47" s="11"/>
      <c r="J47" s="11"/>
      <c r="K47" s="55" t="s">
        <v>473</v>
      </c>
      <c r="L47" t="str">
        <f>IFERROR(HYPERLINK("#Main!A"&amp;MATCH(A47,Main!A:A,0),"Open"),HYPERLINK("#Main!A1","Open"))</f>
        <v>Open</v>
      </c>
    </row>
    <row r="48" spans="1:13" ht="30" customHeight="1" x14ac:dyDescent="0.25">
      <c r="A48" s="59" t="s">
        <v>489</v>
      </c>
      <c r="B48" s="6">
        <v>200</v>
      </c>
      <c r="C48" s="8" t="s">
        <v>991</v>
      </c>
      <c r="D48" s="6" t="s">
        <v>918</v>
      </c>
      <c r="E48" s="51"/>
      <c r="F48" s="8"/>
      <c r="G48" s="51"/>
      <c r="H48" s="8"/>
      <c r="I48" s="8"/>
      <c r="J48" s="8"/>
      <c r="K48" s="51" t="s">
        <v>489</v>
      </c>
      <c r="L48" s="9" t="str">
        <f>IFERROR(HYPERLINK("#Main!A"&amp;MATCH(A48,Main!A:A,0),"Open"),HYPERLINK("#Main!A1","Open"))</f>
        <v>Open</v>
      </c>
      <c r="M48" s="9"/>
    </row>
    <row r="49" spans="1:13" ht="30" customHeight="1" x14ac:dyDescent="0.25">
      <c r="A49" s="58" t="s">
        <v>338</v>
      </c>
      <c r="B49" s="49">
        <v>404</v>
      </c>
      <c r="C49" s="11" t="s">
        <v>977</v>
      </c>
      <c r="D49" s="49" t="s">
        <v>978</v>
      </c>
      <c r="E49" s="55"/>
      <c r="F49" s="11"/>
      <c r="G49" s="55"/>
      <c r="H49" s="11"/>
      <c r="I49" s="11"/>
      <c r="J49" s="11"/>
      <c r="K49" s="55" t="s">
        <v>979</v>
      </c>
      <c r="L49" t="str">
        <f>IFERROR(HYPERLINK("#Main!A"&amp;MATCH(A49,Main!A:A,0),"Open"),HYPERLINK("#Main!A1","Open"))</f>
        <v>Open</v>
      </c>
    </row>
    <row r="50" spans="1:13" ht="30" customHeight="1" x14ac:dyDescent="0.25">
      <c r="A50" s="59" t="s">
        <v>433</v>
      </c>
      <c r="B50" s="49">
        <v>404</v>
      </c>
      <c r="C50" s="8" t="s">
        <v>977</v>
      </c>
      <c r="D50" s="49" t="s">
        <v>978</v>
      </c>
      <c r="E50" s="51"/>
      <c r="F50" s="8"/>
      <c r="G50" s="51"/>
      <c r="H50" s="8"/>
      <c r="I50" s="8"/>
      <c r="J50" s="8"/>
      <c r="K50" s="51" t="s">
        <v>988</v>
      </c>
      <c r="L50" s="9" t="str">
        <f>IFERROR(HYPERLINK("#Main!A"&amp;MATCH(A50,Main!A:A,0),"Open"),HYPERLINK("#Main!A1","Open"))</f>
        <v>Open</v>
      </c>
      <c r="M50" s="9"/>
    </row>
    <row r="51" spans="1:13" ht="30" customHeight="1" x14ac:dyDescent="0.25">
      <c r="A51" s="58" t="s">
        <v>743</v>
      </c>
      <c r="B51" s="6">
        <v>200</v>
      </c>
      <c r="C51" s="11" t="s">
        <v>991</v>
      </c>
      <c r="D51" s="6" t="s">
        <v>918</v>
      </c>
      <c r="E51" s="55"/>
      <c r="F51" s="11"/>
      <c r="G51" s="55"/>
      <c r="H51" s="11"/>
      <c r="I51" s="11"/>
      <c r="J51" s="11"/>
      <c r="K51" s="55" t="s">
        <v>743</v>
      </c>
      <c r="L51" t="str">
        <f>IFERROR(HYPERLINK("#Main!A"&amp;MATCH(A51,Main!A:A,0),"Open"),HYPERLINK("#Main!A1","Open"))</f>
        <v>Open</v>
      </c>
    </row>
    <row r="52" spans="1:13" ht="30" customHeight="1" x14ac:dyDescent="0.25">
      <c r="A52" s="59" t="s">
        <v>598</v>
      </c>
      <c r="B52" s="6">
        <v>200</v>
      </c>
      <c r="C52" s="8" t="s">
        <v>991</v>
      </c>
      <c r="D52" s="6" t="s">
        <v>918</v>
      </c>
      <c r="E52" s="51"/>
      <c r="F52" s="8"/>
      <c r="G52" s="51"/>
      <c r="H52" s="8"/>
      <c r="I52" s="8"/>
      <c r="J52" s="8"/>
      <c r="K52" s="51" t="s">
        <v>598</v>
      </c>
      <c r="L52" s="9" t="str">
        <f>IFERROR(HYPERLINK("#Main!A"&amp;MATCH(A52,Main!A:A,0),"Open"),HYPERLINK("#Main!A1","Open"))</f>
        <v>Open</v>
      </c>
      <c r="M52" s="9"/>
    </row>
    <row r="53" spans="1:13" ht="30" customHeight="1" x14ac:dyDescent="0.25">
      <c r="A53" s="58" t="s">
        <v>735</v>
      </c>
      <c r="B53" s="6">
        <v>200</v>
      </c>
      <c r="C53" s="11" t="s">
        <v>991</v>
      </c>
      <c r="D53" s="6" t="s">
        <v>918</v>
      </c>
      <c r="E53" s="55"/>
      <c r="F53" s="11"/>
      <c r="G53" s="55"/>
      <c r="H53" s="11"/>
      <c r="I53" s="11"/>
      <c r="J53" s="11"/>
      <c r="K53" s="55" t="s">
        <v>735</v>
      </c>
      <c r="L53" t="str">
        <f>IFERROR(HYPERLINK("#Main!A"&amp;MATCH(A53,Main!A:A,0),"Open"),HYPERLINK("#Main!A1","Open"))</f>
        <v>Open</v>
      </c>
    </row>
    <row r="54" spans="1:13" ht="30" customHeight="1" x14ac:dyDescent="0.25">
      <c r="A54" s="59" t="s">
        <v>712</v>
      </c>
      <c r="B54" s="6">
        <v>200</v>
      </c>
      <c r="C54" s="8" t="s">
        <v>991</v>
      </c>
      <c r="D54" s="6" t="s">
        <v>918</v>
      </c>
      <c r="E54" s="51"/>
      <c r="F54" s="8"/>
      <c r="G54" s="51"/>
      <c r="H54" s="8"/>
      <c r="I54" s="8"/>
      <c r="J54" s="8"/>
      <c r="K54" s="51" t="s">
        <v>712</v>
      </c>
      <c r="L54" s="9" t="str">
        <f>IFERROR(HYPERLINK("#Main!A"&amp;MATCH(A54,Main!A:A,0),"Open"),HYPERLINK("#Main!A1","Open"))</f>
        <v>Open</v>
      </c>
      <c r="M54" s="9"/>
    </row>
    <row r="55" spans="1:13" ht="30" customHeight="1" x14ac:dyDescent="0.25">
      <c r="A55" s="58" t="s">
        <v>622</v>
      </c>
      <c r="B55" s="6">
        <v>200</v>
      </c>
      <c r="C55" s="11" t="s">
        <v>991</v>
      </c>
      <c r="D55" s="6" t="s">
        <v>918</v>
      </c>
      <c r="E55" s="55"/>
      <c r="F55" s="11"/>
      <c r="G55" s="55"/>
      <c r="H55" s="11"/>
      <c r="I55" s="11"/>
      <c r="J55" s="11"/>
      <c r="K55" s="55" t="s">
        <v>622</v>
      </c>
      <c r="L55" t="str">
        <f>IFERROR(HYPERLINK("#Main!A"&amp;MATCH(A55,Main!A:A,0),"Open"),HYPERLINK("#Main!A1","Open"))</f>
        <v>Open</v>
      </c>
    </row>
    <row r="56" spans="1:13" ht="30" customHeight="1" x14ac:dyDescent="0.25">
      <c r="A56" s="59" t="s">
        <v>535</v>
      </c>
      <c r="B56" s="6">
        <v>200</v>
      </c>
      <c r="C56" s="8" t="s">
        <v>991</v>
      </c>
      <c r="D56" s="6" t="s">
        <v>918</v>
      </c>
      <c r="E56" s="51"/>
      <c r="F56" s="8"/>
      <c r="G56" s="51"/>
      <c r="H56" s="8"/>
      <c r="I56" s="8"/>
      <c r="J56" s="8"/>
      <c r="K56" s="51" t="s">
        <v>535</v>
      </c>
      <c r="L56" s="9" t="str">
        <f>IFERROR(HYPERLINK("#Main!A"&amp;MATCH(A56,Main!A:A,0),"Open"),HYPERLINK("#Main!A1","Open"))</f>
        <v>Open</v>
      </c>
      <c r="M56" s="9"/>
    </row>
    <row r="57" spans="1:13" ht="30" customHeight="1" x14ac:dyDescent="0.25">
      <c r="A57" s="58" t="s">
        <v>527</v>
      </c>
      <c r="B57" s="6">
        <v>200</v>
      </c>
      <c r="C57" s="11" t="s">
        <v>991</v>
      </c>
      <c r="D57" s="6" t="s">
        <v>918</v>
      </c>
      <c r="E57" s="55"/>
      <c r="F57" s="11"/>
      <c r="G57" s="55"/>
      <c r="H57" s="11"/>
      <c r="I57" s="11"/>
      <c r="J57" s="11"/>
      <c r="K57" s="55" t="s">
        <v>527</v>
      </c>
      <c r="L57" t="str">
        <f>IFERROR(HYPERLINK("#Main!A"&amp;MATCH(A57,Main!A:A,0),"Open"),HYPERLINK("#Main!A1","Open"))</f>
        <v>Open</v>
      </c>
    </row>
    <row r="58" spans="1:13" ht="30" customHeight="1" x14ac:dyDescent="0.25">
      <c r="A58" s="59" t="s">
        <v>590</v>
      </c>
      <c r="B58" s="6">
        <v>200</v>
      </c>
      <c r="C58" s="8" t="s">
        <v>991</v>
      </c>
      <c r="D58" s="6" t="s">
        <v>918</v>
      </c>
      <c r="E58" s="51"/>
      <c r="F58" s="8"/>
      <c r="G58" s="51"/>
      <c r="H58" s="8"/>
      <c r="I58" s="8"/>
      <c r="J58" s="8"/>
      <c r="K58" s="51" t="s">
        <v>590</v>
      </c>
      <c r="L58" s="9" t="str">
        <f>IFERROR(HYPERLINK("#Main!A"&amp;MATCH(A58,Main!A:A,0),"Open"),HYPERLINK("#Main!A1","Open"))</f>
        <v>Open</v>
      </c>
      <c r="M58" s="9"/>
    </row>
    <row r="59" spans="1:13" ht="30" customHeight="1" x14ac:dyDescent="0.25">
      <c r="A59" s="58" t="s">
        <v>758</v>
      </c>
      <c r="B59" s="6">
        <v>200</v>
      </c>
      <c r="C59" s="11" t="s">
        <v>991</v>
      </c>
      <c r="D59" s="6" t="s">
        <v>918</v>
      </c>
      <c r="E59" s="55"/>
      <c r="F59" s="11"/>
      <c r="G59" s="55"/>
      <c r="H59" s="11"/>
      <c r="I59" s="11"/>
      <c r="J59" s="11"/>
      <c r="K59" s="55" t="s">
        <v>758</v>
      </c>
      <c r="L59" t="str">
        <f>IFERROR(HYPERLINK("#Main!A"&amp;MATCH(A59,Main!A:A,0),"Open"),HYPERLINK("#Main!A1","Open"))</f>
        <v>Open</v>
      </c>
    </row>
    <row r="60" spans="1:13" ht="30" customHeight="1" x14ac:dyDescent="0.25">
      <c r="A60" s="59" t="s">
        <v>282</v>
      </c>
      <c r="B60" s="6">
        <v>200</v>
      </c>
      <c r="C60" s="8" t="s">
        <v>991</v>
      </c>
      <c r="D60" s="6" t="s">
        <v>918</v>
      </c>
      <c r="E60" s="51"/>
      <c r="F60" s="8"/>
      <c r="G60" s="51"/>
      <c r="H60" s="8"/>
      <c r="I60" s="8"/>
      <c r="J60" s="8"/>
      <c r="K60" s="51" t="s">
        <v>282</v>
      </c>
      <c r="L60" s="9" t="str">
        <f>IFERROR(HYPERLINK("#Main!A"&amp;MATCH(A60,Main!A:A,0),"Open"),HYPERLINK("#Main!A1","Open"))</f>
        <v>Open</v>
      </c>
      <c r="M60" s="9"/>
    </row>
    <row r="61" spans="1:13" ht="30" customHeight="1" x14ac:dyDescent="0.25">
      <c r="A61" s="58" t="s">
        <v>766</v>
      </c>
      <c r="B61" s="6">
        <v>200</v>
      </c>
      <c r="C61" s="11" t="s">
        <v>991</v>
      </c>
      <c r="D61" s="6" t="s">
        <v>918</v>
      </c>
      <c r="E61" s="55"/>
      <c r="F61" s="11"/>
      <c r="G61" s="55"/>
      <c r="H61" s="11"/>
      <c r="I61" s="11"/>
      <c r="J61" s="11"/>
      <c r="K61" s="55" t="s">
        <v>766</v>
      </c>
      <c r="L61" t="str">
        <f>IFERROR(HYPERLINK("#Main!A"&amp;MATCH(A61,Main!A:A,0),"Open"),HYPERLINK("#Main!A1","Open"))</f>
        <v>Open</v>
      </c>
    </row>
    <row r="62" spans="1:13" ht="30" customHeight="1" x14ac:dyDescent="0.25">
      <c r="A62" s="59" t="s">
        <v>614</v>
      </c>
      <c r="B62" s="6">
        <v>200</v>
      </c>
      <c r="C62" s="8" t="s">
        <v>991</v>
      </c>
      <c r="D62" s="6" t="s">
        <v>918</v>
      </c>
      <c r="E62" s="51"/>
      <c r="F62" s="8"/>
      <c r="G62" s="51"/>
      <c r="H62" s="8"/>
      <c r="I62" s="8"/>
      <c r="J62" s="8"/>
      <c r="K62" s="51" t="s">
        <v>614</v>
      </c>
      <c r="L62" s="9" t="str">
        <f>IFERROR(HYPERLINK("#Main!A"&amp;MATCH(A62,Main!A:A,0),"Open"),HYPERLINK("#Main!A1","Open"))</f>
        <v>Open</v>
      </c>
      <c r="M62" s="9"/>
    </row>
    <row r="63" spans="1:13" ht="30" customHeight="1" x14ac:dyDescent="0.25">
      <c r="A63" s="58" t="s">
        <v>425</v>
      </c>
      <c r="B63" s="6">
        <v>200</v>
      </c>
      <c r="C63" s="11" t="s">
        <v>991</v>
      </c>
      <c r="D63" s="6" t="s">
        <v>918</v>
      </c>
      <c r="E63" s="55"/>
      <c r="F63" s="11"/>
      <c r="G63" s="55"/>
      <c r="H63" s="11"/>
      <c r="I63" s="11"/>
      <c r="J63" s="11"/>
      <c r="K63" s="55" t="s">
        <v>425</v>
      </c>
      <c r="L63" t="str">
        <f>IFERROR(HYPERLINK("#Main!A"&amp;MATCH(A63,Main!A:A,0),"Open"),HYPERLINK("#Main!A1","Open"))</f>
        <v>Open</v>
      </c>
    </row>
    <row r="64" spans="1:13" ht="30" customHeight="1" x14ac:dyDescent="0.25">
      <c r="A64" s="59" t="s">
        <v>210</v>
      </c>
      <c r="B64" s="6">
        <v>200</v>
      </c>
      <c r="C64" s="8" t="s">
        <v>991</v>
      </c>
      <c r="D64" s="6" t="s">
        <v>918</v>
      </c>
      <c r="E64" s="51"/>
      <c r="F64" s="8"/>
      <c r="G64" s="51"/>
      <c r="H64" s="8"/>
      <c r="I64" s="8"/>
      <c r="J64" s="8"/>
      <c r="K64" s="51" t="s">
        <v>210</v>
      </c>
      <c r="L64" s="9" t="str">
        <f>IFERROR(HYPERLINK("#Main!A"&amp;MATCH(A64,Main!A:A,0),"Open"),HYPERLINK("#Main!A1","Open"))</f>
        <v>Open</v>
      </c>
      <c r="M64" s="9"/>
    </row>
    <row r="65" spans="1:13" ht="30" customHeight="1" x14ac:dyDescent="0.25">
      <c r="A65" s="58" t="s">
        <v>258</v>
      </c>
      <c r="B65" s="6">
        <v>200</v>
      </c>
      <c r="C65" s="11" t="s">
        <v>991</v>
      </c>
      <c r="D65" s="6" t="s">
        <v>918</v>
      </c>
      <c r="E65" s="55"/>
      <c r="F65" s="11"/>
      <c r="G65" s="55"/>
      <c r="H65" s="11"/>
      <c r="I65" s="11"/>
      <c r="J65" s="11"/>
      <c r="K65" s="55" t="s">
        <v>258</v>
      </c>
      <c r="L65" t="str">
        <f>IFERROR(HYPERLINK("#Main!A"&amp;MATCH(A65,Main!A:A,0),"Open"),HYPERLINK("#Main!A1","Open"))</f>
        <v>Open</v>
      </c>
    </row>
    <row r="66" spans="1:13" ht="30" customHeight="1" x14ac:dyDescent="0.25">
      <c r="A66" s="59" t="s">
        <v>250</v>
      </c>
      <c r="B66" s="6">
        <v>200</v>
      </c>
      <c r="C66" s="8" t="s">
        <v>991</v>
      </c>
      <c r="D66" s="6" t="s">
        <v>918</v>
      </c>
      <c r="E66" s="51"/>
      <c r="F66" s="8"/>
      <c r="G66" s="51"/>
      <c r="H66" s="8"/>
      <c r="I66" s="8"/>
      <c r="J66" s="8"/>
      <c r="K66" s="51" t="s">
        <v>250</v>
      </c>
      <c r="L66" s="9" t="str">
        <f>IFERROR(HYPERLINK("#Main!A"&amp;MATCH(A66,Main!A:A,0),"Open"),HYPERLINK("#Main!A1","Open"))</f>
        <v>Open</v>
      </c>
      <c r="M66" s="9"/>
    </row>
    <row r="67" spans="1:13" ht="30" customHeight="1" x14ac:dyDescent="0.25">
      <c r="A67" s="58" t="s">
        <v>266</v>
      </c>
      <c r="B67" s="6">
        <v>200</v>
      </c>
      <c r="C67" s="11" t="s">
        <v>991</v>
      </c>
      <c r="D67" s="6" t="s">
        <v>918</v>
      </c>
      <c r="E67" s="55"/>
      <c r="F67" s="11"/>
      <c r="G67" s="55"/>
      <c r="H67" s="11"/>
      <c r="I67" s="11"/>
      <c r="J67" s="11"/>
      <c r="K67" s="55" t="s">
        <v>266</v>
      </c>
      <c r="L67" t="str">
        <f>IFERROR(HYPERLINK("#Main!A"&amp;MATCH(A67,Main!A:A,0),"Open"),HYPERLINK("#Main!A1","Open"))</f>
        <v>Open</v>
      </c>
    </row>
    <row r="68" spans="1:13" ht="30" customHeight="1" x14ac:dyDescent="0.25">
      <c r="A68" s="59" t="s">
        <v>543</v>
      </c>
      <c r="B68" s="6">
        <v>200</v>
      </c>
      <c r="C68" s="8" t="s">
        <v>991</v>
      </c>
      <c r="D68" s="6" t="s">
        <v>918</v>
      </c>
      <c r="E68" s="51"/>
      <c r="F68" s="8"/>
      <c r="G68" s="51"/>
      <c r="H68" s="8"/>
      <c r="I68" s="8"/>
      <c r="J68" s="8"/>
      <c r="K68" s="51" t="s">
        <v>543</v>
      </c>
      <c r="L68" s="9" t="str">
        <f>IFERROR(HYPERLINK("#Main!A"&amp;MATCH(A68,Main!A:A,0),"Open"),HYPERLINK("#Main!A1","Open"))</f>
        <v>Open</v>
      </c>
      <c r="M68" s="9"/>
    </row>
    <row r="69" spans="1:13" ht="30" customHeight="1" x14ac:dyDescent="0.25">
      <c r="A69" s="58" t="s">
        <v>99</v>
      </c>
      <c r="B69" s="6">
        <v>200</v>
      </c>
      <c r="C69" s="11" t="s">
        <v>991</v>
      </c>
      <c r="D69" s="6" t="s">
        <v>918</v>
      </c>
      <c r="E69" s="55"/>
      <c r="F69" s="11"/>
      <c r="G69" s="55"/>
      <c r="H69" s="11"/>
      <c r="I69" s="11"/>
      <c r="J69" s="11"/>
      <c r="K69" s="55" t="s">
        <v>99</v>
      </c>
      <c r="L69" t="str">
        <f>IFERROR(HYPERLINK("#Main!A"&amp;MATCH(A69,Main!A:A,0),"Open"),HYPERLINK("#Main!A1","Open"))</f>
        <v>Open</v>
      </c>
    </row>
    <row r="70" spans="1:13" ht="30" customHeight="1" x14ac:dyDescent="0.25">
      <c r="A70" s="59" t="s">
        <v>226</v>
      </c>
      <c r="B70" s="6">
        <v>200</v>
      </c>
      <c r="C70" s="8" t="s">
        <v>991</v>
      </c>
      <c r="D70" s="6" t="s">
        <v>918</v>
      </c>
      <c r="E70" s="51"/>
      <c r="F70" s="8"/>
      <c r="G70" s="51"/>
      <c r="H70" s="8"/>
      <c r="I70" s="8"/>
      <c r="J70" s="8"/>
      <c r="K70" s="51" t="s">
        <v>226</v>
      </c>
      <c r="L70" s="9" t="str">
        <f>IFERROR(HYPERLINK("#Main!A"&amp;MATCH(A70,Main!A:A,0),"Open"),HYPERLINK("#Main!A1","Open"))</f>
        <v>Open</v>
      </c>
      <c r="M70" s="9"/>
    </row>
    <row r="71" spans="1:13" ht="30" customHeight="1" x14ac:dyDescent="0.25">
      <c r="A71" s="58" t="s">
        <v>234</v>
      </c>
      <c r="B71" s="6">
        <v>200</v>
      </c>
      <c r="C71" s="11" t="s">
        <v>991</v>
      </c>
      <c r="D71" s="6" t="s">
        <v>918</v>
      </c>
      <c r="E71" s="55"/>
      <c r="F71" s="11"/>
      <c r="G71" s="55"/>
      <c r="H71" s="11"/>
      <c r="I71" s="11"/>
      <c r="J71" s="11"/>
      <c r="K71" s="55" t="s">
        <v>234</v>
      </c>
      <c r="L71" t="str">
        <f>IFERROR(HYPERLINK("#Main!A"&amp;MATCH(A71,Main!A:A,0),"Open"),HYPERLINK("#Main!A1","Open"))</f>
        <v>Open</v>
      </c>
    </row>
    <row r="72" spans="1:13" ht="30" customHeight="1" x14ac:dyDescent="0.25">
      <c r="A72" s="59" t="s">
        <v>218</v>
      </c>
      <c r="B72" s="6">
        <v>200</v>
      </c>
      <c r="C72" s="8" t="s">
        <v>991</v>
      </c>
      <c r="D72" s="6" t="s">
        <v>918</v>
      </c>
      <c r="E72" s="51"/>
      <c r="F72" s="8"/>
      <c r="G72" s="51"/>
      <c r="H72" s="8"/>
      <c r="I72" s="8"/>
      <c r="J72" s="8"/>
      <c r="K72" s="51" t="s">
        <v>218</v>
      </c>
      <c r="L72" s="9" t="str">
        <f>IFERROR(HYPERLINK("#Main!A"&amp;MATCH(A72,Main!A:A,0),"Open"),HYPERLINK("#Main!A1","Open"))</f>
        <v>Open</v>
      </c>
      <c r="M72" s="9"/>
    </row>
    <row r="73" spans="1:13" ht="30" customHeight="1" x14ac:dyDescent="0.25">
      <c r="A73" s="58" t="s">
        <v>342</v>
      </c>
      <c r="B73" s="6">
        <v>200</v>
      </c>
      <c r="C73" s="11" t="s">
        <v>991</v>
      </c>
      <c r="D73" s="6" t="s">
        <v>918</v>
      </c>
      <c r="E73" s="55"/>
      <c r="F73" s="11"/>
      <c r="G73" s="55"/>
      <c r="H73" s="11"/>
      <c r="I73" s="11"/>
      <c r="J73" s="11"/>
      <c r="K73" s="55" t="s">
        <v>342</v>
      </c>
      <c r="L73" t="str">
        <f>IFERROR(HYPERLINK("#Main!A"&amp;MATCH(A73,Main!A:A,0),"Open"),HYPERLINK("#Main!A1","Open"))</f>
        <v>Open</v>
      </c>
    </row>
    <row r="74" spans="1:13" ht="30" customHeight="1" x14ac:dyDescent="0.25">
      <c r="A74" s="59" t="s">
        <v>774</v>
      </c>
      <c r="B74" s="6">
        <v>200</v>
      </c>
      <c r="C74" s="8" t="s">
        <v>991</v>
      </c>
      <c r="D74" s="6" t="s">
        <v>918</v>
      </c>
      <c r="E74" s="51"/>
      <c r="F74" s="8"/>
      <c r="G74" s="51"/>
      <c r="H74" s="8"/>
      <c r="I74" s="8"/>
      <c r="J74" s="8"/>
      <c r="K74" s="51" t="s">
        <v>774</v>
      </c>
      <c r="L74" s="9" t="str">
        <f>IFERROR(HYPERLINK("#Main!A"&amp;MATCH(A74,Main!A:A,0),"Open"),HYPERLINK("#Main!A1","Open"))</f>
        <v>Open</v>
      </c>
      <c r="M74" s="9"/>
    </row>
    <row r="75" spans="1:13" ht="30" customHeight="1" x14ac:dyDescent="0.25">
      <c r="A75" s="58" t="s">
        <v>750</v>
      </c>
      <c r="B75" s="6">
        <v>200</v>
      </c>
      <c r="C75" s="11" t="s">
        <v>991</v>
      </c>
      <c r="D75" s="6" t="s">
        <v>918</v>
      </c>
      <c r="E75" s="55"/>
      <c r="F75" s="11"/>
      <c r="G75" s="55"/>
      <c r="H75" s="11"/>
      <c r="I75" s="11"/>
      <c r="J75" s="11"/>
      <c r="K75" s="55" t="s">
        <v>750</v>
      </c>
      <c r="L75" t="str">
        <f>IFERROR(HYPERLINK("#Main!A"&amp;MATCH(A75,Main!A:A,0),"Open"),HYPERLINK("#Main!A1","Open"))</f>
        <v>Open</v>
      </c>
    </row>
    <row r="76" spans="1:13" ht="30" customHeight="1" x14ac:dyDescent="0.25">
      <c r="A76" s="59" t="s">
        <v>465</v>
      </c>
      <c r="B76" s="6">
        <v>200</v>
      </c>
      <c r="C76" s="8" t="s">
        <v>991</v>
      </c>
      <c r="D76" s="6" t="s">
        <v>918</v>
      </c>
      <c r="E76" s="51"/>
      <c r="F76" s="8"/>
      <c r="G76" s="51"/>
      <c r="H76" s="8"/>
      <c r="I76" s="8"/>
      <c r="J76" s="8"/>
      <c r="K76" s="51" t="s">
        <v>465</v>
      </c>
      <c r="L76" s="9" t="str">
        <f>IFERROR(HYPERLINK("#Main!A"&amp;MATCH(A76,Main!A:A,0),"Open"),HYPERLINK("#Main!A1","Open"))</f>
        <v>Open</v>
      </c>
      <c r="M76" s="9"/>
    </row>
    <row r="77" spans="1:13" ht="30" customHeight="1" x14ac:dyDescent="0.25">
      <c r="A77" s="58" t="s">
        <v>457</v>
      </c>
      <c r="B77" s="6">
        <v>200</v>
      </c>
      <c r="C77" s="11" t="s">
        <v>991</v>
      </c>
      <c r="D77" s="6" t="s">
        <v>918</v>
      </c>
      <c r="E77" s="55"/>
      <c r="F77" s="11"/>
      <c r="G77" s="55"/>
      <c r="H77" s="11"/>
      <c r="I77" s="11"/>
      <c r="J77" s="11"/>
      <c r="K77" s="55" t="s">
        <v>457</v>
      </c>
      <c r="L77" t="str">
        <f>IFERROR(HYPERLINK("#Main!A"&amp;MATCH(A77,Main!A:A,0),"Open"),HYPERLINK("#Main!A1","Open"))</f>
        <v>Open</v>
      </c>
    </row>
    <row r="78" spans="1:13" ht="30" customHeight="1" x14ac:dyDescent="0.25">
      <c r="A78" s="59" t="s">
        <v>449</v>
      </c>
      <c r="B78" s="6">
        <v>200</v>
      </c>
      <c r="C78" s="8" t="s">
        <v>991</v>
      </c>
      <c r="D78" s="6" t="s">
        <v>918</v>
      </c>
      <c r="E78" s="51"/>
      <c r="F78" s="8"/>
      <c r="G78" s="51"/>
      <c r="H78" s="8"/>
      <c r="I78" s="8"/>
      <c r="J78" s="8"/>
      <c r="K78" s="51" t="s">
        <v>449</v>
      </c>
      <c r="L78" s="9" t="str">
        <f>IFERROR(HYPERLINK("#Main!A"&amp;MATCH(A78,Main!A:A,0),"Open"),HYPERLINK("#Main!A1","Open"))</f>
        <v>Open</v>
      </c>
      <c r="M78" s="9"/>
    </row>
    <row r="79" spans="1:13" ht="30" customHeight="1" x14ac:dyDescent="0.25">
      <c r="A79" s="58" t="s">
        <v>444</v>
      </c>
      <c r="B79" s="6">
        <v>200</v>
      </c>
      <c r="C79" s="11" t="s">
        <v>991</v>
      </c>
      <c r="D79" s="6" t="s">
        <v>918</v>
      </c>
      <c r="E79" s="55"/>
      <c r="F79" s="11"/>
      <c r="G79" s="55"/>
      <c r="H79" s="11"/>
      <c r="I79" s="11"/>
      <c r="J79" s="11"/>
      <c r="K79" s="55" t="s">
        <v>444</v>
      </c>
      <c r="L79" t="str">
        <f>IFERROR(HYPERLINK("#Main!A"&amp;MATCH(A79,Main!A:A,0),"Open"),HYPERLINK("#Main!A1","Open"))</f>
        <v>Open</v>
      </c>
    </row>
    <row r="80" spans="1:13" ht="30" customHeight="1" x14ac:dyDescent="0.25">
      <c r="A80" s="59" t="s">
        <v>330</v>
      </c>
      <c r="B80" s="6">
        <v>200</v>
      </c>
      <c r="C80" s="8" t="s">
        <v>991</v>
      </c>
      <c r="D80" s="6" t="s">
        <v>918</v>
      </c>
      <c r="E80" s="51"/>
      <c r="F80" s="8"/>
      <c r="G80" s="51"/>
      <c r="H80" s="8"/>
      <c r="I80" s="8"/>
      <c r="J80" s="8"/>
      <c r="K80" s="51" t="s">
        <v>330</v>
      </c>
      <c r="L80" s="9" t="str">
        <f>IFERROR(HYPERLINK("#Main!A"&amp;MATCH(A80,Main!A:A,0),"Open"),HYPERLINK("#Main!A1","Open"))</f>
        <v>Open</v>
      </c>
      <c r="M80" s="9"/>
    </row>
    <row r="81" spans="1:13" ht="30" customHeight="1" x14ac:dyDescent="0.25">
      <c r="A81" s="58" t="s">
        <v>782</v>
      </c>
      <c r="B81" s="6">
        <v>200</v>
      </c>
      <c r="C81" s="11" t="s">
        <v>991</v>
      </c>
      <c r="D81" s="6" t="s">
        <v>918</v>
      </c>
      <c r="E81" s="55"/>
      <c r="F81" s="11"/>
      <c r="G81" s="55"/>
      <c r="H81" s="11"/>
      <c r="I81" s="11"/>
      <c r="J81" s="11"/>
      <c r="K81" s="55" t="s">
        <v>782</v>
      </c>
      <c r="L81" t="str">
        <f>IFERROR(HYPERLINK("#Main!A"&amp;MATCH(A81,Main!A:A,0),"Open"),HYPERLINK("#Main!A1","Open"))</f>
        <v>Open</v>
      </c>
    </row>
    <row r="82" spans="1:13" ht="30" customHeight="1" x14ac:dyDescent="0.25">
      <c r="A82" s="59" t="s">
        <v>720</v>
      </c>
      <c r="B82" s="6">
        <v>200</v>
      </c>
      <c r="C82" s="8" t="s">
        <v>991</v>
      </c>
      <c r="D82" s="6" t="s">
        <v>918</v>
      </c>
      <c r="E82" s="51"/>
      <c r="F82" s="8"/>
      <c r="G82" s="51"/>
      <c r="H82" s="8"/>
      <c r="I82" s="8"/>
      <c r="J82" s="8"/>
      <c r="K82" s="51" t="s">
        <v>720</v>
      </c>
      <c r="L82" s="9" t="str">
        <f>IFERROR(HYPERLINK("#Main!A"&amp;MATCH(A82,Main!A:A,0),"Open"),HYPERLINK("#Main!A1","Open"))</f>
        <v>Open</v>
      </c>
      <c r="M82" s="9"/>
    </row>
    <row r="83" spans="1:13" ht="30" customHeight="1" x14ac:dyDescent="0.25">
      <c r="A83" s="58" t="s">
        <v>635</v>
      </c>
      <c r="B83" s="6">
        <v>200</v>
      </c>
      <c r="C83" s="11" t="s">
        <v>991</v>
      </c>
      <c r="D83" s="6" t="s">
        <v>918</v>
      </c>
      <c r="E83" s="55"/>
      <c r="F83" s="11"/>
      <c r="G83" s="55"/>
      <c r="H83" s="11"/>
      <c r="I83" s="11"/>
      <c r="J83" s="11"/>
      <c r="K83" s="55" t="s">
        <v>635</v>
      </c>
      <c r="L83" t="str">
        <f>IFERROR(HYPERLINK("#Main!A"&amp;MATCH(A83,Main!A:A,0),"Open"),HYPERLINK("#Main!A1","Open"))</f>
        <v>Open</v>
      </c>
    </row>
    <row r="84" spans="1:13" ht="30" customHeight="1" x14ac:dyDescent="0.25">
      <c r="A84" s="59" t="s">
        <v>180</v>
      </c>
      <c r="B84" s="6">
        <v>200</v>
      </c>
      <c r="C84" s="8" t="s">
        <v>991</v>
      </c>
      <c r="D84" s="6" t="s">
        <v>918</v>
      </c>
      <c r="E84" s="51"/>
      <c r="F84" s="8"/>
      <c r="G84" s="51"/>
      <c r="H84" s="8"/>
      <c r="I84" s="8"/>
      <c r="J84" s="8"/>
      <c r="K84" s="51" t="s">
        <v>180</v>
      </c>
      <c r="L84" s="9" t="str">
        <f>IFERROR(HYPERLINK("#Main!A"&amp;MATCH(A84,Main!A:A,0),"Open"),HYPERLINK("#Main!A1","Open"))</f>
        <v>Open</v>
      </c>
      <c r="M84" s="9"/>
    </row>
    <row r="85" spans="1:13" ht="30" customHeight="1" x14ac:dyDescent="0.25">
      <c r="A85" s="58" t="s">
        <v>698</v>
      </c>
      <c r="B85" s="6">
        <v>200</v>
      </c>
      <c r="C85" s="11" t="s">
        <v>991</v>
      </c>
      <c r="D85" s="6" t="s">
        <v>918</v>
      </c>
      <c r="E85" s="55"/>
      <c r="F85" s="11"/>
      <c r="G85" s="55"/>
      <c r="H85" s="11"/>
      <c r="I85" s="11"/>
      <c r="J85" s="11"/>
      <c r="K85" s="55" t="s">
        <v>698</v>
      </c>
      <c r="L85" t="str">
        <f>IFERROR(HYPERLINK("#Main!A"&amp;MATCH(A85,Main!A:A,0),"Open"),HYPERLINK("#Main!A1","Open"))</f>
        <v>Open</v>
      </c>
    </row>
    <row r="86" spans="1:13" ht="30" customHeight="1" x14ac:dyDescent="0.25">
      <c r="A86" s="59" t="s">
        <v>666</v>
      </c>
      <c r="B86" s="6">
        <v>200</v>
      </c>
      <c r="C86" s="8" t="s">
        <v>991</v>
      </c>
      <c r="D86" s="6" t="s">
        <v>918</v>
      </c>
      <c r="E86" s="51"/>
      <c r="F86" s="8"/>
      <c r="G86" s="51"/>
      <c r="H86" s="8"/>
      <c r="I86" s="8"/>
      <c r="J86" s="8"/>
      <c r="K86" s="51" t="s">
        <v>666</v>
      </c>
      <c r="L86" s="9" t="str">
        <f>IFERROR(HYPERLINK("#Main!A"&amp;MATCH(A86,Main!A:A,0),"Open"),HYPERLINK("#Main!A1","Open"))</f>
        <v>Open</v>
      </c>
      <c r="M86" s="9"/>
    </row>
  </sheetData>
  <autoFilter ref="A1:M86" xr:uid="{00000000-0009-0000-0000-00000A000000}"/>
  <conditionalFormatting sqref="B2:B86">
    <cfRule type="cellIs" dxfId="23" priority="1" operator="equal">
      <formula>200</formula>
    </cfRule>
    <cfRule type="cellIs" dxfId="22" priority="2" operator="between">
      <formula>300</formula>
      <formula>399</formula>
    </cfRule>
    <cfRule type="cellIs" dxfId="21" priority="3" operator="greaterThanOrEqual">
      <formula>400</formula>
    </cfRule>
  </conditionalFormatting>
  <dataValidations count="13">
    <dataValidation type="custom" allowBlank="1" showInputMessage="1" promptTitle="URL" prompt="URL. Use this URL to inspect the page directly or jump to related tabs." sqref="A1" xr:uid="{00000000-0002-0000-0A00-000000000000}">
      <formula1>TRUE</formula1>
    </dataValidation>
    <dataValidation type="custom" allowBlank="1" showInputMessage="1" promptTitle="Status Code" prompt="HTTP response code returned for this page/resource. Fix: Resolve 4xx/5xx errors and reduce unnecessary redirects." sqref="B1" xr:uid="{00000000-0002-0000-0A00-000001000000}">
      <formula1>TRUE</formula1>
    </dataValidation>
    <dataValidation type="custom" allowBlank="1" showInputMessage="1" promptTitle="Status Class" prompt="Grouped HTTP class (2xx/3xx/4xx/5xx). Use this to quickly triage crawl health and error concentration." sqref="C1" xr:uid="{00000000-0002-0000-0A00-000002000000}">
      <formula1>TRUE</formula1>
    </dataValidation>
    <dataValidation type="custom" allowBlank="1" showInputMessage="1" promptTitle="Indexability Reason" prompt="Indexing/canonicalization signal. Fix: ensure indexable pages use correct canonicals and non-conflicting directives." sqref="D1" xr:uid="{00000000-0002-0000-0A00-000003000000}">
      <formula1>TRUE</formula1>
    </dataValidation>
    <dataValidation type="custom" allowBlank="1" showInputMessage="1" promptTitle="Canonical URL" prompt="Canonical URL. Use this URL to inspect the page directly or jump to related tabs." sqref="E1" xr:uid="{00000000-0002-0000-0A00-000004000000}">
      <formula1>TRUE</formula1>
    </dataValidation>
    <dataValidation type="custom" allowBlank="1" showInputMessage="1" promptTitle="Canonical Type" prompt="Indexing/canonicalization signal. Fix: ensure indexable pages use correct canonicals and non-conflicting directives." sqref="F1" xr:uid="{00000000-0002-0000-0A00-000005000000}">
      <formula1>TRUE</formula1>
    </dataValidation>
    <dataValidation type="custom" allowBlank="1" showInputMessage="1" promptTitle="Canonical Matches Final URL" prompt="Canonical Matches Final URL. Use this URL to inspect the page directly or jump to related tabs." sqref="G1" xr:uid="{00000000-0002-0000-0A00-000006000000}">
      <formula1>TRUE</formula1>
    </dataValidation>
    <dataValidation type="custom" allowBlank="1" showInputMessage="1" promptTitle="Canonical in Sitemap Match" prompt="Indexing/canonicalization signal. Fix: ensure indexable pages use correct canonicals and non-conflicting directives." sqref="H1" xr:uid="{00000000-0002-0000-0A00-000007000000}">
      <formula1>TRUE</formula1>
    </dataValidation>
    <dataValidation type="custom" allowBlank="1" showInputMessage="1" promptTitle="Meta Robots Raw" prompt="Robots directives that influence indexation. Fix: remove unintended noindex/nofollow values on important pages." sqref="I1" xr:uid="{00000000-0002-0000-0A00-000008000000}">
      <formula1>TRUE</formula1>
    </dataValidation>
    <dataValidation type="custom" allowBlank="1" showInputMessage="1" promptTitle="X-Robots-Tag" prompt="Robots directives that influence indexation. Fix: remove unintended noindex/nofollow values on important pages." sqref="J1" xr:uid="{00000000-0002-0000-0A00-000009000000}">
      <formula1>TRUE</formula1>
    </dataValidation>
    <dataValidation type="custom" allowBlank="1" showInputMessage="1" promptTitle="Final URL" prompt="Final URL. Use this URL to inspect the page directly or jump to related tabs." sqref="K1" xr:uid="{00000000-0002-0000-0A00-00000A000000}">
      <formula1>TRUE</formula1>
    </dataValidation>
    <dataValidation type="custom" allowBlank="1" showInputMessage="1" promptTitle="Open in Main" prompt="Navigation helper. Click to jump directly to the related record in another tab." sqref="L1" xr:uid="{00000000-0002-0000-0A00-00000B000000}">
      <formula1>TRUE</formula1>
    </dataValidation>
    <dataValidation type="custom" allowBlank="1" showInputMessage="1" promptTitle="BACK TO DASHBOARD" prompt="BACK TO DASHBOARD. Review this metric to identify risk, then use linked tabs for details and remediation." sqref="M1" xr:uid="{00000000-0002-0000-0A00-00000C000000}">
      <formula1>TRUE</formula1>
    </dataValidation>
  </dataValidations>
  <hyperlinks>
    <hyperlink ref="M1" location="Dashboard!A1" display="BACK TO DASHBOARD" xr:uid="{00000000-0004-0000-0A00-000000000000}"/>
    <hyperlink ref="A2" r:id="rId1" xr:uid="{00000000-0004-0000-0A00-000001000000}"/>
    <hyperlink ref="A3" r:id="rId2" xr:uid="{00000000-0004-0000-0A00-000002000000}"/>
    <hyperlink ref="A4" r:id="rId3" xr:uid="{00000000-0004-0000-0A00-000003000000}"/>
    <hyperlink ref="A5" r:id="rId4" xr:uid="{00000000-0004-0000-0A00-000004000000}"/>
    <hyperlink ref="A6" r:id="rId5" xr:uid="{00000000-0004-0000-0A00-000005000000}"/>
    <hyperlink ref="A7" r:id="rId6" xr:uid="{00000000-0004-0000-0A00-000006000000}"/>
    <hyperlink ref="A8" r:id="rId7" xr:uid="{00000000-0004-0000-0A00-000007000000}"/>
    <hyperlink ref="A9" r:id="rId8" xr:uid="{00000000-0004-0000-0A00-000008000000}"/>
    <hyperlink ref="A10" r:id="rId9" xr:uid="{00000000-0004-0000-0A00-000009000000}"/>
    <hyperlink ref="A11" r:id="rId10" xr:uid="{00000000-0004-0000-0A00-00000A000000}"/>
    <hyperlink ref="A12" r:id="rId11" xr:uid="{00000000-0004-0000-0A00-00000B000000}"/>
    <hyperlink ref="A13" r:id="rId12" xr:uid="{00000000-0004-0000-0A00-00000C000000}"/>
    <hyperlink ref="A14" r:id="rId13" xr:uid="{00000000-0004-0000-0A00-00000D000000}"/>
    <hyperlink ref="A15" r:id="rId14" xr:uid="{00000000-0004-0000-0A00-00000E000000}"/>
    <hyperlink ref="A16" r:id="rId15" xr:uid="{00000000-0004-0000-0A00-00000F000000}"/>
    <hyperlink ref="A17" r:id="rId16" xr:uid="{00000000-0004-0000-0A00-000010000000}"/>
    <hyperlink ref="A18" r:id="rId17" xr:uid="{00000000-0004-0000-0A00-000011000000}"/>
    <hyperlink ref="A19" r:id="rId18" xr:uid="{00000000-0004-0000-0A00-000012000000}"/>
    <hyperlink ref="A20" r:id="rId19" xr:uid="{00000000-0004-0000-0A00-000013000000}"/>
    <hyperlink ref="A21" r:id="rId20" xr:uid="{00000000-0004-0000-0A00-000014000000}"/>
    <hyperlink ref="A22" r:id="rId21" xr:uid="{00000000-0004-0000-0A00-000015000000}"/>
    <hyperlink ref="A23" r:id="rId22" xr:uid="{00000000-0004-0000-0A00-000016000000}"/>
    <hyperlink ref="A24" r:id="rId23" xr:uid="{00000000-0004-0000-0A00-000017000000}"/>
    <hyperlink ref="A25" r:id="rId24" xr:uid="{00000000-0004-0000-0A00-000018000000}"/>
    <hyperlink ref="A26" r:id="rId25" xr:uid="{00000000-0004-0000-0A00-000019000000}"/>
    <hyperlink ref="A27" r:id="rId26" xr:uid="{00000000-0004-0000-0A00-00001A000000}"/>
    <hyperlink ref="A28" r:id="rId27" xr:uid="{00000000-0004-0000-0A00-00001B000000}"/>
    <hyperlink ref="A29" r:id="rId28" xr:uid="{00000000-0004-0000-0A00-00001C000000}"/>
    <hyperlink ref="A30" r:id="rId29" xr:uid="{00000000-0004-0000-0A00-00001D000000}"/>
    <hyperlink ref="A31" r:id="rId30" xr:uid="{00000000-0004-0000-0A00-00001E000000}"/>
    <hyperlink ref="A32" r:id="rId31" xr:uid="{00000000-0004-0000-0A00-00001F000000}"/>
    <hyperlink ref="A33" r:id="rId32" xr:uid="{00000000-0004-0000-0A00-000020000000}"/>
    <hyperlink ref="A34" r:id="rId33" xr:uid="{00000000-0004-0000-0A00-000021000000}"/>
    <hyperlink ref="A35" r:id="rId34" xr:uid="{00000000-0004-0000-0A00-000022000000}"/>
    <hyperlink ref="A36" r:id="rId35" xr:uid="{00000000-0004-0000-0A00-000023000000}"/>
    <hyperlink ref="A37" r:id="rId36" xr:uid="{00000000-0004-0000-0A00-000024000000}"/>
    <hyperlink ref="A38" r:id="rId37" xr:uid="{00000000-0004-0000-0A00-000025000000}"/>
    <hyperlink ref="A39" r:id="rId38" xr:uid="{00000000-0004-0000-0A00-000026000000}"/>
    <hyperlink ref="A40" r:id="rId39" xr:uid="{00000000-0004-0000-0A00-000027000000}"/>
    <hyperlink ref="A41" r:id="rId40" xr:uid="{00000000-0004-0000-0A00-000028000000}"/>
    <hyperlink ref="A42" r:id="rId41" xr:uid="{00000000-0004-0000-0A00-000029000000}"/>
    <hyperlink ref="A43" r:id="rId42" xr:uid="{00000000-0004-0000-0A00-00002A000000}"/>
    <hyperlink ref="A44" r:id="rId43" xr:uid="{00000000-0004-0000-0A00-00002B000000}"/>
    <hyperlink ref="A45" r:id="rId44" xr:uid="{00000000-0004-0000-0A00-00002C000000}"/>
    <hyperlink ref="A46" r:id="rId45" xr:uid="{00000000-0004-0000-0A00-00002D000000}"/>
    <hyperlink ref="A47" r:id="rId46" xr:uid="{00000000-0004-0000-0A00-00002E000000}"/>
    <hyperlink ref="A48" r:id="rId47" xr:uid="{00000000-0004-0000-0A00-00002F000000}"/>
    <hyperlink ref="A49" r:id="rId48" xr:uid="{00000000-0004-0000-0A00-000030000000}"/>
    <hyperlink ref="A50" r:id="rId49" xr:uid="{00000000-0004-0000-0A00-000031000000}"/>
    <hyperlink ref="A51" r:id="rId50" xr:uid="{00000000-0004-0000-0A00-000032000000}"/>
    <hyperlink ref="A52" r:id="rId51" xr:uid="{00000000-0004-0000-0A00-000033000000}"/>
    <hyperlink ref="A53" r:id="rId52" xr:uid="{00000000-0004-0000-0A00-000034000000}"/>
    <hyperlink ref="A54" r:id="rId53" xr:uid="{00000000-0004-0000-0A00-000035000000}"/>
    <hyperlink ref="A55" r:id="rId54" xr:uid="{00000000-0004-0000-0A00-000036000000}"/>
    <hyperlink ref="A56" r:id="rId55" xr:uid="{00000000-0004-0000-0A00-000037000000}"/>
    <hyperlink ref="A57" r:id="rId56" xr:uid="{00000000-0004-0000-0A00-000038000000}"/>
    <hyperlink ref="A58" r:id="rId57" xr:uid="{00000000-0004-0000-0A00-000039000000}"/>
    <hyperlink ref="A59" r:id="rId58" xr:uid="{00000000-0004-0000-0A00-00003A000000}"/>
    <hyperlink ref="A60" r:id="rId59" xr:uid="{00000000-0004-0000-0A00-00003B000000}"/>
    <hyperlink ref="A61" r:id="rId60" xr:uid="{00000000-0004-0000-0A00-00003C000000}"/>
    <hyperlink ref="A62" r:id="rId61" xr:uid="{00000000-0004-0000-0A00-00003D000000}"/>
    <hyperlink ref="A63" r:id="rId62" xr:uid="{00000000-0004-0000-0A00-00003E000000}"/>
    <hyperlink ref="A64" r:id="rId63" xr:uid="{00000000-0004-0000-0A00-00003F000000}"/>
    <hyperlink ref="A65" r:id="rId64" xr:uid="{00000000-0004-0000-0A00-000040000000}"/>
    <hyperlink ref="A66" r:id="rId65" xr:uid="{00000000-0004-0000-0A00-000041000000}"/>
    <hyperlink ref="A67" r:id="rId66" xr:uid="{00000000-0004-0000-0A00-000042000000}"/>
    <hyperlink ref="A68" r:id="rId67" xr:uid="{00000000-0004-0000-0A00-000043000000}"/>
    <hyperlink ref="A69" r:id="rId68" xr:uid="{00000000-0004-0000-0A00-000044000000}"/>
    <hyperlink ref="A70" r:id="rId69" xr:uid="{00000000-0004-0000-0A00-000045000000}"/>
    <hyperlink ref="A71" r:id="rId70" xr:uid="{00000000-0004-0000-0A00-000046000000}"/>
    <hyperlink ref="A72" r:id="rId71" xr:uid="{00000000-0004-0000-0A00-000047000000}"/>
    <hyperlink ref="A73" r:id="rId72" xr:uid="{00000000-0004-0000-0A00-000048000000}"/>
    <hyperlink ref="A74" r:id="rId73" xr:uid="{00000000-0004-0000-0A00-000049000000}"/>
    <hyperlink ref="A75" r:id="rId74" xr:uid="{00000000-0004-0000-0A00-00004A000000}"/>
    <hyperlink ref="A76" r:id="rId75" xr:uid="{00000000-0004-0000-0A00-00004B000000}"/>
    <hyperlink ref="A77" r:id="rId76" xr:uid="{00000000-0004-0000-0A00-00004C000000}"/>
    <hyperlink ref="A78" r:id="rId77" xr:uid="{00000000-0004-0000-0A00-00004D000000}"/>
    <hyperlink ref="A79" r:id="rId78" xr:uid="{00000000-0004-0000-0A00-00004E000000}"/>
    <hyperlink ref="A80" r:id="rId79" xr:uid="{00000000-0004-0000-0A00-00004F000000}"/>
    <hyperlink ref="A81" r:id="rId80" xr:uid="{00000000-0004-0000-0A00-000050000000}"/>
    <hyperlink ref="A82" r:id="rId81" xr:uid="{00000000-0004-0000-0A00-000051000000}"/>
    <hyperlink ref="A83" r:id="rId82" xr:uid="{00000000-0004-0000-0A00-000052000000}"/>
    <hyperlink ref="A84" r:id="rId83" xr:uid="{00000000-0004-0000-0A00-000053000000}"/>
    <hyperlink ref="A85" r:id="rId84" xr:uid="{00000000-0004-0000-0A00-000054000000}"/>
    <hyperlink ref="A86" r:id="rId85" xr:uid="{00000000-0004-0000-0A00-000055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86"/>
  <sheetViews>
    <sheetView workbookViewId="0">
      <pane ySplit="1" topLeftCell="A2" activePane="bottomLeft" state="frozen"/>
      <selection pane="bottomLeft"/>
    </sheetView>
  </sheetViews>
  <sheetFormatPr defaultRowHeight="15" x14ac:dyDescent="0.25"/>
  <cols>
    <col min="1" max="1" width="45" customWidth="1"/>
    <col min="2" max="2" width="13" customWidth="1"/>
    <col min="3" max="3" width="45" customWidth="1"/>
    <col min="4" max="4" width="23" customWidth="1"/>
    <col min="5" max="5" width="17" customWidth="1"/>
    <col min="6" max="6" width="15" customWidth="1"/>
    <col min="7" max="7" width="22" customWidth="1"/>
    <col min="8" max="8" width="20" customWidth="1"/>
  </cols>
  <sheetData>
    <row r="1" spans="1:10" ht="45" x14ac:dyDescent="0.25">
      <c r="A1" s="5" t="s">
        <v>118</v>
      </c>
      <c r="B1" s="5" t="s">
        <v>888</v>
      </c>
      <c r="C1" s="5" t="s">
        <v>925</v>
      </c>
      <c r="D1" s="5" t="s">
        <v>929</v>
      </c>
      <c r="E1" s="5" t="s">
        <v>930</v>
      </c>
      <c r="F1" s="5" t="s">
        <v>931</v>
      </c>
      <c r="G1" s="5" t="s">
        <v>932</v>
      </c>
      <c r="H1" s="5" t="s">
        <v>1210</v>
      </c>
      <c r="I1" s="5" t="s">
        <v>135</v>
      </c>
      <c r="J1" s="39" t="s">
        <v>136</v>
      </c>
    </row>
    <row r="2" spans="1:10" ht="30" customHeight="1" x14ac:dyDescent="0.25">
      <c r="A2" s="59" t="s">
        <v>682</v>
      </c>
      <c r="B2" s="6">
        <v>200</v>
      </c>
      <c r="C2" s="51" t="s">
        <v>682</v>
      </c>
      <c r="D2" s="8">
        <v>0</v>
      </c>
      <c r="E2" s="8"/>
      <c r="F2" s="51"/>
      <c r="G2" s="8" t="b">
        <v>0</v>
      </c>
      <c r="H2" s="6" t="b">
        <v>0</v>
      </c>
      <c r="I2" s="9" t="str">
        <f>IFERROR(HYPERLINK("#Main!A"&amp;MATCH(A2,Main!A:A,0),"Open"),HYPERLINK("#Main!A1","Open"))</f>
        <v>Open</v>
      </c>
      <c r="J2" s="9"/>
    </row>
    <row r="3" spans="1:10" ht="15.75" x14ac:dyDescent="0.25">
      <c r="A3" s="58" t="s">
        <v>140</v>
      </c>
      <c r="B3" s="6">
        <v>200</v>
      </c>
      <c r="C3" s="55" t="s">
        <v>140</v>
      </c>
      <c r="D3" s="11">
        <v>0</v>
      </c>
      <c r="E3" s="11"/>
      <c r="F3" s="55"/>
      <c r="G3" s="11" t="b">
        <v>0</v>
      </c>
      <c r="H3" s="6" t="b">
        <v>0</v>
      </c>
      <c r="I3" t="str">
        <f>IFERROR(HYPERLINK("#Main!A"&amp;MATCH(A3,Main!A:A,0),"Open"),HYPERLINK("#Main!A1","Open"))</f>
        <v>Open</v>
      </c>
    </row>
    <row r="4" spans="1:10" ht="30" customHeight="1" x14ac:dyDescent="0.25">
      <c r="A4" s="59" t="s">
        <v>674</v>
      </c>
      <c r="B4" s="6">
        <v>200</v>
      </c>
      <c r="C4" s="51" t="s">
        <v>674</v>
      </c>
      <c r="D4" s="8">
        <v>0</v>
      </c>
      <c r="E4" s="8"/>
      <c r="F4" s="51"/>
      <c r="G4" s="8" t="b">
        <v>0</v>
      </c>
      <c r="H4" s="6" t="b">
        <v>0</v>
      </c>
      <c r="I4" s="9" t="str">
        <f>IFERROR(HYPERLINK("#Main!A"&amp;MATCH(A4,Main!A:A,0),"Open"),HYPERLINK("#Main!A1","Open"))</f>
        <v>Open</v>
      </c>
      <c r="J4" s="9"/>
    </row>
    <row r="5" spans="1:10" ht="30" customHeight="1" x14ac:dyDescent="0.25">
      <c r="A5" s="58" t="s">
        <v>642</v>
      </c>
      <c r="B5" s="6">
        <v>200</v>
      </c>
      <c r="C5" s="55" t="s">
        <v>642</v>
      </c>
      <c r="D5" s="11">
        <v>0</v>
      </c>
      <c r="E5" s="11"/>
      <c r="F5" s="55"/>
      <c r="G5" s="11" t="b">
        <v>0</v>
      </c>
      <c r="H5" s="6" t="b">
        <v>0</v>
      </c>
      <c r="I5" t="str">
        <f>IFERROR(HYPERLINK("#Main!A"&amp;MATCH(A5,Main!A:A,0),"Open"),HYPERLINK("#Main!A1","Open"))</f>
        <v>Open</v>
      </c>
    </row>
    <row r="6" spans="1:10" ht="30" customHeight="1" x14ac:dyDescent="0.25">
      <c r="A6" s="59" t="s">
        <v>322</v>
      </c>
      <c r="B6" s="6">
        <v>200</v>
      </c>
      <c r="C6" s="51" t="s">
        <v>322</v>
      </c>
      <c r="D6" s="8">
        <v>0</v>
      </c>
      <c r="E6" s="8"/>
      <c r="F6" s="51"/>
      <c r="G6" s="8" t="b">
        <v>0</v>
      </c>
      <c r="H6" s="6" t="b">
        <v>0</v>
      </c>
      <c r="I6" s="9" t="str">
        <f>IFERROR(HYPERLINK("#Main!A"&amp;MATCH(A6,Main!A:A,0),"Open"),HYPERLINK("#Main!A1","Open"))</f>
        <v>Open</v>
      </c>
      <c r="J6" s="9"/>
    </row>
    <row r="7" spans="1:10" ht="30" customHeight="1" x14ac:dyDescent="0.25">
      <c r="A7" s="58" t="s">
        <v>519</v>
      </c>
      <c r="B7" s="6">
        <v>200</v>
      </c>
      <c r="C7" s="55" t="s">
        <v>519</v>
      </c>
      <c r="D7" s="11">
        <v>0</v>
      </c>
      <c r="E7" s="11"/>
      <c r="F7" s="55"/>
      <c r="G7" s="11" t="b">
        <v>0</v>
      </c>
      <c r="H7" s="6" t="b">
        <v>0</v>
      </c>
      <c r="I7" t="str">
        <f>IFERROR(HYPERLINK("#Main!A"&amp;MATCH(A7,Main!A:A,0),"Open"),HYPERLINK("#Main!A1","Open"))</f>
        <v>Open</v>
      </c>
    </row>
    <row r="8" spans="1:10" ht="30" customHeight="1" x14ac:dyDescent="0.25">
      <c r="A8" s="59" t="s">
        <v>551</v>
      </c>
      <c r="B8" s="6">
        <v>200</v>
      </c>
      <c r="C8" s="51" t="s">
        <v>551</v>
      </c>
      <c r="D8" s="8">
        <v>0</v>
      </c>
      <c r="E8" s="8"/>
      <c r="F8" s="51"/>
      <c r="G8" s="8" t="b">
        <v>0</v>
      </c>
      <c r="H8" s="6" t="b">
        <v>0</v>
      </c>
      <c r="I8" s="9" t="str">
        <f>IFERROR(HYPERLINK("#Main!A"&amp;MATCH(A8,Main!A:A,0),"Open"),HYPERLINK("#Main!A1","Open"))</f>
        <v>Open</v>
      </c>
      <c r="J8" s="9"/>
    </row>
    <row r="9" spans="1:10" ht="30" customHeight="1" x14ac:dyDescent="0.25">
      <c r="A9" s="58" t="s">
        <v>606</v>
      </c>
      <c r="B9" s="6">
        <v>200</v>
      </c>
      <c r="C9" s="55" t="s">
        <v>606</v>
      </c>
      <c r="D9" s="11">
        <v>0</v>
      </c>
      <c r="E9" s="11"/>
      <c r="F9" s="55"/>
      <c r="G9" s="11" t="b">
        <v>0</v>
      </c>
      <c r="H9" s="6" t="b">
        <v>0</v>
      </c>
      <c r="I9" t="str">
        <f>IFERROR(HYPERLINK("#Main!A"&amp;MATCH(A9,Main!A:A,0),"Open"),HYPERLINK("#Main!A1","Open"))</f>
        <v>Open</v>
      </c>
    </row>
    <row r="10" spans="1:10" ht="30" customHeight="1" x14ac:dyDescent="0.25">
      <c r="A10" s="59" t="s">
        <v>512</v>
      </c>
      <c r="B10" s="6">
        <v>200</v>
      </c>
      <c r="C10" s="51" t="s">
        <v>512</v>
      </c>
      <c r="D10" s="8">
        <v>0</v>
      </c>
      <c r="E10" s="8"/>
      <c r="F10" s="51"/>
      <c r="G10" s="8" t="b">
        <v>0</v>
      </c>
      <c r="H10" s="6" t="b">
        <v>0</v>
      </c>
      <c r="I10" s="9" t="str">
        <f>IFERROR(HYPERLINK("#Main!A"&amp;MATCH(A10,Main!A:A,0),"Open"),HYPERLINK("#Main!A1","Open"))</f>
        <v>Open</v>
      </c>
      <c r="J10" s="9"/>
    </row>
    <row r="11" spans="1:10" ht="30" customHeight="1" x14ac:dyDescent="0.25">
      <c r="A11" s="58" t="s">
        <v>582</v>
      </c>
      <c r="B11" s="6">
        <v>200</v>
      </c>
      <c r="C11" s="55" t="s">
        <v>582</v>
      </c>
      <c r="D11" s="11">
        <v>0</v>
      </c>
      <c r="E11" s="11"/>
      <c r="F11" s="55"/>
      <c r="G11" s="11" t="b">
        <v>0</v>
      </c>
      <c r="H11" s="6" t="b">
        <v>0</v>
      </c>
      <c r="I11" t="str">
        <f>IFERROR(HYPERLINK("#Main!A"&amp;MATCH(A11,Main!A:A,0),"Open"),HYPERLINK("#Main!A1","Open"))</f>
        <v>Open</v>
      </c>
    </row>
    <row r="12" spans="1:10" ht="30" customHeight="1" x14ac:dyDescent="0.25">
      <c r="A12" s="59" t="s">
        <v>658</v>
      </c>
      <c r="B12" s="6">
        <v>200</v>
      </c>
      <c r="C12" s="51" t="s">
        <v>658</v>
      </c>
      <c r="D12" s="8">
        <v>0</v>
      </c>
      <c r="E12" s="8"/>
      <c r="F12" s="51"/>
      <c r="G12" s="8" t="b">
        <v>0</v>
      </c>
      <c r="H12" s="6" t="b">
        <v>0</v>
      </c>
      <c r="I12" s="9" t="str">
        <f>IFERROR(HYPERLINK("#Main!A"&amp;MATCH(A12,Main!A:A,0),"Open"),HYPERLINK("#Main!A1","Open"))</f>
        <v>Open</v>
      </c>
      <c r="J12" s="9"/>
    </row>
    <row r="13" spans="1:10" ht="30" customHeight="1" x14ac:dyDescent="0.25">
      <c r="A13" s="58" t="s">
        <v>156</v>
      </c>
      <c r="B13" s="6">
        <v>200</v>
      </c>
      <c r="C13" s="55" t="s">
        <v>156</v>
      </c>
      <c r="D13" s="11">
        <v>0</v>
      </c>
      <c r="E13" s="11"/>
      <c r="F13" s="55"/>
      <c r="G13" s="11" t="b">
        <v>0</v>
      </c>
      <c r="H13" s="6" t="b">
        <v>0</v>
      </c>
      <c r="I13" t="str">
        <f>IFERROR(HYPERLINK("#Main!A"&amp;MATCH(A13,Main!A:A,0),"Open"),HYPERLINK("#Main!A1","Open"))</f>
        <v>Open</v>
      </c>
    </row>
    <row r="14" spans="1:10" ht="30" customHeight="1" x14ac:dyDescent="0.25">
      <c r="A14" s="59" t="s">
        <v>650</v>
      </c>
      <c r="B14" s="6">
        <v>200</v>
      </c>
      <c r="C14" s="51" t="s">
        <v>650</v>
      </c>
      <c r="D14" s="8">
        <v>0</v>
      </c>
      <c r="E14" s="8"/>
      <c r="F14" s="51"/>
      <c r="G14" s="8" t="b">
        <v>0</v>
      </c>
      <c r="H14" s="6" t="b">
        <v>0</v>
      </c>
      <c r="I14" s="9" t="str">
        <f>IFERROR(HYPERLINK("#Main!A"&amp;MATCH(A14,Main!A:A,0),"Open"),HYPERLINK("#Main!A1","Open"))</f>
        <v>Open</v>
      </c>
      <c r="J14" s="9"/>
    </row>
    <row r="15" spans="1:10" ht="30" customHeight="1" x14ac:dyDescent="0.25">
      <c r="A15" s="58" t="s">
        <v>704</v>
      </c>
      <c r="B15" s="6">
        <v>200</v>
      </c>
      <c r="C15" s="55" t="s">
        <v>704</v>
      </c>
      <c r="D15" s="11">
        <v>0</v>
      </c>
      <c r="E15" s="11"/>
      <c r="F15" s="55"/>
      <c r="G15" s="11" t="b">
        <v>0</v>
      </c>
      <c r="H15" s="6" t="b">
        <v>0</v>
      </c>
      <c r="I15" t="str">
        <f>IFERROR(HYPERLINK("#Main!A"&amp;MATCH(A15,Main!A:A,0),"Open"),HYPERLINK("#Main!A1","Open"))</f>
        <v>Open</v>
      </c>
    </row>
    <row r="16" spans="1:10" ht="30" customHeight="1" x14ac:dyDescent="0.25">
      <c r="A16" s="59" t="s">
        <v>148</v>
      </c>
      <c r="B16" s="6">
        <v>200</v>
      </c>
      <c r="C16" s="51" t="s">
        <v>148</v>
      </c>
      <c r="D16" s="8">
        <v>0</v>
      </c>
      <c r="E16" s="8"/>
      <c r="F16" s="51"/>
      <c r="G16" s="8" t="b">
        <v>0</v>
      </c>
      <c r="H16" s="6" t="b">
        <v>0</v>
      </c>
      <c r="I16" s="9" t="str">
        <f>IFERROR(HYPERLINK("#Main!A"&amp;MATCH(A16,Main!A:A,0),"Open"),HYPERLINK("#Main!A1","Open"))</f>
        <v>Open</v>
      </c>
      <c r="J16" s="9"/>
    </row>
    <row r="17" spans="1:10" ht="30" customHeight="1" x14ac:dyDescent="0.25">
      <c r="A17" s="58" t="s">
        <v>497</v>
      </c>
      <c r="B17" s="6">
        <v>200</v>
      </c>
      <c r="C17" s="55" t="s">
        <v>497</v>
      </c>
      <c r="D17" s="11">
        <v>0</v>
      </c>
      <c r="E17" s="11"/>
      <c r="F17" s="55"/>
      <c r="G17" s="11" t="b">
        <v>0</v>
      </c>
      <c r="H17" s="6" t="b">
        <v>0</v>
      </c>
      <c r="I17" t="str">
        <f>IFERROR(HYPERLINK("#Main!A"&amp;MATCH(A17,Main!A:A,0),"Open"),HYPERLINK("#Main!A1","Open"))</f>
        <v>Open</v>
      </c>
    </row>
    <row r="18" spans="1:10" ht="30" customHeight="1" x14ac:dyDescent="0.25">
      <c r="A18" s="59" t="s">
        <v>505</v>
      </c>
      <c r="B18" s="6">
        <v>200</v>
      </c>
      <c r="C18" s="51" t="s">
        <v>505</v>
      </c>
      <c r="D18" s="8">
        <v>0</v>
      </c>
      <c r="E18" s="8"/>
      <c r="F18" s="51"/>
      <c r="G18" s="8" t="b">
        <v>0</v>
      </c>
      <c r="H18" s="6" t="b">
        <v>0</v>
      </c>
      <c r="I18" s="9" t="str">
        <f>IFERROR(HYPERLINK("#Main!A"&amp;MATCH(A18,Main!A:A,0),"Open"),HYPERLINK("#Main!A1","Open"))</f>
        <v>Open</v>
      </c>
      <c r="J18" s="9"/>
    </row>
    <row r="19" spans="1:10" ht="30" customHeight="1" x14ac:dyDescent="0.25">
      <c r="A19" s="58" t="s">
        <v>690</v>
      </c>
      <c r="B19" s="6">
        <v>200</v>
      </c>
      <c r="C19" s="55" t="s">
        <v>690</v>
      </c>
      <c r="D19" s="11">
        <v>0</v>
      </c>
      <c r="E19" s="11"/>
      <c r="F19" s="55"/>
      <c r="G19" s="11" t="b">
        <v>0</v>
      </c>
      <c r="H19" s="6" t="b">
        <v>0</v>
      </c>
      <c r="I19" t="str">
        <f>IFERROR(HYPERLINK("#Main!A"&amp;MATCH(A19,Main!A:A,0),"Open"),HYPERLINK("#Main!A1","Open"))</f>
        <v>Open</v>
      </c>
    </row>
    <row r="20" spans="1:10" ht="30" customHeight="1" x14ac:dyDescent="0.25">
      <c r="A20" s="59" t="s">
        <v>306</v>
      </c>
      <c r="B20" s="6">
        <v>200</v>
      </c>
      <c r="C20" s="51" t="s">
        <v>306</v>
      </c>
      <c r="D20" s="8">
        <v>0</v>
      </c>
      <c r="E20" s="8"/>
      <c r="F20" s="51"/>
      <c r="G20" s="8" t="b">
        <v>0</v>
      </c>
      <c r="H20" s="6" t="b">
        <v>0</v>
      </c>
      <c r="I20" s="9" t="str">
        <f>IFERROR(HYPERLINK("#Main!A"&amp;MATCH(A20,Main!A:A,0),"Open"),HYPERLINK("#Main!A1","Open"))</f>
        <v>Open</v>
      </c>
      <c r="J20" s="9"/>
    </row>
    <row r="21" spans="1:10" ht="30" customHeight="1" x14ac:dyDescent="0.25">
      <c r="A21" s="58" t="s">
        <v>314</v>
      </c>
      <c r="B21" s="6">
        <v>200</v>
      </c>
      <c r="C21" s="55" t="s">
        <v>314</v>
      </c>
      <c r="D21" s="11">
        <v>0</v>
      </c>
      <c r="E21" s="11"/>
      <c r="F21" s="55"/>
      <c r="G21" s="11" t="b">
        <v>0</v>
      </c>
      <c r="H21" s="6" t="b">
        <v>0</v>
      </c>
      <c r="I21" t="str">
        <f>IFERROR(HYPERLINK("#Main!A"&amp;MATCH(A21,Main!A:A,0),"Open"),HYPERLINK("#Main!A1","Open"))</f>
        <v>Open</v>
      </c>
    </row>
    <row r="22" spans="1:10" ht="30" customHeight="1" x14ac:dyDescent="0.25">
      <c r="A22" s="59" t="s">
        <v>366</v>
      </c>
      <c r="B22" s="6">
        <v>200</v>
      </c>
      <c r="C22" s="51" t="s">
        <v>366</v>
      </c>
      <c r="D22" s="8">
        <v>0</v>
      </c>
      <c r="E22" s="8"/>
      <c r="F22" s="51"/>
      <c r="G22" s="8" t="b">
        <v>0</v>
      </c>
      <c r="H22" s="6" t="b">
        <v>0</v>
      </c>
      <c r="I22" s="9" t="str">
        <f>IFERROR(HYPERLINK("#Main!A"&amp;MATCH(A22,Main!A:A,0),"Open"),HYPERLINK("#Main!A1","Open"))</f>
        <v>Open</v>
      </c>
      <c r="J22" s="9"/>
    </row>
    <row r="23" spans="1:10" ht="30" customHeight="1" x14ac:dyDescent="0.25">
      <c r="A23" s="58" t="s">
        <v>417</v>
      </c>
      <c r="B23" s="6">
        <v>200</v>
      </c>
      <c r="C23" s="55" t="s">
        <v>417</v>
      </c>
      <c r="D23" s="11">
        <v>0</v>
      </c>
      <c r="E23" s="11"/>
      <c r="F23" s="55"/>
      <c r="G23" s="11" t="b">
        <v>0</v>
      </c>
      <c r="H23" s="6" t="b">
        <v>0</v>
      </c>
      <c r="I23" t="str">
        <f>IFERROR(HYPERLINK("#Main!A"&amp;MATCH(A23,Main!A:A,0),"Open"),HYPERLINK("#Main!A1","Open"))</f>
        <v>Open</v>
      </c>
    </row>
    <row r="24" spans="1:10" ht="30" customHeight="1" x14ac:dyDescent="0.25">
      <c r="A24" s="59" t="s">
        <v>290</v>
      </c>
      <c r="B24" s="6">
        <v>200</v>
      </c>
      <c r="C24" s="51" t="s">
        <v>290</v>
      </c>
      <c r="D24" s="8">
        <v>0</v>
      </c>
      <c r="E24" s="8"/>
      <c r="F24" s="51"/>
      <c r="G24" s="8" t="b">
        <v>0</v>
      </c>
      <c r="H24" s="6" t="b">
        <v>0</v>
      </c>
      <c r="I24" s="9" t="str">
        <f>IFERROR(HYPERLINK("#Main!A"&amp;MATCH(A24,Main!A:A,0),"Open"),HYPERLINK("#Main!A1","Open"))</f>
        <v>Open</v>
      </c>
      <c r="J24" s="9"/>
    </row>
    <row r="25" spans="1:10" ht="30" customHeight="1" x14ac:dyDescent="0.25">
      <c r="A25" s="58" t="s">
        <v>188</v>
      </c>
      <c r="B25" s="6">
        <v>200</v>
      </c>
      <c r="C25" s="55" t="s">
        <v>188</v>
      </c>
      <c r="D25" s="11">
        <v>0</v>
      </c>
      <c r="E25" s="11"/>
      <c r="F25" s="55"/>
      <c r="G25" s="11" t="b">
        <v>0</v>
      </c>
      <c r="H25" s="6" t="b">
        <v>0</v>
      </c>
      <c r="I25" t="str">
        <f>IFERROR(HYPERLINK("#Main!A"&amp;MATCH(A25,Main!A:A,0),"Open"),HYPERLINK("#Main!A1","Open"))</f>
        <v>Open</v>
      </c>
    </row>
    <row r="26" spans="1:10" ht="30" customHeight="1" x14ac:dyDescent="0.25">
      <c r="A26" s="59" t="s">
        <v>242</v>
      </c>
      <c r="B26" s="6">
        <v>200</v>
      </c>
      <c r="C26" s="51" t="s">
        <v>242</v>
      </c>
      <c r="D26" s="8">
        <v>0</v>
      </c>
      <c r="E26" s="8"/>
      <c r="F26" s="51"/>
      <c r="G26" s="8" t="b">
        <v>0</v>
      </c>
      <c r="H26" s="6" t="b">
        <v>0</v>
      </c>
      <c r="I26" s="9" t="str">
        <f>IFERROR(HYPERLINK("#Main!A"&amp;MATCH(A26,Main!A:A,0),"Open"),HYPERLINK("#Main!A1","Open"))</f>
        <v>Open</v>
      </c>
      <c r="J26" s="9"/>
    </row>
    <row r="27" spans="1:10" ht="30" customHeight="1" x14ac:dyDescent="0.25">
      <c r="A27" s="58" t="s">
        <v>574</v>
      </c>
      <c r="B27" s="6">
        <v>200</v>
      </c>
      <c r="C27" s="55" t="s">
        <v>574</v>
      </c>
      <c r="D27" s="11">
        <v>0</v>
      </c>
      <c r="E27" s="11"/>
      <c r="F27" s="55"/>
      <c r="G27" s="11" t="b">
        <v>0</v>
      </c>
      <c r="H27" s="6" t="b">
        <v>0</v>
      </c>
      <c r="I27" t="str">
        <f>IFERROR(HYPERLINK("#Main!A"&amp;MATCH(A27,Main!A:A,0),"Open"),HYPERLINK("#Main!A1","Open"))</f>
        <v>Open</v>
      </c>
    </row>
    <row r="28" spans="1:10" ht="30" customHeight="1" x14ac:dyDescent="0.25">
      <c r="A28" s="59" t="s">
        <v>627</v>
      </c>
      <c r="B28" s="6">
        <v>200</v>
      </c>
      <c r="C28" s="51" t="s">
        <v>627</v>
      </c>
      <c r="D28" s="8">
        <v>0</v>
      </c>
      <c r="E28" s="8"/>
      <c r="F28" s="51"/>
      <c r="G28" s="8" t="b">
        <v>0</v>
      </c>
      <c r="H28" s="6" t="b">
        <v>0</v>
      </c>
      <c r="I28" s="9" t="str">
        <f>IFERROR(HYPERLINK("#Main!A"&amp;MATCH(A28,Main!A:A,0),"Open"),HYPERLINK("#Main!A1","Open"))</f>
        <v>Open</v>
      </c>
      <c r="J28" s="9"/>
    </row>
    <row r="29" spans="1:10" ht="30" customHeight="1" x14ac:dyDescent="0.25">
      <c r="A29" s="58" t="s">
        <v>274</v>
      </c>
      <c r="B29" s="6">
        <v>200</v>
      </c>
      <c r="C29" s="55" t="s">
        <v>274</v>
      </c>
      <c r="D29" s="11">
        <v>0</v>
      </c>
      <c r="E29" s="11"/>
      <c r="F29" s="55"/>
      <c r="G29" s="11" t="b">
        <v>0</v>
      </c>
      <c r="H29" s="6" t="b">
        <v>0</v>
      </c>
      <c r="I29" t="str">
        <f>IFERROR(HYPERLINK("#Main!A"&amp;MATCH(A29,Main!A:A,0),"Open"),HYPERLINK("#Main!A1","Open"))</f>
        <v>Open</v>
      </c>
    </row>
    <row r="30" spans="1:10" ht="30" customHeight="1" x14ac:dyDescent="0.25">
      <c r="A30" s="59" t="s">
        <v>401</v>
      </c>
      <c r="B30" s="6">
        <v>200</v>
      </c>
      <c r="C30" s="51" t="s">
        <v>401</v>
      </c>
      <c r="D30" s="8">
        <v>0</v>
      </c>
      <c r="E30" s="8"/>
      <c r="F30" s="51"/>
      <c r="G30" s="8" t="b">
        <v>0</v>
      </c>
      <c r="H30" s="6" t="b">
        <v>0</v>
      </c>
      <c r="I30" s="9" t="str">
        <f>IFERROR(HYPERLINK("#Main!A"&amp;MATCH(A30,Main!A:A,0),"Open"),HYPERLINK("#Main!A1","Open"))</f>
        <v>Open</v>
      </c>
      <c r="J30" s="9"/>
    </row>
    <row r="31" spans="1:10" ht="30" customHeight="1" x14ac:dyDescent="0.25">
      <c r="A31" s="58" t="s">
        <v>298</v>
      </c>
      <c r="B31" s="6">
        <v>200</v>
      </c>
      <c r="C31" s="55" t="s">
        <v>298</v>
      </c>
      <c r="D31" s="11">
        <v>0</v>
      </c>
      <c r="E31" s="11"/>
      <c r="F31" s="55"/>
      <c r="G31" s="11" t="b">
        <v>0</v>
      </c>
      <c r="H31" s="6" t="b">
        <v>0</v>
      </c>
      <c r="I31" t="str">
        <f>IFERROR(HYPERLINK("#Main!A"&amp;MATCH(A31,Main!A:A,0),"Open"),HYPERLINK("#Main!A1","Open"))</f>
        <v>Open</v>
      </c>
    </row>
    <row r="32" spans="1:10" ht="30" customHeight="1" x14ac:dyDescent="0.25">
      <c r="A32" s="59" t="s">
        <v>481</v>
      </c>
      <c r="B32" s="6">
        <v>200</v>
      </c>
      <c r="C32" s="51" t="s">
        <v>481</v>
      </c>
      <c r="D32" s="8">
        <v>0</v>
      </c>
      <c r="E32" s="8"/>
      <c r="F32" s="51"/>
      <c r="G32" s="8" t="b">
        <v>0</v>
      </c>
      <c r="H32" s="6" t="b">
        <v>0</v>
      </c>
      <c r="I32" s="9" t="str">
        <f>IFERROR(HYPERLINK("#Main!A"&amp;MATCH(A32,Main!A:A,0),"Open"),HYPERLINK("#Main!A1","Open"))</f>
        <v>Open</v>
      </c>
      <c r="J32" s="9"/>
    </row>
    <row r="33" spans="1:10" ht="30" customHeight="1" x14ac:dyDescent="0.25">
      <c r="A33" s="58" t="s">
        <v>172</v>
      </c>
      <c r="B33" s="6">
        <v>200</v>
      </c>
      <c r="C33" s="55" t="s">
        <v>172</v>
      </c>
      <c r="D33" s="11">
        <v>0</v>
      </c>
      <c r="E33" s="11"/>
      <c r="F33" s="55"/>
      <c r="G33" s="11" t="b">
        <v>0</v>
      </c>
      <c r="H33" s="6" t="b">
        <v>0</v>
      </c>
      <c r="I33" t="str">
        <f>IFERROR(HYPERLINK("#Main!A"&amp;MATCH(A33,Main!A:A,0),"Open"),HYPERLINK("#Main!A1","Open"))</f>
        <v>Open</v>
      </c>
    </row>
    <row r="34" spans="1:10" ht="30" customHeight="1" x14ac:dyDescent="0.25">
      <c r="A34" s="59" t="s">
        <v>727</v>
      </c>
      <c r="B34" s="6">
        <v>200</v>
      </c>
      <c r="C34" s="51" t="s">
        <v>727</v>
      </c>
      <c r="D34" s="8">
        <v>0</v>
      </c>
      <c r="E34" s="8"/>
      <c r="F34" s="51"/>
      <c r="G34" s="8" t="b">
        <v>0</v>
      </c>
      <c r="H34" s="6" t="b">
        <v>0</v>
      </c>
      <c r="I34" s="9" t="str">
        <f>IFERROR(HYPERLINK("#Main!A"&amp;MATCH(A34,Main!A:A,0),"Open"),HYPERLINK("#Main!A1","Open"))</f>
        <v>Open</v>
      </c>
      <c r="J34" s="9"/>
    </row>
    <row r="35" spans="1:10" ht="30" customHeight="1" x14ac:dyDescent="0.25">
      <c r="A35" s="58" t="s">
        <v>559</v>
      </c>
      <c r="B35" s="6">
        <v>200</v>
      </c>
      <c r="C35" s="55" t="s">
        <v>1103</v>
      </c>
      <c r="D35" s="11">
        <v>1</v>
      </c>
      <c r="E35" s="11"/>
      <c r="F35" s="55"/>
      <c r="G35" s="11" t="b">
        <v>0</v>
      </c>
      <c r="H35" s="6" t="b">
        <v>0</v>
      </c>
      <c r="I35" t="str">
        <f>IFERROR(HYPERLINK("#Main!A"&amp;MATCH(A35,Main!A:A,0),"Open"),HYPERLINK("#Main!A1","Open"))</f>
        <v>Open</v>
      </c>
    </row>
    <row r="36" spans="1:10" ht="30" customHeight="1" x14ac:dyDescent="0.25">
      <c r="A36" s="59" t="s">
        <v>393</v>
      </c>
      <c r="B36" s="6">
        <v>200</v>
      </c>
      <c r="C36" s="51" t="s">
        <v>393</v>
      </c>
      <c r="D36" s="8">
        <v>0</v>
      </c>
      <c r="E36" s="8"/>
      <c r="F36" s="51"/>
      <c r="G36" s="8" t="b">
        <v>0</v>
      </c>
      <c r="H36" s="6" t="b">
        <v>0</v>
      </c>
      <c r="I36" s="9" t="str">
        <f>IFERROR(HYPERLINK("#Main!A"&amp;MATCH(A36,Main!A:A,0),"Open"),HYPERLINK("#Main!A1","Open"))</f>
        <v>Open</v>
      </c>
      <c r="J36" s="9"/>
    </row>
    <row r="37" spans="1:10" ht="30" customHeight="1" x14ac:dyDescent="0.25">
      <c r="A37" s="58" t="s">
        <v>566</v>
      </c>
      <c r="B37" s="6">
        <v>200</v>
      </c>
      <c r="C37" s="55" t="s">
        <v>566</v>
      </c>
      <c r="D37" s="11">
        <v>0</v>
      </c>
      <c r="E37" s="11"/>
      <c r="F37" s="55"/>
      <c r="G37" s="11" t="b">
        <v>0</v>
      </c>
      <c r="H37" s="6" t="b">
        <v>0</v>
      </c>
      <c r="I37" t="str">
        <f>IFERROR(HYPERLINK("#Main!A"&amp;MATCH(A37,Main!A:A,0),"Open"),HYPERLINK("#Main!A1","Open"))</f>
        <v>Open</v>
      </c>
    </row>
    <row r="38" spans="1:10" ht="45" customHeight="1" x14ac:dyDescent="0.25">
      <c r="A38" s="59" t="s">
        <v>377</v>
      </c>
      <c r="B38" s="6">
        <v>200</v>
      </c>
      <c r="C38" s="51" t="s">
        <v>377</v>
      </c>
      <c r="D38" s="8">
        <v>0</v>
      </c>
      <c r="E38" s="8"/>
      <c r="F38" s="51"/>
      <c r="G38" s="8" t="b">
        <v>0</v>
      </c>
      <c r="H38" s="6" t="b">
        <v>0</v>
      </c>
      <c r="I38" s="9" t="str">
        <f>IFERROR(HYPERLINK("#Main!A"&amp;MATCH(A38,Main!A:A,0),"Open"),HYPERLINK("#Main!A1","Open"))</f>
        <v>Open</v>
      </c>
      <c r="J38" s="9"/>
    </row>
    <row r="39" spans="1:10" ht="30" customHeight="1" x14ac:dyDescent="0.25">
      <c r="A39" s="58" t="s">
        <v>385</v>
      </c>
      <c r="B39" s="6">
        <v>200</v>
      </c>
      <c r="C39" s="55" t="s">
        <v>385</v>
      </c>
      <c r="D39" s="11">
        <v>0</v>
      </c>
      <c r="E39" s="11"/>
      <c r="F39" s="55"/>
      <c r="G39" s="11" t="b">
        <v>0</v>
      </c>
      <c r="H39" s="6" t="b">
        <v>0</v>
      </c>
      <c r="I39" t="str">
        <f>IFERROR(HYPERLINK("#Main!A"&amp;MATCH(A39,Main!A:A,0),"Open"),HYPERLINK("#Main!A1","Open"))</f>
        <v>Open</v>
      </c>
    </row>
    <row r="40" spans="1:10" ht="30" customHeight="1" x14ac:dyDescent="0.25">
      <c r="A40" s="59" t="s">
        <v>358</v>
      </c>
      <c r="B40" s="6">
        <v>200</v>
      </c>
      <c r="C40" s="51" t="s">
        <v>358</v>
      </c>
      <c r="D40" s="8">
        <v>0</v>
      </c>
      <c r="E40" s="8"/>
      <c r="F40" s="51"/>
      <c r="G40" s="8" t="b">
        <v>0</v>
      </c>
      <c r="H40" s="6" t="b">
        <v>0</v>
      </c>
      <c r="I40" s="9" t="str">
        <f>IFERROR(HYPERLINK("#Main!A"&amp;MATCH(A40,Main!A:A,0),"Open"),HYPERLINK("#Main!A1","Open"))</f>
        <v>Open</v>
      </c>
      <c r="J40" s="9"/>
    </row>
    <row r="41" spans="1:10" ht="30" customHeight="1" x14ac:dyDescent="0.25">
      <c r="A41" s="58" t="s">
        <v>196</v>
      </c>
      <c r="B41" s="6">
        <v>200</v>
      </c>
      <c r="C41" s="55" t="s">
        <v>196</v>
      </c>
      <c r="D41" s="11">
        <v>0</v>
      </c>
      <c r="E41" s="11"/>
      <c r="F41" s="55"/>
      <c r="G41" s="11" t="b">
        <v>0</v>
      </c>
      <c r="H41" s="6" t="b">
        <v>0</v>
      </c>
      <c r="I41" t="str">
        <f>IFERROR(HYPERLINK("#Main!A"&amp;MATCH(A41,Main!A:A,0),"Open"),HYPERLINK("#Main!A1","Open"))</f>
        <v>Open</v>
      </c>
    </row>
    <row r="42" spans="1:10" ht="30" customHeight="1" x14ac:dyDescent="0.25">
      <c r="A42" s="59" t="s">
        <v>164</v>
      </c>
      <c r="B42" s="6">
        <v>200</v>
      </c>
      <c r="C42" s="51" t="s">
        <v>164</v>
      </c>
      <c r="D42" s="8">
        <v>0</v>
      </c>
      <c r="E42" s="8"/>
      <c r="F42" s="51"/>
      <c r="G42" s="8" t="b">
        <v>0</v>
      </c>
      <c r="H42" s="6" t="b">
        <v>0</v>
      </c>
      <c r="I42" s="9" t="str">
        <f>IFERROR(HYPERLINK("#Main!A"&amp;MATCH(A42,Main!A:A,0),"Open"),HYPERLINK("#Main!A1","Open"))</f>
        <v>Open</v>
      </c>
      <c r="J42" s="9"/>
    </row>
    <row r="43" spans="1:10" ht="30" customHeight="1" x14ac:dyDescent="0.25">
      <c r="A43" s="58" t="s">
        <v>350</v>
      </c>
      <c r="B43" s="6">
        <v>200</v>
      </c>
      <c r="C43" s="55" t="s">
        <v>350</v>
      </c>
      <c r="D43" s="11">
        <v>0</v>
      </c>
      <c r="E43" s="11"/>
      <c r="F43" s="55"/>
      <c r="G43" s="11" t="b">
        <v>0</v>
      </c>
      <c r="H43" s="6" t="b">
        <v>0</v>
      </c>
      <c r="I43" t="str">
        <f>IFERROR(HYPERLINK("#Main!A"&amp;MATCH(A43,Main!A:A,0),"Open"),HYPERLINK("#Main!A1","Open"))</f>
        <v>Open</v>
      </c>
    </row>
    <row r="44" spans="1:10" ht="30" customHeight="1" x14ac:dyDescent="0.25">
      <c r="A44" s="59" t="s">
        <v>374</v>
      </c>
      <c r="B44" s="6">
        <v>200</v>
      </c>
      <c r="C44" s="51" t="s">
        <v>350</v>
      </c>
      <c r="D44" s="8">
        <v>1</v>
      </c>
      <c r="E44" s="8"/>
      <c r="F44" s="51"/>
      <c r="G44" s="8" t="b">
        <v>0</v>
      </c>
      <c r="H44" s="6" t="b">
        <v>0</v>
      </c>
      <c r="I44" s="9" t="str">
        <f>IFERROR(HYPERLINK("#Main!A"&amp;MATCH(A44,Main!A:A,0),"Open"),HYPERLINK("#Main!A1","Open"))</f>
        <v>Open</v>
      </c>
      <c r="J44" s="9"/>
    </row>
    <row r="45" spans="1:10" ht="45" customHeight="1" x14ac:dyDescent="0.25">
      <c r="A45" s="58" t="s">
        <v>409</v>
      </c>
      <c r="B45" s="6">
        <v>200</v>
      </c>
      <c r="C45" s="55" t="s">
        <v>409</v>
      </c>
      <c r="D45" s="11">
        <v>0</v>
      </c>
      <c r="E45" s="11"/>
      <c r="F45" s="55"/>
      <c r="G45" s="11" t="b">
        <v>0</v>
      </c>
      <c r="H45" s="6" t="b">
        <v>0</v>
      </c>
      <c r="I45" t="str">
        <f>IFERROR(HYPERLINK("#Main!A"&amp;MATCH(A45,Main!A:A,0),"Open"),HYPERLINK("#Main!A1","Open"))</f>
        <v>Open</v>
      </c>
    </row>
    <row r="46" spans="1:10" ht="30" customHeight="1" x14ac:dyDescent="0.25">
      <c r="A46" s="59" t="s">
        <v>436</v>
      </c>
      <c r="B46" s="6">
        <v>200</v>
      </c>
      <c r="C46" s="51" t="s">
        <v>436</v>
      </c>
      <c r="D46" s="8">
        <v>0</v>
      </c>
      <c r="E46" s="8"/>
      <c r="F46" s="51"/>
      <c r="G46" s="8" t="b">
        <v>0</v>
      </c>
      <c r="H46" s="6" t="b">
        <v>0</v>
      </c>
      <c r="I46" s="9" t="str">
        <f>IFERROR(HYPERLINK("#Main!A"&amp;MATCH(A46,Main!A:A,0),"Open"),HYPERLINK("#Main!A1","Open"))</f>
        <v>Open</v>
      </c>
      <c r="J46" s="9"/>
    </row>
    <row r="47" spans="1:10" ht="30" customHeight="1" x14ac:dyDescent="0.25">
      <c r="A47" s="58" t="s">
        <v>473</v>
      </c>
      <c r="B47" s="6">
        <v>200</v>
      </c>
      <c r="C47" s="55" t="s">
        <v>473</v>
      </c>
      <c r="D47" s="11">
        <v>0</v>
      </c>
      <c r="E47" s="11"/>
      <c r="F47" s="55"/>
      <c r="G47" s="11" t="b">
        <v>0</v>
      </c>
      <c r="H47" s="6" t="b">
        <v>0</v>
      </c>
      <c r="I47" t="str">
        <f>IFERROR(HYPERLINK("#Main!A"&amp;MATCH(A47,Main!A:A,0),"Open"),HYPERLINK("#Main!A1","Open"))</f>
        <v>Open</v>
      </c>
    </row>
    <row r="48" spans="1:10" ht="30" customHeight="1" x14ac:dyDescent="0.25">
      <c r="A48" s="59" t="s">
        <v>489</v>
      </c>
      <c r="B48" s="6">
        <v>200</v>
      </c>
      <c r="C48" s="51" t="s">
        <v>489</v>
      </c>
      <c r="D48" s="8">
        <v>0</v>
      </c>
      <c r="E48" s="8"/>
      <c r="F48" s="51"/>
      <c r="G48" s="8" t="b">
        <v>0</v>
      </c>
      <c r="H48" s="6" t="b">
        <v>0</v>
      </c>
      <c r="I48" s="9" t="str">
        <f>IFERROR(HYPERLINK("#Main!A"&amp;MATCH(A48,Main!A:A,0),"Open"),HYPERLINK("#Main!A1","Open"))</f>
        <v>Open</v>
      </c>
      <c r="J48" s="9"/>
    </row>
    <row r="49" spans="1:10" ht="30" customHeight="1" x14ac:dyDescent="0.25">
      <c r="A49" s="58" t="s">
        <v>338</v>
      </c>
      <c r="B49" s="49">
        <v>404</v>
      </c>
      <c r="C49" s="55" t="s">
        <v>979</v>
      </c>
      <c r="D49" s="11">
        <v>1</v>
      </c>
      <c r="E49" s="11"/>
      <c r="F49" s="55"/>
      <c r="G49" s="11" t="b">
        <v>0</v>
      </c>
      <c r="H49" s="6" t="b">
        <v>0</v>
      </c>
      <c r="I49" t="str">
        <f>IFERROR(HYPERLINK("#Main!A"&amp;MATCH(A49,Main!A:A,0),"Open"),HYPERLINK("#Main!A1","Open"))</f>
        <v>Open</v>
      </c>
    </row>
    <row r="50" spans="1:10" ht="30" customHeight="1" x14ac:dyDescent="0.25">
      <c r="A50" s="59" t="s">
        <v>433</v>
      </c>
      <c r="B50" s="49">
        <v>404</v>
      </c>
      <c r="C50" s="51" t="s">
        <v>988</v>
      </c>
      <c r="D50" s="8">
        <v>1</v>
      </c>
      <c r="E50" s="8"/>
      <c r="F50" s="51"/>
      <c r="G50" s="8" t="b">
        <v>0</v>
      </c>
      <c r="H50" s="6" t="b">
        <v>0</v>
      </c>
      <c r="I50" s="9" t="str">
        <f>IFERROR(HYPERLINK("#Main!A"&amp;MATCH(A50,Main!A:A,0),"Open"),HYPERLINK("#Main!A1","Open"))</f>
        <v>Open</v>
      </c>
      <c r="J50" s="9"/>
    </row>
    <row r="51" spans="1:10" ht="30" customHeight="1" x14ac:dyDescent="0.25">
      <c r="A51" s="58" t="s">
        <v>743</v>
      </c>
      <c r="B51" s="6">
        <v>200</v>
      </c>
      <c r="C51" s="55" t="s">
        <v>743</v>
      </c>
      <c r="D51" s="11">
        <v>0</v>
      </c>
      <c r="E51" s="11"/>
      <c r="F51" s="55"/>
      <c r="G51" s="11" t="b">
        <v>0</v>
      </c>
      <c r="H51" s="6" t="b">
        <v>0</v>
      </c>
      <c r="I51" t="str">
        <f>IFERROR(HYPERLINK("#Main!A"&amp;MATCH(A51,Main!A:A,0),"Open"),HYPERLINK("#Main!A1","Open"))</f>
        <v>Open</v>
      </c>
    </row>
    <row r="52" spans="1:10" ht="30" customHeight="1" x14ac:dyDescent="0.25">
      <c r="A52" s="59" t="s">
        <v>598</v>
      </c>
      <c r="B52" s="6">
        <v>200</v>
      </c>
      <c r="C52" s="51" t="s">
        <v>598</v>
      </c>
      <c r="D52" s="8">
        <v>0</v>
      </c>
      <c r="E52" s="8"/>
      <c r="F52" s="51"/>
      <c r="G52" s="8" t="b">
        <v>0</v>
      </c>
      <c r="H52" s="6" t="b">
        <v>0</v>
      </c>
      <c r="I52" s="9" t="str">
        <f>IFERROR(HYPERLINK("#Main!A"&amp;MATCH(A52,Main!A:A,0),"Open"),HYPERLINK("#Main!A1","Open"))</f>
        <v>Open</v>
      </c>
      <c r="J52" s="9"/>
    </row>
    <row r="53" spans="1:10" ht="30" customHeight="1" x14ac:dyDescent="0.25">
      <c r="A53" s="58" t="s">
        <v>735</v>
      </c>
      <c r="B53" s="6">
        <v>200</v>
      </c>
      <c r="C53" s="55" t="s">
        <v>735</v>
      </c>
      <c r="D53" s="11">
        <v>0</v>
      </c>
      <c r="E53" s="11"/>
      <c r="F53" s="55"/>
      <c r="G53" s="11" t="b">
        <v>0</v>
      </c>
      <c r="H53" s="6" t="b">
        <v>0</v>
      </c>
      <c r="I53" t="str">
        <f>IFERROR(HYPERLINK("#Main!A"&amp;MATCH(A53,Main!A:A,0),"Open"),HYPERLINK("#Main!A1","Open"))</f>
        <v>Open</v>
      </c>
    </row>
    <row r="54" spans="1:10" ht="30" customHeight="1" x14ac:dyDescent="0.25">
      <c r="A54" s="59" t="s">
        <v>712</v>
      </c>
      <c r="B54" s="6">
        <v>200</v>
      </c>
      <c r="C54" s="51" t="s">
        <v>712</v>
      </c>
      <c r="D54" s="8">
        <v>0</v>
      </c>
      <c r="E54" s="8"/>
      <c r="F54" s="51"/>
      <c r="G54" s="8" t="b">
        <v>0</v>
      </c>
      <c r="H54" s="6" t="b">
        <v>0</v>
      </c>
      <c r="I54" s="9" t="str">
        <f>IFERROR(HYPERLINK("#Main!A"&amp;MATCH(A54,Main!A:A,0),"Open"),HYPERLINK("#Main!A1","Open"))</f>
        <v>Open</v>
      </c>
      <c r="J54" s="9"/>
    </row>
    <row r="55" spans="1:10" ht="30" customHeight="1" x14ac:dyDescent="0.25">
      <c r="A55" s="58" t="s">
        <v>622</v>
      </c>
      <c r="B55" s="6">
        <v>200</v>
      </c>
      <c r="C55" s="55" t="s">
        <v>622</v>
      </c>
      <c r="D55" s="11">
        <v>0</v>
      </c>
      <c r="E55" s="11"/>
      <c r="F55" s="55"/>
      <c r="G55" s="11" t="b">
        <v>0</v>
      </c>
      <c r="H55" s="6" t="b">
        <v>0</v>
      </c>
      <c r="I55" t="str">
        <f>IFERROR(HYPERLINK("#Main!A"&amp;MATCH(A55,Main!A:A,0),"Open"),HYPERLINK("#Main!A1","Open"))</f>
        <v>Open</v>
      </c>
    </row>
    <row r="56" spans="1:10" ht="30" customHeight="1" x14ac:dyDescent="0.25">
      <c r="A56" s="59" t="s">
        <v>535</v>
      </c>
      <c r="B56" s="6">
        <v>200</v>
      </c>
      <c r="C56" s="51" t="s">
        <v>535</v>
      </c>
      <c r="D56" s="8">
        <v>0</v>
      </c>
      <c r="E56" s="8"/>
      <c r="F56" s="51"/>
      <c r="G56" s="8" t="b">
        <v>0</v>
      </c>
      <c r="H56" s="6" t="b">
        <v>0</v>
      </c>
      <c r="I56" s="9" t="str">
        <f>IFERROR(HYPERLINK("#Main!A"&amp;MATCH(A56,Main!A:A,0),"Open"),HYPERLINK("#Main!A1","Open"))</f>
        <v>Open</v>
      </c>
      <c r="J56" s="9"/>
    </row>
    <row r="57" spans="1:10" ht="30" customHeight="1" x14ac:dyDescent="0.25">
      <c r="A57" s="58" t="s">
        <v>527</v>
      </c>
      <c r="B57" s="6">
        <v>200</v>
      </c>
      <c r="C57" s="55" t="s">
        <v>527</v>
      </c>
      <c r="D57" s="11">
        <v>0</v>
      </c>
      <c r="E57" s="11"/>
      <c r="F57" s="55"/>
      <c r="G57" s="11" t="b">
        <v>0</v>
      </c>
      <c r="H57" s="6" t="b">
        <v>0</v>
      </c>
      <c r="I57" t="str">
        <f>IFERROR(HYPERLINK("#Main!A"&amp;MATCH(A57,Main!A:A,0),"Open"),HYPERLINK("#Main!A1","Open"))</f>
        <v>Open</v>
      </c>
    </row>
    <row r="58" spans="1:10" ht="30" customHeight="1" x14ac:dyDescent="0.25">
      <c r="A58" s="59" t="s">
        <v>590</v>
      </c>
      <c r="B58" s="6">
        <v>200</v>
      </c>
      <c r="C58" s="51" t="s">
        <v>590</v>
      </c>
      <c r="D58" s="8">
        <v>0</v>
      </c>
      <c r="E58" s="8"/>
      <c r="F58" s="51"/>
      <c r="G58" s="8" t="b">
        <v>0</v>
      </c>
      <c r="H58" s="6" t="b">
        <v>0</v>
      </c>
      <c r="I58" s="9" t="str">
        <f>IFERROR(HYPERLINK("#Main!A"&amp;MATCH(A58,Main!A:A,0),"Open"),HYPERLINK("#Main!A1","Open"))</f>
        <v>Open</v>
      </c>
      <c r="J58" s="9"/>
    </row>
    <row r="59" spans="1:10" ht="30" customHeight="1" x14ac:dyDescent="0.25">
      <c r="A59" s="58" t="s">
        <v>758</v>
      </c>
      <c r="B59" s="6">
        <v>200</v>
      </c>
      <c r="C59" s="55" t="s">
        <v>758</v>
      </c>
      <c r="D59" s="11">
        <v>0</v>
      </c>
      <c r="E59" s="11"/>
      <c r="F59" s="55"/>
      <c r="G59" s="11" t="b">
        <v>0</v>
      </c>
      <c r="H59" s="6" t="b">
        <v>0</v>
      </c>
      <c r="I59" t="str">
        <f>IFERROR(HYPERLINK("#Main!A"&amp;MATCH(A59,Main!A:A,0),"Open"),HYPERLINK("#Main!A1","Open"))</f>
        <v>Open</v>
      </c>
    </row>
    <row r="60" spans="1:10" ht="30" customHeight="1" x14ac:dyDescent="0.25">
      <c r="A60" s="59" t="s">
        <v>282</v>
      </c>
      <c r="B60" s="6">
        <v>200</v>
      </c>
      <c r="C60" s="51" t="s">
        <v>282</v>
      </c>
      <c r="D60" s="8">
        <v>0</v>
      </c>
      <c r="E60" s="8"/>
      <c r="F60" s="51"/>
      <c r="G60" s="8" t="b">
        <v>0</v>
      </c>
      <c r="H60" s="6" t="b">
        <v>0</v>
      </c>
      <c r="I60" s="9" t="str">
        <f>IFERROR(HYPERLINK("#Main!A"&amp;MATCH(A60,Main!A:A,0),"Open"),HYPERLINK("#Main!A1","Open"))</f>
        <v>Open</v>
      </c>
      <c r="J60" s="9"/>
    </row>
    <row r="61" spans="1:10" ht="30" customHeight="1" x14ac:dyDescent="0.25">
      <c r="A61" s="58" t="s">
        <v>766</v>
      </c>
      <c r="B61" s="6">
        <v>200</v>
      </c>
      <c r="C61" s="55" t="s">
        <v>766</v>
      </c>
      <c r="D61" s="11">
        <v>0</v>
      </c>
      <c r="E61" s="11"/>
      <c r="F61" s="55"/>
      <c r="G61" s="11" t="b">
        <v>0</v>
      </c>
      <c r="H61" s="6" t="b">
        <v>0</v>
      </c>
      <c r="I61" t="str">
        <f>IFERROR(HYPERLINK("#Main!A"&amp;MATCH(A61,Main!A:A,0),"Open"),HYPERLINK("#Main!A1","Open"))</f>
        <v>Open</v>
      </c>
    </row>
    <row r="62" spans="1:10" ht="30" customHeight="1" x14ac:dyDescent="0.25">
      <c r="A62" s="59" t="s">
        <v>614</v>
      </c>
      <c r="B62" s="6">
        <v>200</v>
      </c>
      <c r="C62" s="51" t="s">
        <v>614</v>
      </c>
      <c r="D62" s="8">
        <v>0</v>
      </c>
      <c r="E62" s="8"/>
      <c r="F62" s="51"/>
      <c r="G62" s="8" t="b">
        <v>0</v>
      </c>
      <c r="H62" s="6" t="b">
        <v>0</v>
      </c>
      <c r="I62" s="9" t="str">
        <f>IFERROR(HYPERLINK("#Main!A"&amp;MATCH(A62,Main!A:A,0),"Open"),HYPERLINK("#Main!A1","Open"))</f>
        <v>Open</v>
      </c>
      <c r="J62" s="9"/>
    </row>
    <row r="63" spans="1:10" ht="30" customHeight="1" x14ac:dyDescent="0.25">
      <c r="A63" s="58" t="s">
        <v>425</v>
      </c>
      <c r="B63" s="6">
        <v>200</v>
      </c>
      <c r="C63" s="55" t="s">
        <v>425</v>
      </c>
      <c r="D63" s="11">
        <v>0</v>
      </c>
      <c r="E63" s="11"/>
      <c r="F63" s="55"/>
      <c r="G63" s="11" t="b">
        <v>0</v>
      </c>
      <c r="H63" s="6" t="b">
        <v>0</v>
      </c>
      <c r="I63" t="str">
        <f>IFERROR(HYPERLINK("#Main!A"&amp;MATCH(A63,Main!A:A,0),"Open"),HYPERLINK("#Main!A1","Open"))</f>
        <v>Open</v>
      </c>
    </row>
    <row r="64" spans="1:10" ht="30" customHeight="1" x14ac:dyDescent="0.25">
      <c r="A64" s="59" t="s">
        <v>210</v>
      </c>
      <c r="B64" s="6">
        <v>200</v>
      </c>
      <c r="C64" s="51" t="s">
        <v>210</v>
      </c>
      <c r="D64" s="8">
        <v>0</v>
      </c>
      <c r="E64" s="8"/>
      <c r="F64" s="51"/>
      <c r="G64" s="8" t="b">
        <v>0</v>
      </c>
      <c r="H64" s="6" t="b">
        <v>0</v>
      </c>
      <c r="I64" s="9" t="str">
        <f>IFERROR(HYPERLINK("#Main!A"&amp;MATCH(A64,Main!A:A,0),"Open"),HYPERLINK("#Main!A1","Open"))</f>
        <v>Open</v>
      </c>
      <c r="J64" s="9"/>
    </row>
    <row r="65" spans="1:10" ht="30" customHeight="1" x14ac:dyDescent="0.25">
      <c r="A65" s="58" t="s">
        <v>258</v>
      </c>
      <c r="B65" s="6">
        <v>200</v>
      </c>
      <c r="C65" s="55" t="s">
        <v>258</v>
      </c>
      <c r="D65" s="11">
        <v>0</v>
      </c>
      <c r="E65" s="11"/>
      <c r="F65" s="55"/>
      <c r="G65" s="11" t="b">
        <v>0</v>
      </c>
      <c r="H65" s="6" t="b">
        <v>0</v>
      </c>
      <c r="I65" t="str">
        <f>IFERROR(HYPERLINK("#Main!A"&amp;MATCH(A65,Main!A:A,0),"Open"),HYPERLINK("#Main!A1","Open"))</f>
        <v>Open</v>
      </c>
    </row>
    <row r="66" spans="1:10" ht="30" customHeight="1" x14ac:dyDescent="0.25">
      <c r="A66" s="59" t="s">
        <v>250</v>
      </c>
      <c r="B66" s="6">
        <v>200</v>
      </c>
      <c r="C66" s="51" t="s">
        <v>250</v>
      </c>
      <c r="D66" s="8">
        <v>0</v>
      </c>
      <c r="E66" s="8"/>
      <c r="F66" s="51"/>
      <c r="G66" s="8" t="b">
        <v>0</v>
      </c>
      <c r="H66" s="6" t="b">
        <v>0</v>
      </c>
      <c r="I66" s="9" t="str">
        <f>IFERROR(HYPERLINK("#Main!A"&amp;MATCH(A66,Main!A:A,0),"Open"),HYPERLINK("#Main!A1","Open"))</f>
        <v>Open</v>
      </c>
      <c r="J66" s="9"/>
    </row>
    <row r="67" spans="1:10" ht="30" customHeight="1" x14ac:dyDescent="0.25">
      <c r="A67" s="58" t="s">
        <v>266</v>
      </c>
      <c r="B67" s="6">
        <v>200</v>
      </c>
      <c r="C67" s="55" t="s">
        <v>266</v>
      </c>
      <c r="D67" s="11">
        <v>0</v>
      </c>
      <c r="E67" s="11"/>
      <c r="F67" s="55"/>
      <c r="G67" s="11" t="b">
        <v>0</v>
      </c>
      <c r="H67" s="6" t="b">
        <v>0</v>
      </c>
      <c r="I67" t="str">
        <f>IFERROR(HYPERLINK("#Main!A"&amp;MATCH(A67,Main!A:A,0),"Open"),HYPERLINK("#Main!A1","Open"))</f>
        <v>Open</v>
      </c>
    </row>
    <row r="68" spans="1:10" ht="30" customHeight="1" x14ac:dyDescent="0.25">
      <c r="A68" s="59" t="s">
        <v>543</v>
      </c>
      <c r="B68" s="6">
        <v>200</v>
      </c>
      <c r="C68" s="51" t="s">
        <v>543</v>
      </c>
      <c r="D68" s="8">
        <v>0</v>
      </c>
      <c r="E68" s="8"/>
      <c r="F68" s="51"/>
      <c r="G68" s="8" t="b">
        <v>0</v>
      </c>
      <c r="H68" s="6" t="b">
        <v>0</v>
      </c>
      <c r="I68" s="9" t="str">
        <f>IFERROR(HYPERLINK("#Main!A"&amp;MATCH(A68,Main!A:A,0),"Open"),HYPERLINK("#Main!A1","Open"))</f>
        <v>Open</v>
      </c>
      <c r="J68" s="9"/>
    </row>
    <row r="69" spans="1:10" ht="30" customHeight="1" x14ac:dyDescent="0.25">
      <c r="A69" s="58" t="s">
        <v>99</v>
      </c>
      <c r="B69" s="6">
        <v>200</v>
      </c>
      <c r="C69" s="55" t="s">
        <v>99</v>
      </c>
      <c r="D69" s="11">
        <v>0</v>
      </c>
      <c r="E69" s="11"/>
      <c r="F69" s="55"/>
      <c r="G69" s="11" t="b">
        <v>0</v>
      </c>
      <c r="H69" s="6" t="b">
        <v>0</v>
      </c>
      <c r="I69" t="str">
        <f>IFERROR(HYPERLINK("#Main!A"&amp;MATCH(A69,Main!A:A,0),"Open"),HYPERLINK("#Main!A1","Open"))</f>
        <v>Open</v>
      </c>
    </row>
    <row r="70" spans="1:10" ht="30" customHeight="1" x14ac:dyDescent="0.25">
      <c r="A70" s="59" t="s">
        <v>226</v>
      </c>
      <c r="B70" s="6">
        <v>200</v>
      </c>
      <c r="C70" s="51" t="s">
        <v>226</v>
      </c>
      <c r="D70" s="8">
        <v>0</v>
      </c>
      <c r="E70" s="8"/>
      <c r="F70" s="51"/>
      <c r="G70" s="8" t="b">
        <v>0</v>
      </c>
      <c r="H70" s="6" t="b">
        <v>0</v>
      </c>
      <c r="I70" s="9" t="str">
        <f>IFERROR(HYPERLINK("#Main!A"&amp;MATCH(A70,Main!A:A,0),"Open"),HYPERLINK("#Main!A1","Open"))</f>
        <v>Open</v>
      </c>
      <c r="J70" s="9"/>
    </row>
    <row r="71" spans="1:10" ht="30" customHeight="1" x14ac:dyDescent="0.25">
      <c r="A71" s="58" t="s">
        <v>234</v>
      </c>
      <c r="B71" s="6">
        <v>200</v>
      </c>
      <c r="C71" s="55" t="s">
        <v>234</v>
      </c>
      <c r="D71" s="11">
        <v>0</v>
      </c>
      <c r="E71" s="11"/>
      <c r="F71" s="55"/>
      <c r="G71" s="11" t="b">
        <v>0</v>
      </c>
      <c r="H71" s="6" t="b">
        <v>0</v>
      </c>
      <c r="I71" t="str">
        <f>IFERROR(HYPERLINK("#Main!A"&amp;MATCH(A71,Main!A:A,0),"Open"),HYPERLINK("#Main!A1","Open"))</f>
        <v>Open</v>
      </c>
    </row>
    <row r="72" spans="1:10" ht="30" customHeight="1" x14ac:dyDescent="0.25">
      <c r="A72" s="59" t="s">
        <v>218</v>
      </c>
      <c r="B72" s="6">
        <v>200</v>
      </c>
      <c r="C72" s="51" t="s">
        <v>218</v>
      </c>
      <c r="D72" s="8">
        <v>0</v>
      </c>
      <c r="E72" s="8"/>
      <c r="F72" s="51"/>
      <c r="G72" s="8" t="b">
        <v>0</v>
      </c>
      <c r="H72" s="6" t="b">
        <v>0</v>
      </c>
      <c r="I72" s="9" t="str">
        <f>IFERROR(HYPERLINK("#Main!A"&amp;MATCH(A72,Main!A:A,0),"Open"),HYPERLINK("#Main!A1","Open"))</f>
        <v>Open</v>
      </c>
      <c r="J72" s="9"/>
    </row>
    <row r="73" spans="1:10" ht="30" customHeight="1" x14ac:dyDescent="0.25">
      <c r="A73" s="58" t="s">
        <v>342</v>
      </c>
      <c r="B73" s="6">
        <v>200</v>
      </c>
      <c r="C73" s="55" t="s">
        <v>342</v>
      </c>
      <c r="D73" s="11">
        <v>0</v>
      </c>
      <c r="E73" s="11"/>
      <c r="F73" s="55"/>
      <c r="G73" s="11" t="b">
        <v>0</v>
      </c>
      <c r="H73" s="6" t="b">
        <v>0</v>
      </c>
      <c r="I73" t="str">
        <f>IFERROR(HYPERLINK("#Main!A"&amp;MATCH(A73,Main!A:A,0),"Open"),HYPERLINK("#Main!A1","Open"))</f>
        <v>Open</v>
      </c>
    </row>
    <row r="74" spans="1:10" ht="30" customHeight="1" x14ac:dyDescent="0.25">
      <c r="A74" s="59" t="s">
        <v>774</v>
      </c>
      <c r="B74" s="6">
        <v>200</v>
      </c>
      <c r="C74" s="51" t="s">
        <v>774</v>
      </c>
      <c r="D74" s="8">
        <v>0</v>
      </c>
      <c r="E74" s="8"/>
      <c r="F74" s="51"/>
      <c r="G74" s="8" t="b">
        <v>0</v>
      </c>
      <c r="H74" s="6" t="b">
        <v>0</v>
      </c>
      <c r="I74" s="9" t="str">
        <f>IFERROR(HYPERLINK("#Main!A"&amp;MATCH(A74,Main!A:A,0),"Open"),HYPERLINK("#Main!A1","Open"))</f>
        <v>Open</v>
      </c>
      <c r="J74" s="9"/>
    </row>
    <row r="75" spans="1:10" ht="30" customHeight="1" x14ac:dyDescent="0.25">
      <c r="A75" s="58" t="s">
        <v>750</v>
      </c>
      <c r="B75" s="6">
        <v>200</v>
      </c>
      <c r="C75" s="55" t="s">
        <v>750</v>
      </c>
      <c r="D75" s="11">
        <v>0</v>
      </c>
      <c r="E75" s="11"/>
      <c r="F75" s="55"/>
      <c r="G75" s="11" t="b">
        <v>0</v>
      </c>
      <c r="H75" s="6" t="b">
        <v>0</v>
      </c>
      <c r="I75" t="str">
        <f>IFERROR(HYPERLINK("#Main!A"&amp;MATCH(A75,Main!A:A,0),"Open"),HYPERLINK("#Main!A1","Open"))</f>
        <v>Open</v>
      </c>
    </row>
    <row r="76" spans="1:10" ht="30" customHeight="1" x14ac:dyDescent="0.25">
      <c r="A76" s="59" t="s">
        <v>465</v>
      </c>
      <c r="B76" s="6">
        <v>200</v>
      </c>
      <c r="C76" s="51" t="s">
        <v>465</v>
      </c>
      <c r="D76" s="8">
        <v>0</v>
      </c>
      <c r="E76" s="8"/>
      <c r="F76" s="51"/>
      <c r="G76" s="8" t="b">
        <v>0</v>
      </c>
      <c r="H76" s="6" t="b">
        <v>0</v>
      </c>
      <c r="I76" s="9" t="str">
        <f>IFERROR(HYPERLINK("#Main!A"&amp;MATCH(A76,Main!A:A,0),"Open"),HYPERLINK("#Main!A1","Open"))</f>
        <v>Open</v>
      </c>
      <c r="J76" s="9"/>
    </row>
    <row r="77" spans="1:10" ht="30" customHeight="1" x14ac:dyDescent="0.25">
      <c r="A77" s="58" t="s">
        <v>457</v>
      </c>
      <c r="B77" s="6">
        <v>200</v>
      </c>
      <c r="C77" s="55" t="s">
        <v>457</v>
      </c>
      <c r="D77" s="11">
        <v>0</v>
      </c>
      <c r="E77" s="11"/>
      <c r="F77" s="55"/>
      <c r="G77" s="11" t="b">
        <v>0</v>
      </c>
      <c r="H77" s="6" t="b">
        <v>0</v>
      </c>
      <c r="I77" t="str">
        <f>IFERROR(HYPERLINK("#Main!A"&amp;MATCH(A77,Main!A:A,0),"Open"),HYPERLINK("#Main!A1","Open"))</f>
        <v>Open</v>
      </c>
    </row>
    <row r="78" spans="1:10" ht="30" customHeight="1" x14ac:dyDescent="0.25">
      <c r="A78" s="59" t="s">
        <v>449</v>
      </c>
      <c r="B78" s="6">
        <v>200</v>
      </c>
      <c r="C78" s="51" t="s">
        <v>449</v>
      </c>
      <c r="D78" s="8">
        <v>0</v>
      </c>
      <c r="E78" s="8"/>
      <c r="F78" s="51"/>
      <c r="G78" s="8" t="b">
        <v>0</v>
      </c>
      <c r="H78" s="6" t="b">
        <v>0</v>
      </c>
      <c r="I78" s="9" t="str">
        <f>IFERROR(HYPERLINK("#Main!A"&amp;MATCH(A78,Main!A:A,0),"Open"),HYPERLINK("#Main!A1","Open"))</f>
        <v>Open</v>
      </c>
      <c r="J78" s="9"/>
    </row>
    <row r="79" spans="1:10" ht="30" customHeight="1" x14ac:dyDescent="0.25">
      <c r="A79" s="58" t="s">
        <v>444</v>
      </c>
      <c r="B79" s="6">
        <v>200</v>
      </c>
      <c r="C79" s="55" t="s">
        <v>444</v>
      </c>
      <c r="D79" s="11">
        <v>0</v>
      </c>
      <c r="E79" s="11"/>
      <c r="F79" s="55"/>
      <c r="G79" s="11" t="b">
        <v>0</v>
      </c>
      <c r="H79" s="6" t="b">
        <v>0</v>
      </c>
      <c r="I79" t="str">
        <f>IFERROR(HYPERLINK("#Main!A"&amp;MATCH(A79,Main!A:A,0),"Open"),HYPERLINK("#Main!A1","Open"))</f>
        <v>Open</v>
      </c>
    </row>
    <row r="80" spans="1:10" ht="30" customHeight="1" x14ac:dyDescent="0.25">
      <c r="A80" s="59" t="s">
        <v>330</v>
      </c>
      <c r="B80" s="6">
        <v>200</v>
      </c>
      <c r="C80" s="51" t="s">
        <v>330</v>
      </c>
      <c r="D80" s="8">
        <v>0</v>
      </c>
      <c r="E80" s="8"/>
      <c r="F80" s="51"/>
      <c r="G80" s="8" t="b">
        <v>0</v>
      </c>
      <c r="H80" s="6" t="b">
        <v>0</v>
      </c>
      <c r="I80" s="9" t="str">
        <f>IFERROR(HYPERLINK("#Main!A"&amp;MATCH(A80,Main!A:A,0),"Open"),HYPERLINK("#Main!A1","Open"))</f>
        <v>Open</v>
      </c>
      <c r="J80" s="9"/>
    </row>
    <row r="81" spans="1:10" ht="30" customHeight="1" x14ac:dyDescent="0.25">
      <c r="A81" s="58" t="s">
        <v>782</v>
      </c>
      <c r="B81" s="6">
        <v>200</v>
      </c>
      <c r="C81" s="55" t="s">
        <v>782</v>
      </c>
      <c r="D81" s="11">
        <v>0</v>
      </c>
      <c r="E81" s="11"/>
      <c r="F81" s="55"/>
      <c r="G81" s="11" t="b">
        <v>0</v>
      </c>
      <c r="H81" s="6" t="b">
        <v>0</v>
      </c>
      <c r="I81" t="str">
        <f>IFERROR(HYPERLINK("#Main!A"&amp;MATCH(A81,Main!A:A,0),"Open"),HYPERLINK("#Main!A1","Open"))</f>
        <v>Open</v>
      </c>
    </row>
    <row r="82" spans="1:10" ht="30" customHeight="1" x14ac:dyDescent="0.25">
      <c r="A82" s="59" t="s">
        <v>720</v>
      </c>
      <c r="B82" s="6">
        <v>200</v>
      </c>
      <c r="C82" s="51" t="s">
        <v>720</v>
      </c>
      <c r="D82" s="8">
        <v>0</v>
      </c>
      <c r="E82" s="8"/>
      <c r="F82" s="51"/>
      <c r="G82" s="8" t="b">
        <v>0</v>
      </c>
      <c r="H82" s="6" t="b">
        <v>0</v>
      </c>
      <c r="I82" s="9" t="str">
        <f>IFERROR(HYPERLINK("#Main!A"&amp;MATCH(A82,Main!A:A,0),"Open"),HYPERLINK("#Main!A1","Open"))</f>
        <v>Open</v>
      </c>
      <c r="J82" s="9"/>
    </row>
    <row r="83" spans="1:10" ht="30" customHeight="1" x14ac:dyDescent="0.25">
      <c r="A83" s="58" t="s">
        <v>635</v>
      </c>
      <c r="B83" s="6">
        <v>200</v>
      </c>
      <c r="C83" s="55" t="s">
        <v>635</v>
      </c>
      <c r="D83" s="11">
        <v>0</v>
      </c>
      <c r="E83" s="11"/>
      <c r="F83" s="55"/>
      <c r="G83" s="11" t="b">
        <v>0</v>
      </c>
      <c r="H83" s="6" t="b">
        <v>0</v>
      </c>
      <c r="I83" t="str">
        <f>IFERROR(HYPERLINK("#Main!A"&amp;MATCH(A83,Main!A:A,0),"Open"),HYPERLINK("#Main!A1","Open"))</f>
        <v>Open</v>
      </c>
    </row>
    <row r="84" spans="1:10" ht="30" customHeight="1" x14ac:dyDescent="0.25">
      <c r="A84" s="59" t="s">
        <v>180</v>
      </c>
      <c r="B84" s="6">
        <v>200</v>
      </c>
      <c r="C84" s="51" t="s">
        <v>180</v>
      </c>
      <c r="D84" s="8">
        <v>0</v>
      </c>
      <c r="E84" s="8"/>
      <c r="F84" s="51"/>
      <c r="G84" s="8" t="b">
        <v>0</v>
      </c>
      <c r="H84" s="6" t="b">
        <v>0</v>
      </c>
      <c r="I84" s="9" t="str">
        <f>IFERROR(HYPERLINK("#Main!A"&amp;MATCH(A84,Main!A:A,0),"Open"),HYPERLINK("#Main!A1","Open"))</f>
        <v>Open</v>
      </c>
      <c r="J84" s="9"/>
    </row>
    <row r="85" spans="1:10" ht="30" customHeight="1" x14ac:dyDescent="0.25">
      <c r="A85" s="58" t="s">
        <v>698</v>
      </c>
      <c r="B85" s="6">
        <v>200</v>
      </c>
      <c r="C85" s="55" t="s">
        <v>698</v>
      </c>
      <c r="D85" s="11">
        <v>0</v>
      </c>
      <c r="E85" s="11"/>
      <c r="F85" s="55"/>
      <c r="G85" s="11" t="b">
        <v>0</v>
      </c>
      <c r="H85" s="6" t="b">
        <v>0</v>
      </c>
      <c r="I85" t="str">
        <f>IFERROR(HYPERLINK("#Main!A"&amp;MATCH(A85,Main!A:A,0),"Open"),HYPERLINK("#Main!A1","Open"))</f>
        <v>Open</v>
      </c>
    </row>
    <row r="86" spans="1:10" ht="30" customHeight="1" x14ac:dyDescent="0.25">
      <c r="A86" s="59" t="s">
        <v>666</v>
      </c>
      <c r="B86" s="6">
        <v>200</v>
      </c>
      <c r="C86" s="51" t="s">
        <v>666</v>
      </c>
      <c r="D86" s="8">
        <v>0</v>
      </c>
      <c r="E86" s="8"/>
      <c r="F86" s="51"/>
      <c r="G86" s="8" t="b">
        <v>0</v>
      </c>
      <c r="H86" s="6" t="b">
        <v>0</v>
      </c>
      <c r="I86" s="9" t="str">
        <f>IFERROR(HYPERLINK("#Main!A"&amp;MATCH(A86,Main!A:A,0),"Open"),HYPERLINK("#Main!A1","Open"))</f>
        <v>Open</v>
      </c>
      <c r="J86" s="9"/>
    </row>
  </sheetData>
  <autoFilter ref="A1:J86" xr:uid="{00000000-0009-0000-0000-00000B000000}"/>
  <conditionalFormatting sqref="B2:B86">
    <cfRule type="cellIs" dxfId="20" priority="1" operator="equal">
      <formula>200</formula>
    </cfRule>
    <cfRule type="cellIs" dxfId="19" priority="2" operator="between">
      <formula>300</formula>
      <formula>399</formula>
    </cfRule>
    <cfRule type="cellIs" dxfId="18" priority="3" operator="greaterThanOrEqual">
      <formula>400</formula>
    </cfRule>
  </conditionalFormatting>
  <dataValidations count="10">
    <dataValidation type="custom" allowBlank="1" showInputMessage="1" promptTitle="URL" prompt="URL. Use this URL to inspect the page directly or jump to related tabs." sqref="A1" xr:uid="{00000000-0002-0000-0B00-000000000000}">
      <formula1>TRUE</formula1>
    </dataValidation>
    <dataValidation type="custom" allowBlank="1" showInputMessage="1" promptTitle="Status Code" prompt="HTTP response code returned for this page/resource. Fix: Resolve 4xx/5xx errors and reduce unnecessary redirects." sqref="B1" xr:uid="{00000000-0002-0000-0B00-000001000000}">
      <formula1>TRUE</formula1>
    </dataValidation>
    <dataValidation type="custom" allowBlank="1" showInputMessage="1" promptTitle="Final URL" prompt="Final URL. Use this URL to inspect the page directly or jump to related tabs." sqref="C1" xr:uid="{00000000-0002-0000-0B00-000002000000}">
      <formula1>TRUE</formula1>
    </dataValidation>
    <dataValidation type="custom" allowBlank="1" showInputMessage="1" promptTitle="Redirect Chain Length" prompt="Redirect Chain Length. Review this metric to identify risk, then use linked tabs for details and remediation." sqref="D1" xr:uid="{00000000-0002-0000-0B00-000003000000}">
      <formula1>TRUE</formula1>
    </dataValidation>
    <dataValidation type="custom" allowBlank="1" showInputMessage="1" promptTitle="Redirect Target" prompt="Redirect Target. Review this metric to identify risk, then use linked tabs for details and remediation." sqref="E1" xr:uid="{00000000-0002-0000-0B00-000004000000}">
      <formula1>TRUE</formula1>
    </dataValidation>
    <dataValidation type="custom" allowBlank="1" showInputMessage="1" promptTitle="Redirect Hops" prompt="Redirect Hops. Review this metric to identify risk, then use linked tabs for details and remediation." sqref="F1" xr:uid="{00000000-0002-0000-0B00-000005000000}">
      <formula1>TRUE</formula1>
    </dataValidation>
    <dataValidation type="custom" allowBlank="1" showInputMessage="1" promptTitle="HTTP-&gt;HTTPS Redirect" prompt="HTTP-&gt;HTTPS Redirect. Review this metric to identify risk, then use linked tabs for details and remediation." sqref="G1" xr:uid="{00000000-0002-0000-0B00-000006000000}">
      <formula1>TRUE</formula1>
    </dataValidation>
    <dataValidation type="custom" allowBlank="1" showInputMessage="1" promptTitle="Redirect Loop Flag" prompt="Redirect Loop Flag. Review this metric to identify risk, then use linked tabs for details and remediation." sqref="H1" xr:uid="{00000000-0002-0000-0B00-000007000000}">
      <formula1>TRUE</formula1>
    </dataValidation>
    <dataValidation type="custom" allowBlank="1" showInputMessage="1" promptTitle="Open in Main" prompt="Navigation helper. Click to jump directly to the related record in another tab." sqref="I1" xr:uid="{00000000-0002-0000-0B00-000008000000}">
      <formula1>TRUE</formula1>
    </dataValidation>
    <dataValidation type="custom" allowBlank="1" showInputMessage="1" promptTitle="BACK TO DASHBOARD" prompt="BACK TO DASHBOARD. Review this metric to identify risk, then use linked tabs for details and remediation." sqref="J1" xr:uid="{00000000-0002-0000-0B00-000009000000}">
      <formula1>TRUE</formula1>
    </dataValidation>
  </dataValidations>
  <hyperlinks>
    <hyperlink ref="J1" location="Dashboard!A1" display="BACK TO DASHBOARD" xr:uid="{00000000-0004-0000-0B00-000000000000}"/>
    <hyperlink ref="A2" r:id="rId1" xr:uid="{00000000-0004-0000-0B00-000001000000}"/>
    <hyperlink ref="A3" r:id="rId2" xr:uid="{00000000-0004-0000-0B00-000002000000}"/>
    <hyperlink ref="A4" r:id="rId3" xr:uid="{00000000-0004-0000-0B00-000003000000}"/>
    <hyperlink ref="A5" r:id="rId4" xr:uid="{00000000-0004-0000-0B00-000004000000}"/>
    <hyperlink ref="A6" r:id="rId5" xr:uid="{00000000-0004-0000-0B00-000005000000}"/>
    <hyperlink ref="A7" r:id="rId6" xr:uid="{00000000-0004-0000-0B00-000006000000}"/>
    <hyperlink ref="A8" r:id="rId7" xr:uid="{00000000-0004-0000-0B00-000007000000}"/>
    <hyperlink ref="A9" r:id="rId8" xr:uid="{00000000-0004-0000-0B00-000008000000}"/>
    <hyperlink ref="A10" r:id="rId9" xr:uid="{00000000-0004-0000-0B00-000009000000}"/>
    <hyperlink ref="A11" r:id="rId10" xr:uid="{00000000-0004-0000-0B00-00000A000000}"/>
    <hyperlink ref="A12" r:id="rId11" xr:uid="{00000000-0004-0000-0B00-00000B000000}"/>
    <hyperlink ref="A13" r:id="rId12" xr:uid="{00000000-0004-0000-0B00-00000C000000}"/>
    <hyperlink ref="A14" r:id="rId13" xr:uid="{00000000-0004-0000-0B00-00000D000000}"/>
    <hyperlink ref="A15" r:id="rId14" xr:uid="{00000000-0004-0000-0B00-00000E000000}"/>
    <hyperlink ref="A16" r:id="rId15" xr:uid="{00000000-0004-0000-0B00-00000F000000}"/>
    <hyperlink ref="A17" r:id="rId16" xr:uid="{00000000-0004-0000-0B00-000010000000}"/>
    <hyperlink ref="A18" r:id="rId17" xr:uid="{00000000-0004-0000-0B00-000011000000}"/>
    <hyperlink ref="A19" r:id="rId18" xr:uid="{00000000-0004-0000-0B00-000012000000}"/>
    <hyperlink ref="A20" r:id="rId19" xr:uid="{00000000-0004-0000-0B00-000013000000}"/>
    <hyperlink ref="A21" r:id="rId20" xr:uid="{00000000-0004-0000-0B00-000014000000}"/>
    <hyperlink ref="A22" r:id="rId21" xr:uid="{00000000-0004-0000-0B00-000015000000}"/>
    <hyperlink ref="A23" r:id="rId22" xr:uid="{00000000-0004-0000-0B00-000016000000}"/>
    <hyperlink ref="A24" r:id="rId23" xr:uid="{00000000-0004-0000-0B00-000017000000}"/>
    <hyperlink ref="A25" r:id="rId24" xr:uid="{00000000-0004-0000-0B00-000018000000}"/>
    <hyperlink ref="A26" r:id="rId25" xr:uid="{00000000-0004-0000-0B00-000019000000}"/>
    <hyperlink ref="A27" r:id="rId26" xr:uid="{00000000-0004-0000-0B00-00001A000000}"/>
    <hyperlink ref="A28" r:id="rId27" xr:uid="{00000000-0004-0000-0B00-00001B000000}"/>
    <hyperlink ref="A29" r:id="rId28" xr:uid="{00000000-0004-0000-0B00-00001C000000}"/>
    <hyperlink ref="A30" r:id="rId29" xr:uid="{00000000-0004-0000-0B00-00001D000000}"/>
    <hyperlink ref="A31" r:id="rId30" xr:uid="{00000000-0004-0000-0B00-00001E000000}"/>
    <hyperlink ref="A32" r:id="rId31" xr:uid="{00000000-0004-0000-0B00-00001F000000}"/>
    <hyperlink ref="A33" r:id="rId32" xr:uid="{00000000-0004-0000-0B00-000020000000}"/>
    <hyperlink ref="A34" r:id="rId33" xr:uid="{00000000-0004-0000-0B00-000021000000}"/>
    <hyperlink ref="A35" r:id="rId34" xr:uid="{00000000-0004-0000-0B00-000022000000}"/>
    <hyperlink ref="A36" r:id="rId35" xr:uid="{00000000-0004-0000-0B00-000023000000}"/>
    <hyperlink ref="A37" r:id="rId36" xr:uid="{00000000-0004-0000-0B00-000024000000}"/>
    <hyperlink ref="A38" r:id="rId37" xr:uid="{00000000-0004-0000-0B00-000025000000}"/>
    <hyperlink ref="A39" r:id="rId38" xr:uid="{00000000-0004-0000-0B00-000026000000}"/>
    <hyperlink ref="A40" r:id="rId39" xr:uid="{00000000-0004-0000-0B00-000027000000}"/>
    <hyperlink ref="A41" r:id="rId40" xr:uid="{00000000-0004-0000-0B00-000028000000}"/>
    <hyperlink ref="A42" r:id="rId41" xr:uid="{00000000-0004-0000-0B00-000029000000}"/>
    <hyperlink ref="A43" r:id="rId42" xr:uid="{00000000-0004-0000-0B00-00002A000000}"/>
    <hyperlink ref="A44" r:id="rId43" xr:uid="{00000000-0004-0000-0B00-00002B000000}"/>
    <hyperlink ref="A45" r:id="rId44" xr:uid="{00000000-0004-0000-0B00-00002C000000}"/>
    <hyperlink ref="A46" r:id="rId45" xr:uid="{00000000-0004-0000-0B00-00002D000000}"/>
    <hyperlink ref="A47" r:id="rId46" xr:uid="{00000000-0004-0000-0B00-00002E000000}"/>
    <hyperlink ref="A48" r:id="rId47" xr:uid="{00000000-0004-0000-0B00-00002F000000}"/>
    <hyperlink ref="A49" r:id="rId48" xr:uid="{00000000-0004-0000-0B00-000030000000}"/>
    <hyperlink ref="A50" r:id="rId49" xr:uid="{00000000-0004-0000-0B00-000031000000}"/>
    <hyperlink ref="A51" r:id="rId50" xr:uid="{00000000-0004-0000-0B00-000032000000}"/>
    <hyperlink ref="A52" r:id="rId51" xr:uid="{00000000-0004-0000-0B00-000033000000}"/>
    <hyperlink ref="A53" r:id="rId52" xr:uid="{00000000-0004-0000-0B00-000034000000}"/>
    <hyperlink ref="A54" r:id="rId53" xr:uid="{00000000-0004-0000-0B00-000035000000}"/>
    <hyperlink ref="A55" r:id="rId54" xr:uid="{00000000-0004-0000-0B00-000036000000}"/>
    <hyperlink ref="A56" r:id="rId55" xr:uid="{00000000-0004-0000-0B00-000037000000}"/>
    <hyperlink ref="A57" r:id="rId56" xr:uid="{00000000-0004-0000-0B00-000038000000}"/>
    <hyperlink ref="A58" r:id="rId57" xr:uid="{00000000-0004-0000-0B00-000039000000}"/>
    <hyperlink ref="A59" r:id="rId58" xr:uid="{00000000-0004-0000-0B00-00003A000000}"/>
    <hyperlink ref="A60" r:id="rId59" xr:uid="{00000000-0004-0000-0B00-00003B000000}"/>
    <hyperlink ref="A61" r:id="rId60" xr:uid="{00000000-0004-0000-0B00-00003C000000}"/>
    <hyperlink ref="A62" r:id="rId61" xr:uid="{00000000-0004-0000-0B00-00003D000000}"/>
    <hyperlink ref="A63" r:id="rId62" xr:uid="{00000000-0004-0000-0B00-00003E000000}"/>
    <hyperlink ref="A64" r:id="rId63" xr:uid="{00000000-0004-0000-0B00-00003F000000}"/>
    <hyperlink ref="A65" r:id="rId64" xr:uid="{00000000-0004-0000-0B00-000040000000}"/>
    <hyperlink ref="A66" r:id="rId65" xr:uid="{00000000-0004-0000-0B00-000041000000}"/>
    <hyperlink ref="A67" r:id="rId66" xr:uid="{00000000-0004-0000-0B00-000042000000}"/>
    <hyperlink ref="A68" r:id="rId67" xr:uid="{00000000-0004-0000-0B00-000043000000}"/>
    <hyperlink ref="A69" r:id="rId68" xr:uid="{00000000-0004-0000-0B00-000044000000}"/>
    <hyperlink ref="A70" r:id="rId69" xr:uid="{00000000-0004-0000-0B00-000045000000}"/>
    <hyperlink ref="A71" r:id="rId70" xr:uid="{00000000-0004-0000-0B00-000046000000}"/>
    <hyperlink ref="A72" r:id="rId71" xr:uid="{00000000-0004-0000-0B00-000047000000}"/>
    <hyperlink ref="A73" r:id="rId72" xr:uid="{00000000-0004-0000-0B00-000048000000}"/>
    <hyperlink ref="A74" r:id="rId73" xr:uid="{00000000-0004-0000-0B00-000049000000}"/>
    <hyperlink ref="A75" r:id="rId74" xr:uid="{00000000-0004-0000-0B00-00004A000000}"/>
    <hyperlink ref="A76" r:id="rId75" xr:uid="{00000000-0004-0000-0B00-00004B000000}"/>
    <hyperlink ref="A77" r:id="rId76" xr:uid="{00000000-0004-0000-0B00-00004C000000}"/>
    <hyperlink ref="A78" r:id="rId77" xr:uid="{00000000-0004-0000-0B00-00004D000000}"/>
    <hyperlink ref="A79" r:id="rId78" xr:uid="{00000000-0004-0000-0B00-00004E000000}"/>
    <hyperlink ref="A80" r:id="rId79" xr:uid="{00000000-0004-0000-0B00-00004F000000}"/>
    <hyperlink ref="A81" r:id="rId80" xr:uid="{00000000-0004-0000-0B00-000050000000}"/>
    <hyperlink ref="A82" r:id="rId81" xr:uid="{00000000-0004-0000-0B00-000051000000}"/>
    <hyperlink ref="A83" r:id="rId82" xr:uid="{00000000-0004-0000-0B00-000052000000}"/>
    <hyperlink ref="A84" r:id="rId83" xr:uid="{00000000-0004-0000-0B00-000053000000}"/>
    <hyperlink ref="A85" r:id="rId84" xr:uid="{00000000-0004-0000-0B00-000054000000}"/>
    <hyperlink ref="A86" r:id="rId85" xr:uid="{00000000-0004-0000-0B00-000055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6"/>
  <sheetViews>
    <sheetView workbookViewId="0">
      <pane ySplit="1" topLeftCell="A2" activePane="bottomLeft" state="frozen"/>
      <selection pane="bottomLeft"/>
    </sheetView>
  </sheetViews>
  <sheetFormatPr defaultRowHeight="15" x14ac:dyDescent="0.25"/>
  <cols>
    <col min="1" max="1" width="45" customWidth="1"/>
    <col min="2" max="2" width="21" customWidth="1"/>
    <col min="3" max="3" width="16" customWidth="1"/>
    <col min="4" max="4" width="18" customWidth="1"/>
    <col min="5" max="5" width="23" customWidth="1"/>
    <col min="6" max="6" width="22" customWidth="1"/>
    <col min="7" max="7" width="15" customWidth="1"/>
    <col min="8" max="8" width="21" customWidth="1"/>
    <col min="9" max="9" width="13" customWidth="1"/>
    <col min="10" max="11" width="8" customWidth="1"/>
    <col min="12" max="12" width="21" customWidth="1"/>
    <col min="13" max="13" width="29" customWidth="1"/>
    <col min="14" max="14" width="16" customWidth="1"/>
  </cols>
  <sheetData>
    <row r="1" spans="1:17" ht="45" x14ac:dyDescent="0.25">
      <c r="A1" s="4" t="s">
        <v>118</v>
      </c>
      <c r="B1" s="4" t="s">
        <v>1211</v>
      </c>
      <c r="C1" s="4" t="s">
        <v>894</v>
      </c>
      <c r="D1" s="4" t="s">
        <v>893</v>
      </c>
      <c r="E1" s="4" t="s">
        <v>964</v>
      </c>
      <c r="F1" s="4" t="s">
        <v>965</v>
      </c>
      <c r="G1" s="4" t="s">
        <v>804</v>
      </c>
      <c r="H1" s="4" t="s">
        <v>91</v>
      </c>
      <c r="I1" s="4" t="s">
        <v>63</v>
      </c>
      <c r="J1" s="4" t="s">
        <v>73</v>
      </c>
      <c r="K1" s="4" t="s">
        <v>806</v>
      </c>
      <c r="L1" s="4" t="s">
        <v>922</v>
      </c>
      <c r="M1" s="4" t="s">
        <v>1203</v>
      </c>
      <c r="N1" s="4" t="s">
        <v>927</v>
      </c>
      <c r="O1" s="5" t="s">
        <v>135</v>
      </c>
      <c r="P1" s="5" t="s">
        <v>1212</v>
      </c>
      <c r="Q1" s="39" t="s">
        <v>136</v>
      </c>
    </row>
    <row r="2" spans="1:17" ht="30" customHeight="1" x14ac:dyDescent="0.25">
      <c r="A2" s="59" t="s">
        <v>338</v>
      </c>
      <c r="B2" s="8">
        <v>174</v>
      </c>
      <c r="C2" s="49" t="s">
        <v>66</v>
      </c>
      <c r="D2" s="66">
        <v>6</v>
      </c>
      <c r="E2" s="8">
        <v>2</v>
      </c>
      <c r="F2" s="8">
        <v>2</v>
      </c>
      <c r="G2" s="8" t="s">
        <v>94</v>
      </c>
      <c r="H2" s="8" t="s">
        <v>92</v>
      </c>
      <c r="I2" s="52" t="s">
        <v>95</v>
      </c>
      <c r="J2" s="49" t="s">
        <v>2</v>
      </c>
      <c r="K2" s="8"/>
      <c r="L2" s="49" t="s">
        <v>978</v>
      </c>
      <c r="M2" s="6">
        <v>0</v>
      </c>
      <c r="N2" s="8"/>
      <c r="O2" s="9" t="str">
        <f>IFERROR(HYPERLINK("#Main!A"&amp;MATCH(A2,Main!A:A,0),"Open"),HYPERLINK("#Main!A1","Open"))</f>
        <v>Open</v>
      </c>
      <c r="P2" s="9" t="str">
        <f>IFERROR(HYPERLINK("#Technical!A"&amp;MATCH(A2,Technical!A:A,0),"Open"),HYPERLINK("#Technical!A1","Open"))</f>
        <v>Open</v>
      </c>
      <c r="Q2" s="9"/>
    </row>
    <row r="3" spans="1:17" ht="30" customHeight="1" x14ac:dyDescent="0.25">
      <c r="A3" s="58" t="s">
        <v>433</v>
      </c>
      <c r="B3" s="11">
        <v>174</v>
      </c>
      <c r="C3" s="49" t="s">
        <v>66</v>
      </c>
      <c r="D3" s="66">
        <v>6</v>
      </c>
      <c r="E3" s="11">
        <v>2</v>
      </c>
      <c r="F3" s="11">
        <v>2</v>
      </c>
      <c r="G3" s="11" t="s">
        <v>94</v>
      </c>
      <c r="H3" s="11" t="s">
        <v>92</v>
      </c>
      <c r="I3" s="52" t="s">
        <v>95</v>
      </c>
      <c r="J3" s="49" t="s">
        <v>2</v>
      </c>
      <c r="K3" s="11"/>
      <c r="L3" s="49" t="s">
        <v>978</v>
      </c>
      <c r="M3" s="6">
        <v>0</v>
      </c>
      <c r="N3" s="11"/>
      <c r="O3" t="str">
        <f>IFERROR(HYPERLINK("#Main!A"&amp;MATCH(A3,Main!A:A,0),"Open"),HYPERLINK("#Main!A1","Open"))</f>
        <v>Open</v>
      </c>
      <c r="P3" t="str">
        <f>IFERROR(HYPERLINK("#Technical!A"&amp;MATCH(A3,Technical!A:A,0),"Open"),HYPERLINK("#Technical!A1","Open"))</f>
        <v>Open</v>
      </c>
    </row>
    <row r="4" spans="1:17" ht="30" customHeight="1" x14ac:dyDescent="0.25">
      <c r="A4" s="59" t="s">
        <v>622</v>
      </c>
      <c r="B4" s="8">
        <v>84</v>
      </c>
      <c r="C4" s="61" t="s">
        <v>67</v>
      </c>
      <c r="D4" s="66">
        <v>46</v>
      </c>
      <c r="E4" s="8">
        <v>0</v>
      </c>
      <c r="F4" s="8">
        <v>3</v>
      </c>
      <c r="G4" s="8" t="s">
        <v>94</v>
      </c>
      <c r="H4" s="8" t="s">
        <v>97</v>
      </c>
      <c r="I4" s="60" t="s">
        <v>98</v>
      </c>
      <c r="J4" s="49" t="s">
        <v>2</v>
      </c>
      <c r="K4" s="8"/>
      <c r="L4" s="6" t="s">
        <v>918</v>
      </c>
      <c r="M4" s="6">
        <v>0</v>
      </c>
      <c r="N4" s="8"/>
      <c r="O4" s="9" t="str">
        <f>IFERROR(HYPERLINK("#Main!A"&amp;MATCH(A4,Main!A:A,0),"Open"),HYPERLINK("#Main!A1","Open"))</f>
        <v>Open</v>
      </c>
      <c r="P4" s="9" t="str">
        <f>IFERROR(HYPERLINK("#Technical!A"&amp;MATCH(A4,Technical!A:A,0),"Open"),HYPERLINK("#Technical!A1","Open"))</f>
        <v>Open</v>
      </c>
      <c r="Q4" s="9"/>
    </row>
    <row r="5" spans="1:17" ht="30" customHeight="1" x14ac:dyDescent="0.25">
      <c r="A5" s="58" t="s">
        <v>99</v>
      </c>
      <c r="B5" s="11">
        <v>84</v>
      </c>
      <c r="C5" s="61" t="s">
        <v>67</v>
      </c>
      <c r="D5" s="66">
        <v>46</v>
      </c>
      <c r="E5" s="11">
        <v>0</v>
      </c>
      <c r="F5" s="11">
        <v>3</v>
      </c>
      <c r="G5" s="11" t="s">
        <v>94</v>
      </c>
      <c r="H5" s="11" t="s">
        <v>97</v>
      </c>
      <c r="I5" s="60" t="s">
        <v>98</v>
      </c>
      <c r="J5" s="49" t="s">
        <v>2</v>
      </c>
      <c r="K5" s="11"/>
      <c r="L5" s="6" t="s">
        <v>918</v>
      </c>
      <c r="M5" s="6">
        <v>0</v>
      </c>
      <c r="N5" s="11"/>
      <c r="O5" t="str">
        <f>IFERROR(HYPERLINK("#Main!A"&amp;MATCH(A5,Main!A:A,0),"Open"),HYPERLINK("#Main!A1","Open"))</f>
        <v>Open</v>
      </c>
      <c r="P5" t="str">
        <f>IFERROR(HYPERLINK("#Technical!A"&amp;MATCH(A5,Technical!A:A,0),"Open"),HYPERLINK("#Technical!A1","Open"))</f>
        <v>Open</v>
      </c>
    </row>
    <row r="6" spans="1:17" ht="30" customHeight="1" x14ac:dyDescent="0.25">
      <c r="A6" s="59" t="s">
        <v>444</v>
      </c>
      <c r="B6" s="8">
        <v>84</v>
      </c>
      <c r="C6" s="61" t="s">
        <v>67</v>
      </c>
      <c r="D6" s="66">
        <v>46</v>
      </c>
      <c r="E6" s="8">
        <v>0</v>
      </c>
      <c r="F6" s="8">
        <v>3</v>
      </c>
      <c r="G6" s="8" t="s">
        <v>94</v>
      </c>
      <c r="H6" s="8" t="s">
        <v>97</v>
      </c>
      <c r="I6" s="60" t="s">
        <v>98</v>
      </c>
      <c r="J6" s="49" t="s">
        <v>2</v>
      </c>
      <c r="K6" s="8"/>
      <c r="L6" s="6" t="s">
        <v>918</v>
      </c>
      <c r="M6" s="6">
        <v>0</v>
      </c>
      <c r="N6" s="8"/>
      <c r="O6" s="9" t="str">
        <f>IFERROR(HYPERLINK("#Main!A"&amp;MATCH(A6,Main!A:A,0),"Open"),HYPERLINK("#Main!A1","Open"))</f>
        <v>Open</v>
      </c>
      <c r="P6" s="9" t="str">
        <f>IFERROR(HYPERLINK("#Technical!A"&amp;MATCH(A6,Technical!A:A,0),"Open"),HYPERLINK("#Technical!A1","Open"))</f>
        <v>Open</v>
      </c>
      <c r="Q6" s="9"/>
    </row>
    <row r="7" spans="1:17" ht="15.75" x14ac:dyDescent="0.25">
      <c r="A7" s="58" t="s">
        <v>140</v>
      </c>
      <c r="B7" s="11">
        <v>64</v>
      </c>
      <c r="C7" s="61" t="s">
        <v>67</v>
      </c>
      <c r="D7" s="66">
        <v>56</v>
      </c>
      <c r="E7" s="11">
        <v>0</v>
      </c>
      <c r="F7" s="11">
        <v>2</v>
      </c>
      <c r="G7" s="11" t="s">
        <v>94</v>
      </c>
      <c r="H7" s="11" t="s">
        <v>97</v>
      </c>
      <c r="I7" s="60" t="s">
        <v>98</v>
      </c>
      <c r="J7" s="49" t="s">
        <v>2</v>
      </c>
      <c r="K7" s="11"/>
      <c r="L7" s="6" t="s">
        <v>918</v>
      </c>
      <c r="M7" s="6">
        <v>0</v>
      </c>
      <c r="N7" s="11"/>
      <c r="O7" t="str">
        <f>IFERROR(HYPERLINK("#Main!A"&amp;MATCH(A7,Main!A:A,0),"Open"),HYPERLINK("#Main!A1","Open"))</f>
        <v>Open</v>
      </c>
      <c r="P7" t="str">
        <f>IFERROR(HYPERLINK("#Technical!A"&amp;MATCH(A7,Technical!A:A,0),"Open"),HYPERLINK("#Technical!A1","Open"))</f>
        <v>Open</v>
      </c>
    </row>
    <row r="8" spans="1:17" ht="30" customHeight="1" x14ac:dyDescent="0.25">
      <c r="A8" s="59" t="s">
        <v>674</v>
      </c>
      <c r="B8" s="8">
        <v>64</v>
      </c>
      <c r="C8" s="61" t="s">
        <v>67</v>
      </c>
      <c r="D8" s="66">
        <v>56</v>
      </c>
      <c r="E8" s="8">
        <v>0</v>
      </c>
      <c r="F8" s="8">
        <v>2</v>
      </c>
      <c r="G8" s="8" t="s">
        <v>94</v>
      </c>
      <c r="H8" s="8" t="s">
        <v>97</v>
      </c>
      <c r="I8" s="60" t="s">
        <v>98</v>
      </c>
      <c r="J8" s="49" t="s">
        <v>2</v>
      </c>
      <c r="K8" s="8"/>
      <c r="L8" s="6" t="s">
        <v>918</v>
      </c>
      <c r="M8" s="6">
        <v>0</v>
      </c>
      <c r="N8" s="8"/>
      <c r="O8" s="9" t="str">
        <f>IFERROR(HYPERLINK("#Main!A"&amp;MATCH(A8,Main!A:A,0),"Open"),HYPERLINK("#Main!A1","Open"))</f>
        <v>Open</v>
      </c>
      <c r="P8" s="9" t="str">
        <f>IFERROR(HYPERLINK("#Technical!A"&amp;MATCH(A8,Technical!A:A,0),"Open"),HYPERLINK("#Technical!A1","Open"))</f>
        <v>Open</v>
      </c>
      <c r="Q8" s="9"/>
    </row>
    <row r="9" spans="1:17" ht="30" customHeight="1" x14ac:dyDescent="0.25">
      <c r="A9" s="58" t="s">
        <v>306</v>
      </c>
      <c r="B9" s="11">
        <v>64</v>
      </c>
      <c r="C9" s="61" t="s">
        <v>67</v>
      </c>
      <c r="D9" s="66">
        <v>56</v>
      </c>
      <c r="E9" s="11">
        <v>0</v>
      </c>
      <c r="F9" s="11">
        <v>2</v>
      </c>
      <c r="G9" s="11" t="s">
        <v>94</v>
      </c>
      <c r="H9" s="11" t="s">
        <v>97</v>
      </c>
      <c r="I9" s="60" t="s">
        <v>98</v>
      </c>
      <c r="J9" s="49" t="s">
        <v>2</v>
      </c>
      <c r="K9" s="11"/>
      <c r="L9" s="6" t="s">
        <v>918</v>
      </c>
      <c r="M9" s="6">
        <v>0</v>
      </c>
      <c r="N9" s="11"/>
      <c r="O9" t="str">
        <f>IFERROR(HYPERLINK("#Main!A"&amp;MATCH(A9,Main!A:A,0),"Open"),HYPERLINK("#Main!A1","Open"))</f>
        <v>Open</v>
      </c>
      <c r="P9" t="str">
        <f>IFERROR(HYPERLINK("#Technical!A"&amp;MATCH(A9,Technical!A:A,0),"Open"),HYPERLINK("#Technical!A1","Open"))</f>
        <v>Open</v>
      </c>
    </row>
    <row r="10" spans="1:17" ht="30" customHeight="1" x14ac:dyDescent="0.25">
      <c r="A10" s="59" t="s">
        <v>314</v>
      </c>
      <c r="B10" s="8">
        <v>64</v>
      </c>
      <c r="C10" s="61" t="s">
        <v>67</v>
      </c>
      <c r="D10" s="66">
        <v>56</v>
      </c>
      <c r="E10" s="8">
        <v>0</v>
      </c>
      <c r="F10" s="8">
        <v>2</v>
      </c>
      <c r="G10" s="8" t="s">
        <v>94</v>
      </c>
      <c r="H10" s="8" t="s">
        <v>97</v>
      </c>
      <c r="I10" s="60" t="s">
        <v>98</v>
      </c>
      <c r="J10" s="49" t="s">
        <v>2</v>
      </c>
      <c r="K10" s="8"/>
      <c r="L10" s="6" t="s">
        <v>918</v>
      </c>
      <c r="M10" s="6">
        <v>0</v>
      </c>
      <c r="N10" s="8"/>
      <c r="O10" s="9" t="str">
        <f>IFERROR(HYPERLINK("#Main!A"&amp;MATCH(A10,Main!A:A,0),"Open"),HYPERLINK("#Main!A1","Open"))</f>
        <v>Open</v>
      </c>
      <c r="P10" s="9" t="str">
        <f>IFERROR(HYPERLINK("#Technical!A"&amp;MATCH(A10,Technical!A:A,0),"Open"),HYPERLINK("#Technical!A1","Open"))</f>
        <v>Open</v>
      </c>
      <c r="Q10" s="9"/>
    </row>
    <row r="11" spans="1:17" ht="30" customHeight="1" x14ac:dyDescent="0.25">
      <c r="A11" s="58" t="s">
        <v>366</v>
      </c>
      <c r="B11" s="11">
        <v>64</v>
      </c>
      <c r="C11" s="61" t="s">
        <v>67</v>
      </c>
      <c r="D11" s="66">
        <v>56</v>
      </c>
      <c r="E11" s="11">
        <v>0</v>
      </c>
      <c r="F11" s="11">
        <v>2</v>
      </c>
      <c r="G11" s="11" t="s">
        <v>94</v>
      </c>
      <c r="H11" s="11" t="s">
        <v>97</v>
      </c>
      <c r="I11" s="60" t="s">
        <v>98</v>
      </c>
      <c r="J11" s="49" t="s">
        <v>2</v>
      </c>
      <c r="K11" s="11"/>
      <c r="L11" s="6" t="s">
        <v>918</v>
      </c>
      <c r="M11" s="6">
        <v>0</v>
      </c>
      <c r="N11" s="11"/>
      <c r="O11" t="str">
        <f>IFERROR(HYPERLINK("#Main!A"&amp;MATCH(A11,Main!A:A,0),"Open"),HYPERLINK("#Main!A1","Open"))</f>
        <v>Open</v>
      </c>
      <c r="P11" t="str">
        <f>IFERROR(HYPERLINK("#Technical!A"&amp;MATCH(A11,Technical!A:A,0),"Open"),HYPERLINK("#Technical!A1","Open"))</f>
        <v>Open</v>
      </c>
    </row>
    <row r="12" spans="1:17" ht="30" customHeight="1" x14ac:dyDescent="0.25">
      <c r="A12" s="59" t="s">
        <v>290</v>
      </c>
      <c r="B12" s="8">
        <v>64</v>
      </c>
      <c r="C12" s="61" t="s">
        <v>67</v>
      </c>
      <c r="D12" s="66">
        <v>56</v>
      </c>
      <c r="E12" s="8">
        <v>0</v>
      </c>
      <c r="F12" s="8">
        <v>2</v>
      </c>
      <c r="G12" s="8" t="s">
        <v>94</v>
      </c>
      <c r="H12" s="8" t="s">
        <v>97</v>
      </c>
      <c r="I12" s="60" t="s">
        <v>98</v>
      </c>
      <c r="J12" s="49" t="s">
        <v>2</v>
      </c>
      <c r="K12" s="8"/>
      <c r="L12" s="6" t="s">
        <v>918</v>
      </c>
      <c r="M12" s="6">
        <v>0</v>
      </c>
      <c r="N12" s="8"/>
      <c r="O12" s="9" t="str">
        <f>IFERROR(HYPERLINK("#Main!A"&amp;MATCH(A12,Main!A:A,0),"Open"),HYPERLINK("#Main!A1","Open"))</f>
        <v>Open</v>
      </c>
      <c r="P12" s="9" t="str">
        <f>IFERROR(HYPERLINK("#Technical!A"&amp;MATCH(A12,Technical!A:A,0),"Open"),HYPERLINK("#Technical!A1","Open"))</f>
        <v>Open</v>
      </c>
      <c r="Q12" s="9"/>
    </row>
    <row r="13" spans="1:17" ht="30" customHeight="1" x14ac:dyDescent="0.25">
      <c r="A13" s="58" t="s">
        <v>188</v>
      </c>
      <c r="B13" s="11">
        <v>64</v>
      </c>
      <c r="C13" s="61" t="s">
        <v>67</v>
      </c>
      <c r="D13" s="66">
        <v>56</v>
      </c>
      <c r="E13" s="11">
        <v>0</v>
      </c>
      <c r="F13" s="11">
        <v>2</v>
      </c>
      <c r="G13" s="11" t="s">
        <v>94</v>
      </c>
      <c r="H13" s="11" t="s">
        <v>97</v>
      </c>
      <c r="I13" s="60" t="s">
        <v>98</v>
      </c>
      <c r="J13" s="49" t="s">
        <v>2</v>
      </c>
      <c r="K13" s="11"/>
      <c r="L13" s="6" t="s">
        <v>918</v>
      </c>
      <c r="M13" s="6">
        <v>0</v>
      </c>
      <c r="N13" s="11"/>
      <c r="O13" t="str">
        <f>IFERROR(HYPERLINK("#Main!A"&amp;MATCH(A13,Main!A:A,0),"Open"),HYPERLINK("#Main!A1","Open"))</f>
        <v>Open</v>
      </c>
      <c r="P13" t="str">
        <f>IFERROR(HYPERLINK("#Technical!A"&amp;MATCH(A13,Technical!A:A,0),"Open"),HYPERLINK("#Technical!A1","Open"))</f>
        <v>Open</v>
      </c>
    </row>
    <row r="14" spans="1:17" ht="30" customHeight="1" x14ac:dyDescent="0.25">
      <c r="A14" s="59" t="s">
        <v>401</v>
      </c>
      <c r="B14" s="8">
        <v>64</v>
      </c>
      <c r="C14" s="61" t="s">
        <v>67</v>
      </c>
      <c r="D14" s="66">
        <v>56</v>
      </c>
      <c r="E14" s="8">
        <v>0</v>
      </c>
      <c r="F14" s="8">
        <v>2</v>
      </c>
      <c r="G14" s="8" t="s">
        <v>94</v>
      </c>
      <c r="H14" s="8" t="s">
        <v>97</v>
      </c>
      <c r="I14" s="60" t="s">
        <v>98</v>
      </c>
      <c r="J14" s="49" t="s">
        <v>2</v>
      </c>
      <c r="K14" s="8"/>
      <c r="L14" s="6" t="s">
        <v>918</v>
      </c>
      <c r="M14" s="6">
        <v>0</v>
      </c>
      <c r="N14" s="8"/>
      <c r="O14" s="9" t="str">
        <f>IFERROR(HYPERLINK("#Main!A"&amp;MATCH(A14,Main!A:A,0),"Open"),HYPERLINK("#Main!A1","Open"))</f>
        <v>Open</v>
      </c>
      <c r="P14" s="9" t="str">
        <f>IFERROR(HYPERLINK("#Technical!A"&amp;MATCH(A14,Technical!A:A,0),"Open"),HYPERLINK("#Technical!A1","Open"))</f>
        <v>Open</v>
      </c>
      <c r="Q14" s="9"/>
    </row>
    <row r="15" spans="1:17" ht="30" customHeight="1" x14ac:dyDescent="0.25">
      <c r="A15" s="58" t="s">
        <v>172</v>
      </c>
      <c r="B15" s="11">
        <v>64</v>
      </c>
      <c r="C15" s="61" t="s">
        <v>67</v>
      </c>
      <c r="D15" s="66">
        <v>56</v>
      </c>
      <c r="E15" s="11">
        <v>0</v>
      </c>
      <c r="F15" s="11">
        <v>2</v>
      </c>
      <c r="G15" s="11" t="s">
        <v>94</v>
      </c>
      <c r="H15" s="11" t="s">
        <v>97</v>
      </c>
      <c r="I15" s="60" t="s">
        <v>98</v>
      </c>
      <c r="J15" s="49" t="s">
        <v>2</v>
      </c>
      <c r="K15" s="11"/>
      <c r="L15" s="6" t="s">
        <v>918</v>
      </c>
      <c r="M15" s="6">
        <v>0</v>
      </c>
      <c r="N15" s="11"/>
      <c r="O15" t="str">
        <f>IFERROR(HYPERLINK("#Main!A"&amp;MATCH(A15,Main!A:A,0),"Open"),HYPERLINK("#Main!A1","Open"))</f>
        <v>Open</v>
      </c>
      <c r="P15" t="str">
        <f>IFERROR(HYPERLINK("#Technical!A"&amp;MATCH(A15,Technical!A:A,0),"Open"),HYPERLINK("#Technical!A1","Open"))</f>
        <v>Open</v>
      </c>
    </row>
    <row r="16" spans="1:17" ht="30" customHeight="1" x14ac:dyDescent="0.25">
      <c r="A16" s="59" t="s">
        <v>727</v>
      </c>
      <c r="B16" s="8">
        <v>64</v>
      </c>
      <c r="C16" s="61" t="s">
        <v>67</v>
      </c>
      <c r="D16" s="66">
        <v>56</v>
      </c>
      <c r="E16" s="8">
        <v>0</v>
      </c>
      <c r="F16" s="8">
        <v>2</v>
      </c>
      <c r="G16" s="8" t="s">
        <v>94</v>
      </c>
      <c r="H16" s="8" t="s">
        <v>97</v>
      </c>
      <c r="I16" s="60" t="s">
        <v>98</v>
      </c>
      <c r="J16" s="49" t="s">
        <v>2</v>
      </c>
      <c r="K16" s="8"/>
      <c r="L16" s="6" t="s">
        <v>918</v>
      </c>
      <c r="M16" s="6">
        <v>0</v>
      </c>
      <c r="N16" s="8"/>
      <c r="O16" s="9" t="str">
        <f>IFERROR(HYPERLINK("#Main!A"&amp;MATCH(A16,Main!A:A,0),"Open"),HYPERLINK("#Main!A1","Open"))</f>
        <v>Open</v>
      </c>
      <c r="P16" s="9" t="str">
        <f>IFERROR(HYPERLINK("#Technical!A"&amp;MATCH(A16,Technical!A:A,0),"Open"),HYPERLINK("#Technical!A1","Open"))</f>
        <v>Open</v>
      </c>
      <c r="Q16" s="9"/>
    </row>
    <row r="17" spans="1:17" ht="30" customHeight="1" x14ac:dyDescent="0.25">
      <c r="A17" s="58" t="s">
        <v>559</v>
      </c>
      <c r="B17" s="11">
        <v>64</v>
      </c>
      <c r="C17" s="61" t="s">
        <v>67</v>
      </c>
      <c r="D17" s="66">
        <v>56</v>
      </c>
      <c r="E17" s="11">
        <v>0</v>
      </c>
      <c r="F17" s="11">
        <v>2</v>
      </c>
      <c r="G17" s="11" t="s">
        <v>94</v>
      </c>
      <c r="H17" s="11" t="s">
        <v>97</v>
      </c>
      <c r="I17" s="60" t="s">
        <v>98</v>
      </c>
      <c r="J17" s="49" t="s">
        <v>2</v>
      </c>
      <c r="K17" s="11"/>
      <c r="L17" s="6" t="s">
        <v>918</v>
      </c>
      <c r="M17" s="6">
        <v>0</v>
      </c>
      <c r="N17" s="11"/>
      <c r="O17" t="str">
        <f>IFERROR(HYPERLINK("#Main!A"&amp;MATCH(A17,Main!A:A,0),"Open"),HYPERLINK("#Main!A1","Open"))</f>
        <v>Open</v>
      </c>
      <c r="P17" t="str">
        <f>IFERROR(HYPERLINK("#Technical!A"&amp;MATCH(A17,Technical!A:A,0),"Open"),HYPERLINK("#Technical!A1","Open"))</f>
        <v>Open</v>
      </c>
    </row>
    <row r="18" spans="1:17" ht="30" customHeight="1" x14ac:dyDescent="0.25">
      <c r="A18" s="59" t="s">
        <v>358</v>
      </c>
      <c r="B18" s="8">
        <v>64</v>
      </c>
      <c r="C18" s="61" t="s">
        <v>67</v>
      </c>
      <c r="D18" s="66">
        <v>56</v>
      </c>
      <c r="E18" s="8">
        <v>0</v>
      </c>
      <c r="F18" s="8">
        <v>2</v>
      </c>
      <c r="G18" s="8" t="s">
        <v>94</v>
      </c>
      <c r="H18" s="8" t="s">
        <v>97</v>
      </c>
      <c r="I18" s="60" t="s">
        <v>98</v>
      </c>
      <c r="J18" s="49" t="s">
        <v>2</v>
      </c>
      <c r="K18" s="8"/>
      <c r="L18" s="6" t="s">
        <v>918</v>
      </c>
      <c r="M18" s="6">
        <v>0</v>
      </c>
      <c r="N18" s="8"/>
      <c r="O18" s="9" t="str">
        <f>IFERROR(HYPERLINK("#Main!A"&amp;MATCH(A18,Main!A:A,0),"Open"),HYPERLINK("#Main!A1","Open"))</f>
        <v>Open</v>
      </c>
      <c r="P18" s="9" t="str">
        <f>IFERROR(HYPERLINK("#Technical!A"&amp;MATCH(A18,Technical!A:A,0),"Open"),HYPERLINK("#Technical!A1","Open"))</f>
        <v>Open</v>
      </c>
      <c r="Q18" s="9"/>
    </row>
    <row r="19" spans="1:17" ht="45" customHeight="1" x14ac:dyDescent="0.25">
      <c r="A19" s="58" t="s">
        <v>409</v>
      </c>
      <c r="B19" s="11">
        <v>64</v>
      </c>
      <c r="C19" s="61" t="s">
        <v>67</v>
      </c>
      <c r="D19" s="66">
        <v>56</v>
      </c>
      <c r="E19" s="11">
        <v>0</v>
      </c>
      <c r="F19" s="11">
        <v>2</v>
      </c>
      <c r="G19" s="11" t="s">
        <v>94</v>
      </c>
      <c r="H19" s="11" t="s">
        <v>97</v>
      </c>
      <c r="I19" s="60" t="s">
        <v>98</v>
      </c>
      <c r="J19" s="49" t="s">
        <v>2</v>
      </c>
      <c r="K19" s="11"/>
      <c r="L19" s="6" t="s">
        <v>918</v>
      </c>
      <c r="M19" s="6">
        <v>0</v>
      </c>
      <c r="N19" s="11"/>
      <c r="O19" t="str">
        <f>IFERROR(HYPERLINK("#Main!A"&amp;MATCH(A19,Main!A:A,0),"Open"),HYPERLINK("#Main!A1","Open"))</f>
        <v>Open</v>
      </c>
      <c r="P19" t="str">
        <f>IFERROR(HYPERLINK("#Technical!A"&amp;MATCH(A19,Technical!A:A,0),"Open"),HYPERLINK("#Technical!A1","Open"))</f>
        <v>Open</v>
      </c>
    </row>
    <row r="20" spans="1:17" ht="30" customHeight="1" x14ac:dyDescent="0.25">
      <c r="A20" s="59" t="s">
        <v>436</v>
      </c>
      <c r="B20" s="8">
        <v>64</v>
      </c>
      <c r="C20" s="61" t="s">
        <v>67</v>
      </c>
      <c r="D20" s="66">
        <v>56</v>
      </c>
      <c r="E20" s="8">
        <v>0</v>
      </c>
      <c r="F20" s="8">
        <v>2</v>
      </c>
      <c r="G20" s="8" t="s">
        <v>94</v>
      </c>
      <c r="H20" s="8" t="s">
        <v>97</v>
      </c>
      <c r="I20" s="60" t="s">
        <v>98</v>
      </c>
      <c r="J20" s="49" t="s">
        <v>2</v>
      </c>
      <c r="K20" s="8"/>
      <c r="L20" s="6" t="s">
        <v>918</v>
      </c>
      <c r="M20" s="6">
        <v>0</v>
      </c>
      <c r="N20" s="8"/>
      <c r="O20" s="9" t="str">
        <f>IFERROR(HYPERLINK("#Main!A"&amp;MATCH(A20,Main!A:A,0),"Open"),HYPERLINK("#Main!A1","Open"))</f>
        <v>Open</v>
      </c>
      <c r="P20" s="9" t="str">
        <f>IFERROR(HYPERLINK("#Technical!A"&amp;MATCH(A20,Technical!A:A,0),"Open"),HYPERLINK("#Technical!A1","Open"))</f>
        <v>Open</v>
      </c>
      <c r="Q20" s="9"/>
    </row>
    <row r="21" spans="1:17" ht="30" customHeight="1" x14ac:dyDescent="0.25">
      <c r="A21" s="58" t="s">
        <v>743</v>
      </c>
      <c r="B21" s="11">
        <v>64</v>
      </c>
      <c r="C21" s="61" t="s">
        <v>67</v>
      </c>
      <c r="D21" s="66">
        <v>56</v>
      </c>
      <c r="E21" s="11">
        <v>0</v>
      </c>
      <c r="F21" s="11">
        <v>2</v>
      </c>
      <c r="G21" s="11" t="s">
        <v>94</v>
      </c>
      <c r="H21" s="11" t="s">
        <v>97</v>
      </c>
      <c r="I21" s="60" t="s">
        <v>98</v>
      </c>
      <c r="J21" s="49" t="s">
        <v>2</v>
      </c>
      <c r="K21" s="11"/>
      <c r="L21" s="6" t="s">
        <v>918</v>
      </c>
      <c r="M21" s="6">
        <v>0</v>
      </c>
      <c r="N21" s="11"/>
      <c r="O21" t="str">
        <f>IFERROR(HYPERLINK("#Main!A"&amp;MATCH(A21,Main!A:A,0),"Open"),HYPERLINK("#Main!A1","Open"))</f>
        <v>Open</v>
      </c>
      <c r="P21" t="str">
        <f>IFERROR(HYPERLINK("#Technical!A"&amp;MATCH(A21,Technical!A:A,0),"Open"),HYPERLINK("#Technical!A1","Open"))</f>
        <v>Open</v>
      </c>
    </row>
    <row r="22" spans="1:17" ht="30" customHeight="1" x14ac:dyDescent="0.25">
      <c r="A22" s="59" t="s">
        <v>598</v>
      </c>
      <c r="B22" s="8">
        <v>64</v>
      </c>
      <c r="C22" s="61" t="s">
        <v>67</v>
      </c>
      <c r="D22" s="66">
        <v>56</v>
      </c>
      <c r="E22" s="8">
        <v>0</v>
      </c>
      <c r="F22" s="8">
        <v>2</v>
      </c>
      <c r="G22" s="8" t="s">
        <v>94</v>
      </c>
      <c r="H22" s="8" t="s">
        <v>97</v>
      </c>
      <c r="I22" s="60" t="s">
        <v>98</v>
      </c>
      <c r="J22" s="49" t="s">
        <v>2</v>
      </c>
      <c r="K22" s="8"/>
      <c r="L22" s="6" t="s">
        <v>918</v>
      </c>
      <c r="M22" s="6">
        <v>0</v>
      </c>
      <c r="N22" s="8"/>
      <c r="O22" s="9" t="str">
        <f>IFERROR(HYPERLINK("#Main!A"&amp;MATCH(A22,Main!A:A,0),"Open"),HYPERLINK("#Main!A1","Open"))</f>
        <v>Open</v>
      </c>
      <c r="P22" s="9" t="str">
        <f>IFERROR(HYPERLINK("#Technical!A"&amp;MATCH(A22,Technical!A:A,0),"Open"),HYPERLINK("#Technical!A1","Open"))</f>
        <v>Open</v>
      </c>
      <c r="Q22" s="9"/>
    </row>
    <row r="23" spans="1:17" ht="30" customHeight="1" x14ac:dyDescent="0.25">
      <c r="A23" s="58" t="s">
        <v>735</v>
      </c>
      <c r="B23" s="11">
        <v>64</v>
      </c>
      <c r="C23" s="61" t="s">
        <v>67</v>
      </c>
      <c r="D23" s="66">
        <v>56</v>
      </c>
      <c r="E23" s="11">
        <v>0</v>
      </c>
      <c r="F23" s="11">
        <v>2</v>
      </c>
      <c r="G23" s="11" t="s">
        <v>94</v>
      </c>
      <c r="H23" s="11" t="s">
        <v>97</v>
      </c>
      <c r="I23" s="60" t="s">
        <v>98</v>
      </c>
      <c r="J23" s="49" t="s">
        <v>2</v>
      </c>
      <c r="K23" s="11"/>
      <c r="L23" s="6" t="s">
        <v>918</v>
      </c>
      <c r="M23" s="6">
        <v>0</v>
      </c>
      <c r="N23" s="11"/>
      <c r="O23" t="str">
        <f>IFERROR(HYPERLINK("#Main!A"&amp;MATCH(A23,Main!A:A,0),"Open"),HYPERLINK("#Main!A1","Open"))</f>
        <v>Open</v>
      </c>
      <c r="P23" t="str">
        <f>IFERROR(HYPERLINK("#Technical!A"&amp;MATCH(A23,Technical!A:A,0),"Open"),HYPERLINK("#Technical!A1","Open"))</f>
        <v>Open</v>
      </c>
    </row>
    <row r="24" spans="1:17" ht="30" customHeight="1" x14ac:dyDescent="0.25">
      <c r="A24" s="59" t="s">
        <v>590</v>
      </c>
      <c r="B24" s="8">
        <v>64</v>
      </c>
      <c r="C24" s="61" t="s">
        <v>67</v>
      </c>
      <c r="D24" s="66">
        <v>56</v>
      </c>
      <c r="E24" s="8">
        <v>0</v>
      </c>
      <c r="F24" s="8">
        <v>2</v>
      </c>
      <c r="G24" s="8" t="s">
        <v>94</v>
      </c>
      <c r="H24" s="8" t="s">
        <v>97</v>
      </c>
      <c r="I24" s="60" t="s">
        <v>98</v>
      </c>
      <c r="J24" s="49" t="s">
        <v>2</v>
      </c>
      <c r="K24" s="8"/>
      <c r="L24" s="6" t="s">
        <v>918</v>
      </c>
      <c r="M24" s="6">
        <v>0</v>
      </c>
      <c r="N24" s="8"/>
      <c r="O24" s="9" t="str">
        <f>IFERROR(HYPERLINK("#Main!A"&amp;MATCH(A24,Main!A:A,0),"Open"),HYPERLINK("#Main!A1","Open"))</f>
        <v>Open</v>
      </c>
      <c r="P24" s="9" t="str">
        <f>IFERROR(HYPERLINK("#Technical!A"&amp;MATCH(A24,Technical!A:A,0),"Open"),HYPERLINK("#Technical!A1","Open"))</f>
        <v>Open</v>
      </c>
      <c r="Q24" s="9"/>
    </row>
    <row r="25" spans="1:17" ht="30" customHeight="1" x14ac:dyDescent="0.25">
      <c r="A25" s="58" t="s">
        <v>758</v>
      </c>
      <c r="B25" s="11">
        <v>64</v>
      </c>
      <c r="C25" s="61" t="s">
        <v>67</v>
      </c>
      <c r="D25" s="66">
        <v>56</v>
      </c>
      <c r="E25" s="11">
        <v>0</v>
      </c>
      <c r="F25" s="11">
        <v>2</v>
      </c>
      <c r="G25" s="11" t="s">
        <v>94</v>
      </c>
      <c r="H25" s="11" t="s">
        <v>97</v>
      </c>
      <c r="I25" s="60" t="s">
        <v>98</v>
      </c>
      <c r="J25" s="49" t="s">
        <v>2</v>
      </c>
      <c r="K25" s="11"/>
      <c r="L25" s="6" t="s">
        <v>918</v>
      </c>
      <c r="M25" s="6">
        <v>0</v>
      </c>
      <c r="N25" s="11"/>
      <c r="O25" t="str">
        <f>IFERROR(HYPERLINK("#Main!A"&amp;MATCH(A25,Main!A:A,0),"Open"),HYPERLINK("#Main!A1","Open"))</f>
        <v>Open</v>
      </c>
      <c r="P25" t="str">
        <f>IFERROR(HYPERLINK("#Technical!A"&amp;MATCH(A25,Technical!A:A,0),"Open"),HYPERLINK("#Technical!A1","Open"))</f>
        <v>Open</v>
      </c>
    </row>
    <row r="26" spans="1:17" ht="30" customHeight="1" x14ac:dyDescent="0.25">
      <c r="A26" s="59" t="s">
        <v>766</v>
      </c>
      <c r="B26" s="8">
        <v>64</v>
      </c>
      <c r="C26" s="61" t="s">
        <v>67</v>
      </c>
      <c r="D26" s="66">
        <v>56</v>
      </c>
      <c r="E26" s="8">
        <v>0</v>
      </c>
      <c r="F26" s="8">
        <v>2</v>
      </c>
      <c r="G26" s="8" t="s">
        <v>94</v>
      </c>
      <c r="H26" s="8" t="s">
        <v>97</v>
      </c>
      <c r="I26" s="60" t="s">
        <v>98</v>
      </c>
      <c r="J26" s="49" t="s">
        <v>2</v>
      </c>
      <c r="K26" s="8"/>
      <c r="L26" s="6" t="s">
        <v>918</v>
      </c>
      <c r="M26" s="6">
        <v>0</v>
      </c>
      <c r="N26" s="8"/>
      <c r="O26" s="9" t="str">
        <f>IFERROR(HYPERLINK("#Main!A"&amp;MATCH(A26,Main!A:A,0),"Open"),HYPERLINK("#Main!A1","Open"))</f>
        <v>Open</v>
      </c>
      <c r="P26" s="9" t="str">
        <f>IFERROR(HYPERLINK("#Technical!A"&amp;MATCH(A26,Technical!A:A,0),"Open"),HYPERLINK("#Technical!A1","Open"))</f>
        <v>Open</v>
      </c>
      <c r="Q26" s="9"/>
    </row>
    <row r="27" spans="1:17" ht="30" customHeight="1" x14ac:dyDescent="0.25">
      <c r="A27" s="58" t="s">
        <v>614</v>
      </c>
      <c r="B27" s="11">
        <v>64</v>
      </c>
      <c r="C27" s="61" t="s">
        <v>67</v>
      </c>
      <c r="D27" s="66">
        <v>56</v>
      </c>
      <c r="E27" s="11">
        <v>0</v>
      </c>
      <c r="F27" s="11">
        <v>2</v>
      </c>
      <c r="G27" s="11" t="s">
        <v>94</v>
      </c>
      <c r="H27" s="11" t="s">
        <v>97</v>
      </c>
      <c r="I27" s="60" t="s">
        <v>98</v>
      </c>
      <c r="J27" s="49" t="s">
        <v>2</v>
      </c>
      <c r="K27" s="11"/>
      <c r="L27" s="6" t="s">
        <v>918</v>
      </c>
      <c r="M27" s="6">
        <v>0</v>
      </c>
      <c r="N27" s="11"/>
      <c r="O27" t="str">
        <f>IFERROR(HYPERLINK("#Main!A"&amp;MATCH(A27,Main!A:A,0),"Open"),HYPERLINK("#Main!A1","Open"))</f>
        <v>Open</v>
      </c>
      <c r="P27" t="str">
        <f>IFERROR(HYPERLINK("#Technical!A"&amp;MATCH(A27,Technical!A:A,0),"Open"),HYPERLINK("#Technical!A1","Open"))</f>
        <v>Open</v>
      </c>
    </row>
    <row r="28" spans="1:17" ht="30" customHeight="1" x14ac:dyDescent="0.25">
      <c r="A28" s="59" t="s">
        <v>543</v>
      </c>
      <c r="B28" s="8">
        <v>64</v>
      </c>
      <c r="C28" s="61" t="s">
        <v>67</v>
      </c>
      <c r="D28" s="66">
        <v>56</v>
      </c>
      <c r="E28" s="8">
        <v>0</v>
      </c>
      <c r="F28" s="8">
        <v>2</v>
      </c>
      <c r="G28" s="8" t="s">
        <v>94</v>
      </c>
      <c r="H28" s="8" t="s">
        <v>97</v>
      </c>
      <c r="I28" s="60" t="s">
        <v>98</v>
      </c>
      <c r="J28" s="49" t="s">
        <v>2</v>
      </c>
      <c r="K28" s="8"/>
      <c r="L28" s="6" t="s">
        <v>918</v>
      </c>
      <c r="M28" s="6">
        <v>0</v>
      </c>
      <c r="N28" s="8"/>
      <c r="O28" s="9" t="str">
        <f>IFERROR(HYPERLINK("#Main!A"&amp;MATCH(A28,Main!A:A,0),"Open"),HYPERLINK("#Main!A1","Open"))</f>
        <v>Open</v>
      </c>
      <c r="P28" s="9" t="str">
        <f>IFERROR(HYPERLINK("#Technical!A"&amp;MATCH(A28,Technical!A:A,0),"Open"),HYPERLINK("#Technical!A1","Open"))</f>
        <v>Open</v>
      </c>
      <c r="Q28" s="9"/>
    </row>
    <row r="29" spans="1:17" ht="30" customHeight="1" x14ac:dyDescent="0.25">
      <c r="A29" s="58" t="s">
        <v>218</v>
      </c>
      <c r="B29" s="11">
        <v>64</v>
      </c>
      <c r="C29" s="61" t="s">
        <v>67</v>
      </c>
      <c r="D29" s="66">
        <v>56</v>
      </c>
      <c r="E29" s="11">
        <v>0</v>
      </c>
      <c r="F29" s="11">
        <v>2</v>
      </c>
      <c r="G29" s="11" t="s">
        <v>94</v>
      </c>
      <c r="H29" s="11" t="s">
        <v>97</v>
      </c>
      <c r="I29" s="60" t="s">
        <v>98</v>
      </c>
      <c r="J29" s="49" t="s">
        <v>2</v>
      </c>
      <c r="K29" s="11"/>
      <c r="L29" s="6" t="s">
        <v>918</v>
      </c>
      <c r="M29" s="6">
        <v>0</v>
      </c>
      <c r="N29" s="11"/>
      <c r="O29" t="str">
        <f>IFERROR(HYPERLINK("#Main!A"&amp;MATCH(A29,Main!A:A,0),"Open"),HYPERLINK("#Main!A1","Open"))</f>
        <v>Open</v>
      </c>
      <c r="P29" t="str">
        <f>IFERROR(HYPERLINK("#Technical!A"&amp;MATCH(A29,Technical!A:A,0),"Open"),HYPERLINK("#Technical!A1","Open"))</f>
        <v>Open</v>
      </c>
    </row>
    <row r="30" spans="1:17" ht="30" customHeight="1" x14ac:dyDescent="0.25">
      <c r="A30" s="59" t="s">
        <v>774</v>
      </c>
      <c r="B30" s="8">
        <v>64</v>
      </c>
      <c r="C30" s="61" t="s">
        <v>67</v>
      </c>
      <c r="D30" s="66">
        <v>56</v>
      </c>
      <c r="E30" s="8">
        <v>0</v>
      </c>
      <c r="F30" s="8">
        <v>2</v>
      </c>
      <c r="G30" s="8" t="s">
        <v>94</v>
      </c>
      <c r="H30" s="8" t="s">
        <v>97</v>
      </c>
      <c r="I30" s="60" t="s">
        <v>98</v>
      </c>
      <c r="J30" s="49" t="s">
        <v>2</v>
      </c>
      <c r="K30" s="8"/>
      <c r="L30" s="6" t="s">
        <v>918</v>
      </c>
      <c r="M30" s="6">
        <v>0</v>
      </c>
      <c r="N30" s="8"/>
      <c r="O30" s="9" t="str">
        <f>IFERROR(HYPERLINK("#Main!A"&amp;MATCH(A30,Main!A:A,0),"Open"),HYPERLINK("#Main!A1","Open"))</f>
        <v>Open</v>
      </c>
      <c r="P30" s="9" t="str">
        <f>IFERROR(HYPERLINK("#Technical!A"&amp;MATCH(A30,Technical!A:A,0),"Open"),HYPERLINK("#Technical!A1","Open"))</f>
        <v>Open</v>
      </c>
      <c r="Q30" s="9"/>
    </row>
    <row r="31" spans="1:17" ht="30" customHeight="1" x14ac:dyDescent="0.25">
      <c r="A31" s="58" t="s">
        <v>750</v>
      </c>
      <c r="B31" s="11">
        <v>64</v>
      </c>
      <c r="C31" s="61" t="s">
        <v>67</v>
      </c>
      <c r="D31" s="66">
        <v>56</v>
      </c>
      <c r="E31" s="11">
        <v>0</v>
      </c>
      <c r="F31" s="11">
        <v>2</v>
      </c>
      <c r="G31" s="11" t="s">
        <v>94</v>
      </c>
      <c r="H31" s="11" t="s">
        <v>97</v>
      </c>
      <c r="I31" s="60" t="s">
        <v>98</v>
      </c>
      <c r="J31" s="49" t="s">
        <v>2</v>
      </c>
      <c r="K31" s="11"/>
      <c r="L31" s="6" t="s">
        <v>918</v>
      </c>
      <c r="M31" s="6">
        <v>0</v>
      </c>
      <c r="N31" s="11"/>
      <c r="O31" t="str">
        <f>IFERROR(HYPERLINK("#Main!A"&amp;MATCH(A31,Main!A:A,0),"Open"),HYPERLINK("#Main!A1","Open"))</f>
        <v>Open</v>
      </c>
      <c r="P31" t="str">
        <f>IFERROR(HYPERLINK("#Technical!A"&amp;MATCH(A31,Technical!A:A,0),"Open"),HYPERLINK("#Technical!A1","Open"))</f>
        <v>Open</v>
      </c>
    </row>
    <row r="32" spans="1:17" ht="30" customHeight="1" x14ac:dyDescent="0.25">
      <c r="A32" s="59" t="s">
        <v>457</v>
      </c>
      <c r="B32" s="8">
        <v>64</v>
      </c>
      <c r="C32" s="61" t="s">
        <v>67</v>
      </c>
      <c r="D32" s="66">
        <v>56</v>
      </c>
      <c r="E32" s="8">
        <v>0</v>
      </c>
      <c r="F32" s="8">
        <v>2</v>
      </c>
      <c r="G32" s="8" t="s">
        <v>94</v>
      </c>
      <c r="H32" s="8" t="s">
        <v>97</v>
      </c>
      <c r="I32" s="60" t="s">
        <v>98</v>
      </c>
      <c r="J32" s="49" t="s">
        <v>2</v>
      </c>
      <c r="K32" s="8"/>
      <c r="L32" s="6" t="s">
        <v>918</v>
      </c>
      <c r="M32" s="6">
        <v>0</v>
      </c>
      <c r="N32" s="8"/>
      <c r="O32" s="9" t="str">
        <f>IFERROR(HYPERLINK("#Main!A"&amp;MATCH(A32,Main!A:A,0),"Open"),HYPERLINK("#Main!A1","Open"))</f>
        <v>Open</v>
      </c>
      <c r="P32" s="9" t="str">
        <f>IFERROR(HYPERLINK("#Technical!A"&amp;MATCH(A32,Technical!A:A,0),"Open"),HYPERLINK("#Technical!A1","Open"))</f>
        <v>Open</v>
      </c>
      <c r="Q32" s="9"/>
    </row>
    <row r="33" spans="1:17" ht="30" customHeight="1" x14ac:dyDescent="0.25">
      <c r="A33" s="58" t="s">
        <v>449</v>
      </c>
      <c r="B33" s="11">
        <v>64</v>
      </c>
      <c r="C33" s="61" t="s">
        <v>67</v>
      </c>
      <c r="D33" s="66">
        <v>56</v>
      </c>
      <c r="E33" s="11">
        <v>0</v>
      </c>
      <c r="F33" s="11">
        <v>2</v>
      </c>
      <c r="G33" s="11" t="s">
        <v>94</v>
      </c>
      <c r="H33" s="11" t="s">
        <v>97</v>
      </c>
      <c r="I33" s="60" t="s">
        <v>98</v>
      </c>
      <c r="J33" s="49" t="s">
        <v>2</v>
      </c>
      <c r="K33" s="11"/>
      <c r="L33" s="6" t="s">
        <v>918</v>
      </c>
      <c r="M33" s="6">
        <v>0</v>
      </c>
      <c r="N33" s="11"/>
      <c r="O33" t="str">
        <f>IFERROR(HYPERLINK("#Main!A"&amp;MATCH(A33,Main!A:A,0),"Open"),HYPERLINK("#Main!A1","Open"))</f>
        <v>Open</v>
      </c>
      <c r="P33" t="str">
        <f>IFERROR(HYPERLINK("#Technical!A"&amp;MATCH(A33,Technical!A:A,0),"Open"),HYPERLINK("#Technical!A1","Open"))</f>
        <v>Open</v>
      </c>
    </row>
    <row r="34" spans="1:17" ht="30" customHeight="1" x14ac:dyDescent="0.25">
      <c r="A34" s="59" t="s">
        <v>720</v>
      </c>
      <c r="B34" s="8">
        <v>64</v>
      </c>
      <c r="C34" s="61" t="s">
        <v>67</v>
      </c>
      <c r="D34" s="66">
        <v>56</v>
      </c>
      <c r="E34" s="8">
        <v>0</v>
      </c>
      <c r="F34" s="8">
        <v>2</v>
      </c>
      <c r="G34" s="8" t="s">
        <v>94</v>
      </c>
      <c r="H34" s="8" t="s">
        <v>97</v>
      </c>
      <c r="I34" s="60" t="s">
        <v>98</v>
      </c>
      <c r="J34" s="49" t="s">
        <v>2</v>
      </c>
      <c r="K34" s="8"/>
      <c r="L34" s="6" t="s">
        <v>918</v>
      </c>
      <c r="M34" s="6">
        <v>0</v>
      </c>
      <c r="N34" s="8"/>
      <c r="O34" s="9" t="str">
        <f>IFERROR(HYPERLINK("#Main!A"&amp;MATCH(A34,Main!A:A,0),"Open"),HYPERLINK("#Main!A1","Open"))</f>
        <v>Open</v>
      </c>
      <c r="P34" s="9" t="str">
        <f>IFERROR(HYPERLINK("#Technical!A"&amp;MATCH(A34,Technical!A:A,0),"Open"),HYPERLINK("#Technical!A1","Open"))</f>
        <v>Open</v>
      </c>
      <c r="Q34" s="9"/>
    </row>
    <row r="35" spans="1:17" ht="30" customHeight="1" x14ac:dyDescent="0.25">
      <c r="A35" s="58" t="s">
        <v>635</v>
      </c>
      <c r="B35" s="11">
        <v>64</v>
      </c>
      <c r="C35" s="61" t="s">
        <v>67</v>
      </c>
      <c r="D35" s="66">
        <v>56</v>
      </c>
      <c r="E35" s="11">
        <v>0</v>
      </c>
      <c r="F35" s="11">
        <v>2</v>
      </c>
      <c r="G35" s="11" t="s">
        <v>94</v>
      </c>
      <c r="H35" s="11" t="s">
        <v>97</v>
      </c>
      <c r="I35" s="60" t="s">
        <v>98</v>
      </c>
      <c r="J35" s="49" t="s">
        <v>2</v>
      </c>
      <c r="K35" s="11"/>
      <c r="L35" s="6" t="s">
        <v>918</v>
      </c>
      <c r="M35" s="6">
        <v>0</v>
      </c>
      <c r="N35" s="11"/>
      <c r="O35" t="str">
        <f>IFERROR(HYPERLINK("#Main!A"&amp;MATCH(A35,Main!A:A,0),"Open"),HYPERLINK("#Main!A1","Open"))</f>
        <v>Open</v>
      </c>
      <c r="P35" t="str">
        <f>IFERROR(HYPERLINK("#Technical!A"&amp;MATCH(A35,Technical!A:A,0),"Open"),HYPERLINK("#Technical!A1","Open"))</f>
        <v>Open</v>
      </c>
    </row>
    <row r="36" spans="1:17" ht="30" customHeight="1" x14ac:dyDescent="0.25">
      <c r="A36" s="59" t="s">
        <v>698</v>
      </c>
      <c r="B36" s="8">
        <v>64</v>
      </c>
      <c r="C36" s="61" t="s">
        <v>67</v>
      </c>
      <c r="D36" s="66">
        <v>56</v>
      </c>
      <c r="E36" s="8">
        <v>0</v>
      </c>
      <c r="F36" s="8">
        <v>2</v>
      </c>
      <c r="G36" s="8" t="s">
        <v>94</v>
      </c>
      <c r="H36" s="8" t="s">
        <v>97</v>
      </c>
      <c r="I36" s="60" t="s">
        <v>98</v>
      </c>
      <c r="J36" s="49" t="s">
        <v>2</v>
      </c>
      <c r="K36" s="8"/>
      <c r="L36" s="6" t="s">
        <v>918</v>
      </c>
      <c r="M36" s="6">
        <v>0</v>
      </c>
      <c r="N36" s="8"/>
      <c r="O36" s="9" t="str">
        <f>IFERROR(HYPERLINK("#Main!A"&amp;MATCH(A36,Main!A:A,0),"Open"),HYPERLINK("#Main!A1","Open"))</f>
        <v>Open</v>
      </c>
      <c r="P36" s="9" t="str">
        <f>IFERROR(HYPERLINK("#Technical!A"&amp;MATCH(A36,Technical!A:A,0),"Open"),HYPERLINK("#Technical!A1","Open"))</f>
        <v>Open</v>
      </c>
      <c r="Q36" s="9"/>
    </row>
    <row r="37" spans="1:17" ht="30" customHeight="1" x14ac:dyDescent="0.25">
      <c r="A37" s="58" t="s">
        <v>519</v>
      </c>
      <c r="B37" s="11">
        <v>61</v>
      </c>
      <c r="C37" s="61" t="s">
        <v>67</v>
      </c>
      <c r="D37" s="66">
        <v>59</v>
      </c>
      <c r="E37" s="11">
        <v>0</v>
      </c>
      <c r="F37" s="11">
        <v>2</v>
      </c>
      <c r="G37" s="11" t="s">
        <v>94</v>
      </c>
      <c r="H37" s="11" t="s">
        <v>97</v>
      </c>
      <c r="I37" s="60" t="s">
        <v>98</v>
      </c>
      <c r="J37" s="49" t="s">
        <v>2</v>
      </c>
      <c r="K37" s="11"/>
      <c r="L37" s="6" t="s">
        <v>918</v>
      </c>
      <c r="M37" s="6">
        <v>0</v>
      </c>
      <c r="N37" s="11"/>
      <c r="O37" t="str">
        <f>IFERROR(HYPERLINK("#Main!A"&amp;MATCH(A37,Main!A:A,0),"Open"),HYPERLINK("#Main!A1","Open"))</f>
        <v>Open</v>
      </c>
      <c r="P37" t="str">
        <f>IFERROR(HYPERLINK("#Technical!A"&amp;MATCH(A37,Technical!A:A,0),"Open"),HYPERLINK("#Technical!A1","Open"))</f>
        <v>Open</v>
      </c>
    </row>
    <row r="38" spans="1:17" ht="30" customHeight="1" x14ac:dyDescent="0.25">
      <c r="A38" s="59" t="s">
        <v>606</v>
      </c>
      <c r="B38" s="8">
        <v>61</v>
      </c>
      <c r="C38" s="61" t="s">
        <v>67</v>
      </c>
      <c r="D38" s="66">
        <v>59</v>
      </c>
      <c r="E38" s="8">
        <v>0</v>
      </c>
      <c r="F38" s="8">
        <v>2</v>
      </c>
      <c r="G38" s="8" t="s">
        <v>94</v>
      </c>
      <c r="H38" s="8" t="s">
        <v>97</v>
      </c>
      <c r="I38" s="60" t="s">
        <v>98</v>
      </c>
      <c r="J38" s="49" t="s">
        <v>2</v>
      </c>
      <c r="K38" s="8"/>
      <c r="L38" s="6" t="s">
        <v>918</v>
      </c>
      <c r="M38" s="6">
        <v>0</v>
      </c>
      <c r="N38" s="8"/>
      <c r="O38" s="9" t="str">
        <f>IFERROR(HYPERLINK("#Main!A"&amp;MATCH(A38,Main!A:A,0),"Open"),HYPERLINK("#Main!A1","Open"))</f>
        <v>Open</v>
      </c>
      <c r="P38" s="9" t="str">
        <f>IFERROR(HYPERLINK("#Technical!A"&amp;MATCH(A38,Technical!A:A,0),"Open"),HYPERLINK("#Technical!A1","Open"))</f>
        <v>Open</v>
      </c>
      <c r="Q38" s="9"/>
    </row>
    <row r="39" spans="1:17" ht="30" customHeight="1" x14ac:dyDescent="0.25">
      <c r="A39" s="58" t="s">
        <v>512</v>
      </c>
      <c r="B39" s="11">
        <v>61</v>
      </c>
      <c r="C39" s="61" t="s">
        <v>67</v>
      </c>
      <c r="D39" s="66">
        <v>59</v>
      </c>
      <c r="E39" s="11">
        <v>0</v>
      </c>
      <c r="F39" s="11">
        <v>2</v>
      </c>
      <c r="G39" s="11" t="s">
        <v>94</v>
      </c>
      <c r="H39" s="11" t="s">
        <v>97</v>
      </c>
      <c r="I39" s="60" t="s">
        <v>98</v>
      </c>
      <c r="J39" s="49" t="s">
        <v>2</v>
      </c>
      <c r="K39" s="11"/>
      <c r="L39" s="6" t="s">
        <v>918</v>
      </c>
      <c r="M39" s="6">
        <v>0</v>
      </c>
      <c r="N39" s="11"/>
      <c r="O39" t="str">
        <f>IFERROR(HYPERLINK("#Main!A"&amp;MATCH(A39,Main!A:A,0),"Open"),HYPERLINK("#Main!A1","Open"))</f>
        <v>Open</v>
      </c>
      <c r="P39" t="str">
        <f>IFERROR(HYPERLINK("#Technical!A"&amp;MATCH(A39,Technical!A:A,0),"Open"),HYPERLINK("#Technical!A1","Open"))</f>
        <v>Open</v>
      </c>
    </row>
    <row r="40" spans="1:17" ht="30" customHeight="1" x14ac:dyDescent="0.25">
      <c r="A40" s="59" t="s">
        <v>582</v>
      </c>
      <c r="B40" s="8">
        <v>61</v>
      </c>
      <c r="C40" s="61" t="s">
        <v>67</v>
      </c>
      <c r="D40" s="66">
        <v>59</v>
      </c>
      <c r="E40" s="8">
        <v>0</v>
      </c>
      <c r="F40" s="8">
        <v>2</v>
      </c>
      <c r="G40" s="8" t="s">
        <v>94</v>
      </c>
      <c r="H40" s="8" t="s">
        <v>97</v>
      </c>
      <c r="I40" s="60" t="s">
        <v>98</v>
      </c>
      <c r="J40" s="49" t="s">
        <v>2</v>
      </c>
      <c r="K40" s="8"/>
      <c r="L40" s="6" t="s">
        <v>918</v>
      </c>
      <c r="M40" s="6">
        <v>0</v>
      </c>
      <c r="N40" s="8"/>
      <c r="O40" s="9" t="str">
        <f>IFERROR(HYPERLINK("#Main!A"&amp;MATCH(A40,Main!A:A,0),"Open"),HYPERLINK("#Main!A1","Open"))</f>
        <v>Open</v>
      </c>
      <c r="P40" s="9" t="str">
        <f>IFERROR(HYPERLINK("#Technical!A"&amp;MATCH(A40,Technical!A:A,0),"Open"),HYPERLINK("#Technical!A1","Open"))</f>
        <v>Open</v>
      </c>
      <c r="Q40" s="9"/>
    </row>
    <row r="41" spans="1:17" ht="30" customHeight="1" x14ac:dyDescent="0.25">
      <c r="A41" s="58" t="s">
        <v>156</v>
      </c>
      <c r="B41" s="11">
        <v>61</v>
      </c>
      <c r="C41" s="61" t="s">
        <v>67</v>
      </c>
      <c r="D41" s="66">
        <v>59</v>
      </c>
      <c r="E41" s="11">
        <v>0</v>
      </c>
      <c r="F41" s="11">
        <v>2</v>
      </c>
      <c r="G41" s="11" t="s">
        <v>94</v>
      </c>
      <c r="H41" s="11" t="s">
        <v>97</v>
      </c>
      <c r="I41" s="60" t="s">
        <v>98</v>
      </c>
      <c r="J41" s="49" t="s">
        <v>2</v>
      </c>
      <c r="K41" s="11"/>
      <c r="L41" s="6" t="s">
        <v>918</v>
      </c>
      <c r="M41" s="6">
        <v>0</v>
      </c>
      <c r="N41" s="11"/>
      <c r="O41" t="str">
        <f>IFERROR(HYPERLINK("#Main!A"&amp;MATCH(A41,Main!A:A,0),"Open"),HYPERLINK("#Main!A1","Open"))</f>
        <v>Open</v>
      </c>
      <c r="P41" t="str">
        <f>IFERROR(HYPERLINK("#Technical!A"&amp;MATCH(A41,Technical!A:A,0),"Open"),HYPERLINK("#Technical!A1","Open"))</f>
        <v>Open</v>
      </c>
    </row>
    <row r="42" spans="1:17" ht="30" customHeight="1" x14ac:dyDescent="0.25">
      <c r="A42" s="59" t="s">
        <v>497</v>
      </c>
      <c r="B42" s="8">
        <v>61</v>
      </c>
      <c r="C42" s="61" t="s">
        <v>67</v>
      </c>
      <c r="D42" s="66">
        <v>59</v>
      </c>
      <c r="E42" s="8">
        <v>0</v>
      </c>
      <c r="F42" s="8">
        <v>2</v>
      </c>
      <c r="G42" s="8" t="s">
        <v>94</v>
      </c>
      <c r="H42" s="8" t="s">
        <v>97</v>
      </c>
      <c r="I42" s="60" t="s">
        <v>98</v>
      </c>
      <c r="J42" s="49" t="s">
        <v>2</v>
      </c>
      <c r="K42" s="8"/>
      <c r="L42" s="6" t="s">
        <v>918</v>
      </c>
      <c r="M42" s="6">
        <v>0</v>
      </c>
      <c r="N42" s="8"/>
      <c r="O42" s="9" t="str">
        <f>IFERROR(HYPERLINK("#Main!A"&amp;MATCH(A42,Main!A:A,0),"Open"),HYPERLINK("#Main!A1","Open"))</f>
        <v>Open</v>
      </c>
      <c r="P42" s="9" t="str">
        <f>IFERROR(HYPERLINK("#Technical!A"&amp;MATCH(A42,Technical!A:A,0),"Open"),HYPERLINK("#Technical!A1","Open"))</f>
        <v>Open</v>
      </c>
      <c r="Q42" s="9"/>
    </row>
    <row r="43" spans="1:17" ht="30" customHeight="1" x14ac:dyDescent="0.25">
      <c r="A43" s="58" t="s">
        <v>505</v>
      </c>
      <c r="B43" s="11">
        <v>61</v>
      </c>
      <c r="C43" s="61" t="s">
        <v>67</v>
      </c>
      <c r="D43" s="66">
        <v>59</v>
      </c>
      <c r="E43" s="11">
        <v>0</v>
      </c>
      <c r="F43" s="11">
        <v>2</v>
      </c>
      <c r="G43" s="11" t="s">
        <v>94</v>
      </c>
      <c r="H43" s="11" t="s">
        <v>97</v>
      </c>
      <c r="I43" s="60" t="s">
        <v>98</v>
      </c>
      <c r="J43" s="49" t="s">
        <v>2</v>
      </c>
      <c r="K43" s="11"/>
      <c r="L43" s="6" t="s">
        <v>918</v>
      </c>
      <c r="M43" s="6">
        <v>0</v>
      </c>
      <c r="N43" s="11"/>
      <c r="O43" t="str">
        <f>IFERROR(HYPERLINK("#Main!A"&amp;MATCH(A43,Main!A:A,0),"Open"),HYPERLINK("#Main!A1","Open"))</f>
        <v>Open</v>
      </c>
      <c r="P43" t="str">
        <f>IFERROR(HYPERLINK("#Technical!A"&amp;MATCH(A43,Technical!A:A,0),"Open"),HYPERLINK("#Technical!A1","Open"))</f>
        <v>Open</v>
      </c>
    </row>
    <row r="44" spans="1:17" ht="30" customHeight="1" x14ac:dyDescent="0.25">
      <c r="A44" s="59" t="s">
        <v>690</v>
      </c>
      <c r="B44" s="8">
        <v>61</v>
      </c>
      <c r="C44" s="61" t="s">
        <v>67</v>
      </c>
      <c r="D44" s="66">
        <v>59</v>
      </c>
      <c r="E44" s="8">
        <v>0</v>
      </c>
      <c r="F44" s="8">
        <v>2</v>
      </c>
      <c r="G44" s="8" t="s">
        <v>94</v>
      </c>
      <c r="H44" s="8" t="s">
        <v>97</v>
      </c>
      <c r="I44" s="60" t="s">
        <v>98</v>
      </c>
      <c r="J44" s="49" t="s">
        <v>2</v>
      </c>
      <c r="K44" s="8"/>
      <c r="L44" s="6" t="s">
        <v>918</v>
      </c>
      <c r="M44" s="6">
        <v>0</v>
      </c>
      <c r="N44" s="8"/>
      <c r="O44" s="9" t="str">
        <f>IFERROR(HYPERLINK("#Main!A"&amp;MATCH(A44,Main!A:A,0),"Open"),HYPERLINK("#Main!A1","Open"))</f>
        <v>Open</v>
      </c>
      <c r="P44" s="9" t="str">
        <f>IFERROR(HYPERLINK("#Technical!A"&amp;MATCH(A44,Technical!A:A,0),"Open"),HYPERLINK("#Technical!A1","Open"))</f>
        <v>Open</v>
      </c>
      <c r="Q44" s="9"/>
    </row>
    <row r="45" spans="1:17" ht="30" customHeight="1" x14ac:dyDescent="0.25">
      <c r="A45" s="58" t="s">
        <v>274</v>
      </c>
      <c r="B45" s="11">
        <v>61</v>
      </c>
      <c r="C45" s="61" t="s">
        <v>67</v>
      </c>
      <c r="D45" s="66">
        <v>59</v>
      </c>
      <c r="E45" s="11">
        <v>0</v>
      </c>
      <c r="F45" s="11">
        <v>2</v>
      </c>
      <c r="G45" s="11" t="s">
        <v>94</v>
      </c>
      <c r="H45" s="11" t="s">
        <v>97</v>
      </c>
      <c r="I45" s="60" t="s">
        <v>98</v>
      </c>
      <c r="J45" s="49" t="s">
        <v>2</v>
      </c>
      <c r="K45" s="11"/>
      <c r="L45" s="6" t="s">
        <v>918</v>
      </c>
      <c r="M45" s="6">
        <v>0</v>
      </c>
      <c r="N45" s="11"/>
      <c r="O45" t="str">
        <f>IFERROR(HYPERLINK("#Main!A"&amp;MATCH(A45,Main!A:A,0),"Open"),HYPERLINK("#Main!A1","Open"))</f>
        <v>Open</v>
      </c>
      <c r="P45" t="str">
        <f>IFERROR(HYPERLINK("#Technical!A"&amp;MATCH(A45,Technical!A:A,0),"Open"),HYPERLINK("#Technical!A1","Open"))</f>
        <v>Open</v>
      </c>
    </row>
    <row r="46" spans="1:17" ht="30" customHeight="1" x14ac:dyDescent="0.25">
      <c r="A46" s="59" t="s">
        <v>298</v>
      </c>
      <c r="B46" s="8">
        <v>61</v>
      </c>
      <c r="C46" s="61" t="s">
        <v>67</v>
      </c>
      <c r="D46" s="66">
        <v>59</v>
      </c>
      <c r="E46" s="8">
        <v>0</v>
      </c>
      <c r="F46" s="8">
        <v>2</v>
      </c>
      <c r="G46" s="8" t="s">
        <v>94</v>
      </c>
      <c r="H46" s="8" t="s">
        <v>97</v>
      </c>
      <c r="I46" s="60" t="s">
        <v>98</v>
      </c>
      <c r="J46" s="49" t="s">
        <v>2</v>
      </c>
      <c r="K46" s="8"/>
      <c r="L46" s="6" t="s">
        <v>918</v>
      </c>
      <c r="M46" s="6">
        <v>0</v>
      </c>
      <c r="N46" s="8"/>
      <c r="O46" s="9" t="str">
        <f>IFERROR(HYPERLINK("#Main!A"&amp;MATCH(A46,Main!A:A,0),"Open"),HYPERLINK("#Main!A1","Open"))</f>
        <v>Open</v>
      </c>
      <c r="P46" s="9" t="str">
        <f>IFERROR(HYPERLINK("#Technical!A"&amp;MATCH(A46,Technical!A:A,0),"Open"),HYPERLINK("#Technical!A1","Open"))</f>
        <v>Open</v>
      </c>
      <c r="Q46" s="9"/>
    </row>
    <row r="47" spans="1:17" ht="30" customHeight="1" x14ac:dyDescent="0.25">
      <c r="A47" s="58" t="s">
        <v>164</v>
      </c>
      <c r="B47" s="11">
        <v>61</v>
      </c>
      <c r="C47" s="61" t="s">
        <v>67</v>
      </c>
      <c r="D47" s="66">
        <v>59</v>
      </c>
      <c r="E47" s="11">
        <v>0</v>
      </c>
      <c r="F47" s="11">
        <v>2</v>
      </c>
      <c r="G47" s="11" t="s">
        <v>94</v>
      </c>
      <c r="H47" s="11" t="s">
        <v>97</v>
      </c>
      <c r="I47" s="60" t="s">
        <v>98</v>
      </c>
      <c r="J47" s="49" t="s">
        <v>2</v>
      </c>
      <c r="K47" s="11"/>
      <c r="L47" s="6" t="s">
        <v>918</v>
      </c>
      <c r="M47" s="6">
        <v>0</v>
      </c>
      <c r="N47" s="11"/>
      <c r="O47" t="str">
        <f>IFERROR(HYPERLINK("#Main!A"&amp;MATCH(A47,Main!A:A,0),"Open"),HYPERLINK("#Main!A1","Open"))</f>
        <v>Open</v>
      </c>
      <c r="P47" t="str">
        <f>IFERROR(HYPERLINK("#Technical!A"&amp;MATCH(A47,Technical!A:A,0),"Open"),HYPERLINK("#Technical!A1","Open"))</f>
        <v>Open</v>
      </c>
    </row>
    <row r="48" spans="1:17" ht="30" customHeight="1" x14ac:dyDescent="0.25">
      <c r="A48" s="59" t="s">
        <v>712</v>
      </c>
      <c r="B48" s="8">
        <v>61</v>
      </c>
      <c r="C48" s="61" t="s">
        <v>67</v>
      </c>
      <c r="D48" s="66">
        <v>59</v>
      </c>
      <c r="E48" s="8">
        <v>0</v>
      </c>
      <c r="F48" s="8">
        <v>2</v>
      </c>
      <c r="G48" s="8" t="s">
        <v>94</v>
      </c>
      <c r="H48" s="8" t="s">
        <v>97</v>
      </c>
      <c r="I48" s="60" t="s">
        <v>98</v>
      </c>
      <c r="J48" s="49" t="s">
        <v>2</v>
      </c>
      <c r="K48" s="8"/>
      <c r="L48" s="6" t="s">
        <v>918</v>
      </c>
      <c r="M48" s="6">
        <v>0</v>
      </c>
      <c r="N48" s="8"/>
      <c r="O48" s="9" t="str">
        <f>IFERROR(HYPERLINK("#Main!A"&amp;MATCH(A48,Main!A:A,0),"Open"),HYPERLINK("#Main!A1","Open"))</f>
        <v>Open</v>
      </c>
      <c r="P48" s="9" t="str">
        <f>IFERROR(HYPERLINK("#Technical!A"&amp;MATCH(A48,Technical!A:A,0),"Open"),HYPERLINK("#Technical!A1","Open"))</f>
        <v>Open</v>
      </c>
      <c r="Q48" s="9"/>
    </row>
    <row r="49" spans="1:17" ht="30" customHeight="1" x14ac:dyDescent="0.25">
      <c r="A49" s="58" t="s">
        <v>465</v>
      </c>
      <c r="B49" s="11">
        <v>61</v>
      </c>
      <c r="C49" s="61" t="s">
        <v>67</v>
      </c>
      <c r="D49" s="66">
        <v>59</v>
      </c>
      <c r="E49" s="11">
        <v>0</v>
      </c>
      <c r="F49" s="11">
        <v>2</v>
      </c>
      <c r="G49" s="11" t="s">
        <v>94</v>
      </c>
      <c r="H49" s="11" t="s">
        <v>97</v>
      </c>
      <c r="I49" s="60" t="s">
        <v>98</v>
      </c>
      <c r="J49" s="49" t="s">
        <v>2</v>
      </c>
      <c r="K49" s="11"/>
      <c r="L49" s="6" t="s">
        <v>918</v>
      </c>
      <c r="M49" s="6">
        <v>0</v>
      </c>
      <c r="N49" s="11"/>
      <c r="O49" t="str">
        <f>IFERROR(HYPERLINK("#Main!A"&amp;MATCH(A49,Main!A:A,0),"Open"),HYPERLINK("#Main!A1","Open"))</f>
        <v>Open</v>
      </c>
      <c r="P49" t="str">
        <f>IFERROR(HYPERLINK("#Technical!A"&amp;MATCH(A49,Technical!A:A,0),"Open"),HYPERLINK("#Technical!A1","Open"))</f>
        <v>Open</v>
      </c>
    </row>
    <row r="50" spans="1:17" ht="30" customHeight="1" x14ac:dyDescent="0.25">
      <c r="A50" s="59" t="s">
        <v>330</v>
      </c>
      <c r="B50" s="8">
        <v>61</v>
      </c>
      <c r="C50" s="61" t="s">
        <v>67</v>
      </c>
      <c r="D50" s="66">
        <v>59</v>
      </c>
      <c r="E50" s="8">
        <v>0</v>
      </c>
      <c r="F50" s="8">
        <v>2</v>
      </c>
      <c r="G50" s="8" t="s">
        <v>94</v>
      </c>
      <c r="H50" s="8" t="s">
        <v>97</v>
      </c>
      <c r="I50" s="60" t="s">
        <v>98</v>
      </c>
      <c r="J50" s="49" t="s">
        <v>2</v>
      </c>
      <c r="K50" s="8"/>
      <c r="L50" s="6" t="s">
        <v>918</v>
      </c>
      <c r="M50" s="6">
        <v>0</v>
      </c>
      <c r="N50" s="8"/>
      <c r="O50" s="9" t="str">
        <f>IFERROR(HYPERLINK("#Main!A"&amp;MATCH(A50,Main!A:A,0),"Open"),HYPERLINK("#Main!A1","Open"))</f>
        <v>Open</v>
      </c>
      <c r="P50" s="9" t="str">
        <f>IFERROR(HYPERLINK("#Technical!A"&amp;MATCH(A50,Technical!A:A,0),"Open"),HYPERLINK("#Technical!A1","Open"))</f>
        <v>Open</v>
      </c>
      <c r="Q50" s="9"/>
    </row>
    <row r="51" spans="1:17" ht="30" customHeight="1" x14ac:dyDescent="0.25">
      <c r="A51" s="58" t="s">
        <v>782</v>
      </c>
      <c r="B51" s="11">
        <v>61</v>
      </c>
      <c r="C51" s="61" t="s">
        <v>67</v>
      </c>
      <c r="D51" s="66">
        <v>59</v>
      </c>
      <c r="E51" s="11">
        <v>0</v>
      </c>
      <c r="F51" s="11">
        <v>2</v>
      </c>
      <c r="G51" s="11" t="s">
        <v>94</v>
      </c>
      <c r="H51" s="11" t="s">
        <v>97</v>
      </c>
      <c r="I51" s="60" t="s">
        <v>98</v>
      </c>
      <c r="J51" s="49" t="s">
        <v>2</v>
      </c>
      <c r="K51" s="11"/>
      <c r="L51" s="6" t="s">
        <v>918</v>
      </c>
      <c r="M51" s="6">
        <v>0</v>
      </c>
      <c r="N51" s="11"/>
      <c r="O51" t="str">
        <f>IFERROR(HYPERLINK("#Main!A"&amp;MATCH(A51,Main!A:A,0),"Open"),HYPERLINK("#Main!A1","Open"))</f>
        <v>Open</v>
      </c>
      <c r="P51" t="str">
        <f>IFERROR(HYPERLINK("#Technical!A"&amp;MATCH(A51,Technical!A:A,0),"Open"),HYPERLINK("#Technical!A1","Open"))</f>
        <v>Open</v>
      </c>
    </row>
    <row r="52" spans="1:17" ht="30" customHeight="1" x14ac:dyDescent="0.25">
      <c r="A52" s="59" t="s">
        <v>180</v>
      </c>
      <c r="B52" s="8">
        <v>61</v>
      </c>
      <c r="C52" s="61" t="s">
        <v>67</v>
      </c>
      <c r="D52" s="66">
        <v>59</v>
      </c>
      <c r="E52" s="8">
        <v>0</v>
      </c>
      <c r="F52" s="8">
        <v>2</v>
      </c>
      <c r="G52" s="8" t="s">
        <v>94</v>
      </c>
      <c r="H52" s="8" t="s">
        <v>97</v>
      </c>
      <c r="I52" s="60" t="s">
        <v>98</v>
      </c>
      <c r="J52" s="49" t="s">
        <v>2</v>
      </c>
      <c r="K52" s="8"/>
      <c r="L52" s="6" t="s">
        <v>918</v>
      </c>
      <c r="M52" s="6">
        <v>0</v>
      </c>
      <c r="N52" s="8"/>
      <c r="O52" s="9" t="str">
        <f>IFERROR(HYPERLINK("#Main!A"&amp;MATCH(A52,Main!A:A,0),"Open"),HYPERLINK("#Main!A1","Open"))</f>
        <v>Open</v>
      </c>
      <c r="P52" s="9" t="str">
        <f>IFERROR(HYPERLINK("#Technical!A"&amp;MATCH(A52,Technical!A:A,0),"Open"),HYPERLINK("#Technical!A1","Open"))</f>
        <v>Open</v>
      </c>
      <c r="Q52" s="9"/>
    </row>
    <row r="53" spans="1:17" ht="30" customHeight="1" x14ac:dyDescent="0.25">
      <c r="A53" s="58" t="s">
        <v>666</v>
      </c>
      <c r="B53" s="11">
        <v>61</v>
      </c>
      <c r="C53" s="61" t="s">
        <v>67</v>
      </c>
      <c r="D53" s="66">
        <v>59</v>
      </c>
      <c r="E53" s="11">
        <v>0</v>
      </c>
      <c r="F53" s="11">
        <v>2</v>
      </c>
      <c r="G53" s="11" t="s">
        <v>94</v>
      </c>
      <c r="H53" s="11" t="s">
        <v>97</v>
      </c>
      <c r="I53" s="60" t="s">
        <v>98</v>
      </c>
      <c r="J53" s="49" t="s">
        <v>2</v>
      </c>
      <c r="K53" s="11"/>
      <c r="L53" s="6" t="s">
        <v>918</v>
      </c>
      <c r="M53" s="6">
        <v>0</v>
      </c>
      <c r="N53" s="11"/>
      <c r="O53" t="str">
        <f>IFERROR(HYPERLINK("#Main!A"&amp;MATCH(A53,Main!A:A,0),"Open"),HYPERLINK("#Main!A1","Open"))</f>
        <v>Open</v>
      </c>
      <c r="P53" t="str">
        <f>IFERROR(HYPERLINK("#Technical!A"&amp;MATCH(A53,Technical!A:A,0),"Open"),HYPERLINK("#Technical!A1","Open"))</f>
        <v>Open</v>
      </c>
    </row>
    <row r="54" spans="1:17" ht="30" customHeight="1" x14ac:dyDescent="0.25">
      <c r="A54" s="59" t="s">
        <v>682</v>
      </c>
      <c r="B54" s="8">
        <v>44</v>
      </c>
      <c r="C54" s="61" t="s">
        <v>67</v>
      </c>
      <c r="D54" s="66">
        <v>66</v>
      </c>
      <c r="E54" s="8">
        <v>0</v>
      </c>
      <c r="F54" s="8">
        <v>1</v>
      </c>
      <c r="G54" s="8" t="s">
        <v>94</v>
      </c>
      <c r="H54" s="8" t="s">
        <v>97</v>
      </c>
      <c r="I54" s="60" t="s">
        <v>98</v>
      </c>
      <c r="J54" s="49" t="s">
        <v>2</v>
      </c>
      <c r="K54" s="8"/>
      <c r="L54" s="6" t="s">
        <v>918</v>
      </c>
      <c r="M54" s="6">
        <v>0</v>
      </c>
      <c r="N54" s="8"/>
      <c r="O54" s="9" t="str">
        <f>IFERROR(HYPERLINK("#Main!A"&amp;MATCH(A54,Main!A:A,0),"Open"),HYPERLINK("#Main!A1","Open"))</f>
        <v>Open</v>
      </c>
      <c r="P54" s="9" t="str">
        <f>IFERROR(HYPERLINK("#Technical!A"&amp;MATCH(A54,Technical!A:A,0),"Open"),HYPERLINK("#Technical!A1","Open"))</f>
        <v>Open</v>
      </c>
      <c r="Q54" s="9"/>
    </row>
    <row r="55" spans="1:17" ht="30" customHeight="1" x14ac:dyDescent="0.25">
      <c r="A55" s="58" t="s">
        <v>642</v>
      </c>
      <c r="B55" s="11">
        <v>44</v>
      </c>
      <c r="C55" s="61" t="s">
        <v>67</v>
      </c>
      <c r="D55" s="66">
        <v>66</v>
      </c>
      <c r="E55" s="11">
        <v>0</v>
      </c>
      <c r="F55" s="11">
        <v>1</v>
      </c>
      <c r="G55" s="11" t="s">
        <v>94</v>
      </c>
      <c r="H55" s="11" t="s">
        <v>97</v>
      </c>
      <c r="I55" s="60" t="s">
        <v>98</v>
      </c>
      <c r="J55" s="49" t="s">
        <v>2</v>
      </c>
      <c r="K55" s="11"/>
      <c r="L55" s="6" t="s">
        <v>918</v>
      </c>
      <c r="M55" s="6">
        <v>0</v>
      </c>
      <c r="N55" s="11"/>
      <c r="O55" t="str">
        <f>IFERROR(HYPERLINK("#Main!A"&amp;MATCH(A55,Main!A:A,0),"Open"),HYPERLINK("#Main!A1","Open"))</f>
        <v>Open</v>
      </c>
      <c r="P55" t="str">
        <f>IFERROR(HYPERLINK("#Technical!A"&amp;MATCH(A55,Technical!A:A,0),"Open"),HYPERLINK("#Technical!A1","Open"))</f>
        <v>Open</v>
      </c>
    </row>
    <row r="56" spans="1:17" ht="30" customHeight="1" x14ac:dyDescent="0.25">
      <c r="A56" s="59" t="s">
        <v>322</v>
      </c>
      <c r="B56" s="8">
        <v>44</v>
      </c>
      <c r="C56" s="61" t="s">
        <v>67</v>
      </c>
      <c r="D56" s="66">
        <v>66</v>
      </c>
      <c r="E56" s="8">
        <v>0</v>
      </c>
      <c r="F56" s="8">
        <v>1</v>
      </c>
      <c r="G56" s="8" t="s">
        <v>94</v>
      </c>
      <c r="H56" s="8" t="s">
        <v>97</v>
      </c>
      <c r="I56" s="60" t="s">
        <v>98</v>
      </c>
      <c r="J56" s="49" t="s">
        <v>2</v>
      </c>
      <c r="K56" s="8"/>
      <c r="L56" s="6" t="s">
        <v>918</v>
      </c>
      <c r="M56" s="6">
        <v>0</v>
      </c>
      <c r="N56" s="8"/>
      <c r="O56" s="9" t="str">
        <f>IFERROR(HYPERLINK("#Main!A"&amp;MATCH(A56,Main!A:A,0),"Open"),HYPERLINK("#Main!A1","Open"))</f>
        <v>Open</v>
      </c>
      <c r="P56" s="9" t="str">
        <f>IFERROR(HYPERLINK("#Technical!A"&amp;MATCH(A56,Technical!A:A,0),"Open"),HYPERLINK("#Technical!A1","Open"))</f>
        <v>Open</v>
      </c>
      <c r="Q56" s="9"/>
    </row>
    <row r="57" spans="1:17" ht="30" customHeight="1" x14ac:dyDescent="0.25">
      <c r="A57" s="58" t="s">
        <v>658</v>
      </c>
      <c r="B57" s="11">
        <v>44</v>
      </c>
      <c r="C57" s="61" t="s">
        <v>67</v>
      </c>
      <c r="D57" s="66">
        <v>66</v>
      </c>
      <c r="E57" s="11">
        <v>0</v>
      </c>
      <c r="F57" s="11">
        <v>1</v>
      </c>
      <c r="G57" s="11" t="s">
        <v>94</v>
      </c>
      <c r="H57" s="11" t="s">
        <v>97</v>
      </c>
      <c r="I57" s="60" t="s">
        <v>98</v>
      </c>
      <c r="J57" s="49" t="s">
        <v>2</v>
      </c>
      <c r="K57" s="11"/>
      <c r="L57" s="6" t="s">
        <v>918</v>
      </c>
      <c r="M57" s="6">
        <v>0</v>
      </c>
      <c r="N57" s="11"/>
      <c r="O57" t="str">
        <f>IFERROR(HYPERLINK("#Main!A"&amp;MATCH(A57,Main!A:A,0),"Open"),HYPERLINK("#Main!A1","Open"))</f>
        <v>Open</v>
      </c>
      <c r="P57" t="str">
        <f>IFERROR(HYPERLINK("#Technical!A"&amp;MATCH(A57,Technical!A:A,0),"Open"),HYPERLINK("#Technical!A1","Open"))</f>
        <v>Open</v>
      </c>
    </row>
    <row r="58" spans="1:17" ht="30" customHeight="1" x14ac:dyDescent="0.25">
      <c r="A58" s="59" t="s">
        <v>148</v>
      </c>
      <c r="B58" s="8">
        <v>44</v>
      </c>
      <c r="C58" s="61" t="s">
        <v>67</v>
      </c>
      <c r="D58" s="66">
        <v>66</v>
      </c>
      <c r="E58" s="8">
        <v>0</v>
      </c>
      <c r="F58" s="8">
        <v>1</v>
      </c>
      <c r="G58" s="8" t="s">
        <v>94</v>
      </c>
      <c r="H58" s="8" t="s">
        <v>97</v>
      </c>
      <c r="I58" s="60" t="s">
        <v>98</v>
      </c>
      <c r="J58" s="49" t="s">
        <v>2</v>
      </c>
      <c r="K58" s="8"/>
      <c r="L58" s="6" t="s">
        <v>918</v>
      </c>
      <c r="M58" s="6">
        <v>0</v>
      </c>
      <c r="N58" s="8"/>
      <c r="O58" s="9" t="str">
        <f>IFERROR(HYPERLINK("#Main!A"&amp;MATCH(A58,Main!A:A,0),"Open"),HYPERLINK("#Main!A1","Open"))</f>
        <v>Open</v>
      </c>
      <c r="P58" s="9" t="str">
        <f>IFERROR(HYPERLINK("#Technical!A"&amp;MATCH(A58,Technical!A:A,0),"Open"),HYPERLINK("#Technical!A1","Open"))</f>
        <v>Open</v>
      </c>
      <c r="Q58" s="9"/>
    </row>
    <row r="59" spans="1:17" ht="30" customHeight="1" x14ac:dyDescent="0.25">
      <c r="A59" s="58" t="s">
        <v>242</v>
      </c>
      <c r="B59" s="11">
        <v>44</v>
      </c>
      <c r="C59" s="61" t="s">
        <v>67</v>
      </c>
      <c r="D59" s="66">
        <v>66</v>
      </c>
      <c r="E59" s="11">
        <v>0</v>
      </c>
      <c r="F59" s="11">
        <v>1</v>
      </c>
      <c r="G59" s="11" t="s">
        <v>94</v>
      </c>
      <c r="H59" s="11" t="s">
        <v>97</v>
      </c>
      <c r="I59" s="60" t="s">
        <v>98</v>
      </c>
      <c r="J59" s="49" t="s">
        <v>2</v>
      </c>
      <c r="K59" s="11"/>
      <c r="L59" s="6" t="s">
        <v>918</v>
      </c>
      <c r="M59" s="6">
        <v>0</v>
      </c>
      <c r="N59" s="11"/>
      <c r="O59" t="str">
        <f>IFERROR(HYPERLINK("#Main!A"&amp;MATCH(A59,Main!A:A,0),"Open"),HYPERLINK("#Main!A1","Open"))</f>
        <v>Open</v>
      </c>
      <c r="P59" t="str">
        <f>IFERROR(HYPERLINK("#Technical!A"&amp;MATCH(A59,Technical!A:A,0),"Open"),HYPERLINK("#Technical!A1","Open"))</f>
        <v>Open</v>
      </c>
    </row>
    <row r="60" spans="1:17" ht="45" customHeight="1" x14ac:dyDescent="0.25">
      <c r="A60" s="59" t="s">
        <v>377</v>
      </c>
      <c r="B60" s="8">
        <v>44</v>
      </c>
      <c r="C60" s="61" t="s">
        <v>67</v>
      </c>
      <c r="D60" s="66">
        <v>66</v>
      </c>
      <c r="E60" s="8">
        <v>0</v>
      </c>
      <c r="F60" s="8">
        <v>1</v>
      </c>
      <c r="G60" s="8" t="s">
        <v>94</v>
      </c>
      <c r="H60" s="8" t="s">
        <v>97</v>
      </c>
      <c r="I60" s="60" t="s">
        <v>98</v>
      </c>
      <c r="J60" s="49" t="s">
        <v>2</v>
      </c>
      <c r="K60" s="8"/>
      <c r="L60" s="6" t="s">
        <v>918</v>
      </c>
      <c r="M60" s="6">
        <v>0</v>
      </c>
      <c r="N60" s="8"/>
      <c r="O60" s="9" t="str">
        <f>IFERROR(HYPERLINK("#Main!A"&amp;MATCH(A60,Main!A:A,0),"Open"),HYPERLINK("#Main!A1","Open"))</f>
        <v>Open</v>
      </c>
      <c r="P60" s="9" t="str">
        <f>IFERROR(HYPERLINK("#Technical!A"&amp;MATCH(A60,Technical!A:A,0),"Open"),HYPERLINK("#Technical!A1","Open"))</f>
        <v>Open</v>
      </c>
      <c r="Q60" s="9"/>
    </row>
    <row r="61" spans="1:17" ht="30" customHeight="1" x14ac:dyDescent="0.25">
      <c r="A61" s="58" t="s">
        <v>535</v>
      </c>
      <c r="B61" s="11">
        <v>44</v>
      </c>
      <c r="C61" s="61" t="s">
        <v>67</v>
      </c>
      <c r="D61" s="66">
        <v>66</v>
      </c>
      <c r="E61" s="11">
        <v>0</v>
      </c>
      <c r="F61" s="11">
        <v>1</v>
      </c>
      <c r="G61" s="11" t="s">
        <v>94</v>
      </c>
      <c r="H61" s="11" t="s">
        <v>97</v>
      </c>
      <c r="I61" s="60" t="s">
        <v>98</v>
      </c>
      <c r="J61" s="49" t="s">
        <v>2</v>
      </c>
      <c r="K61" s="11"/>
      <c r="L61" s="6" t="s">
        <v>918</v>
      </c>
      <c r="M61" s="6">
        <v>0</v>
      </c>
      <c r="N61" s="11"/>
      <c r="O61" t="str">
        <f>IFERROR(HYPERLINK("#Main!A"&amp;MATCH(A61,Main!A:A,0),"Open"),HYPERLINK("#Main!A1","Open"))</f>
        <v>Open</v>
      </c>
      <c r="P61" t="str">
        <f>IFERROR(HYPERLINK("#Technical!A"&amp;MATCH(A61,Technical!A:A,0),"Open"),HYPERLINK("#Technical!A1","Open"))</f>
        <v>Open</v>
      </c>
    </row>
    <row r="62" spans="1:17" ht="30" customHeight="1" x14ac:dyDescent="0.25">
      <c r="A62" s="59" t="s">
        <v>527</v>
      </c>
      <c r="B62" s="8">
        <v>44</v>
      </c>
      <c r="C62" s="61" t="s">
        <v>67</v>
      </c>
      <c r="D62" s="66">
        <v>66</v>
      </c>
      <c r="E62" s="8">
        <v>0</v>
      </c>
      <c r="F62" s="8">
        <v>1</v>
      </c>
      <c r="G62" s="8" t="s">
        <v>94</v>
      </c>
      <c r="H62" s="8" t="s">
        <v>97</v>
      </c>
      <c r="I62" s="60" t="s">
        <v>98</v>
      </c>
      <c r="J62" s="49" t="s">
        <v>2</v>
      </c>
      <c r="K62" s="8"/>
      <c r="L62" s="6" t="s">
        <v>918</v>
      </c>
      <c r="M62" s="6">
        <v>0</v>
      </c>
      <c r="N62" s="8"/>
      <c r="O62" s="9" t="str">
        <f>IFERROR(HYPERLINK("#Main!A"&amp;MATCH(A62,Main!A:A,0),"Open"),HYPERLINK("#Main!A1","Open"))</f>
        <v>Open</v>
      </c>
      <c r="P62" s="9" t="str">
        <f>IFERROR(HYPERLINK("#Technical!A"&amp;MATCH(A62,Technical!A:A,0),"Open"),HYPERLINK("#Technical!A1","Open"))</f>
        <v>Open</v>
      </c>
      <c r="Q62" s="9"/>
    </row>
    <row r="63" spans="1:17" ht="30" customHeight="1" x14ac:dyDescent="0.25">
      <c r="A63" s="58" t="s">
        <v>282</v>
      </c>
      <c r="B63" s="11">
        <v>44</v>
      </c>
      <c r="C63" s="61" t="s">
        <v>67</v>
      </c>
      <c r="D63" s="66">
        <v>66</v>
      </c>
      <c r="E63" s="11">
        <v>0</v>
      </c>
      <c r="F63" s="11">
        <v>1</v>
      </c>
      <c r="G63" s="11" t="s">
        <v>94</v>
      </c>
      <c r="H63" s="11" t="s">
        <v>97</v>
      </c>
      <c r="I63" s="60" t="s">
        <v>98</v>
      </c>
      <c r="J63" s="49" t="s">
        <v>2</v>
      </c>
      <c r="K63" s="11"/>
      <c r="L63" s="6" t="s">
        <v>918</v>
      </c>
      <c r="M63" s="6">
        <v>0</v>
      </c>
      <c r="N63" s="11"/>
      <c r="O63" t="str">
        <f>IFERROR(HYPERLINK("#Main!A"&amp;MATCH(A63,Main!A:A,0),"Open"),HYPERLINK("#Main!A1","Open"))</f>
        <v>Open</v>
      </c>
      <c r="P63" t="str">
        <f>IFERROR(HYPERLINK("#Technical!A"&amp;MATCH(A63,Technical!A:A,0),"Open"),HYPERLINK("#Technical!A1","Open"))</f>
        <v>Open</v>
      </c>
    </row>
    <row r="64" spans="1:17" ht="30" customHeight="1" x14ac:dyDescent="0.25">
      <c r="A64" s="59" t="s">
        <v>250</v>
      </c>
      <c r="B64" s="8">
        <v>44</v>
      </c>
      <c r="C64" s="61" t="s">
        <v>67</v>
      </c>
      <c r="D64" s="66">
        <v>66</v>
      </c>
      <c r="E64" s="8">
        <v>0</v>
      </c>
      <c r="F64" s="8">
        <v>1</v>
      </c>
      <c r="G64" s="8" t="s">
        <v>94</v>
      </c>
      <c r="H64" s="8" t="s">
        <v>97</v>
      </c>
      <c r="I64" s="60" t="s">
        <v>98</v>
      </c>
      <c r="J64" s="49" t="s">
        <v>2</v>
      </c>
      <c r="K64" s="8"/>
      <c r="L64" s="6" t="s">
        <v>918</v>
      </c>
      <c r="M64" s="6">
        <v>0</v>
      </c>
      <c r="N64" s="8"/>
      <c r="O64" s="9" t="str">
        <f>IFERROR(HYPERLINK("#Main!A"&amp;MATCH(A64,Main!A:A,0),"Open"),HYPERLINK("#Main!A1","Open"))</f>
        <v>Open</v>
      </c>
      <c r="P64" s="9" t="str">
        <f>IFERROR(HYPERLINK("#Technical!A"&amp;MATCH(A64,Technical!A:A,0),"Open"),HYPERLINK("#Technical!A1","Open"))</f>
        <v>Open</v>
      </c>
      <c r="Q64" s="9"/>
    </row>
    <row r="65" spans="1:17" ht="30" customHeight="1" x14ac:dyDescent="0.25">
      <c r="A65" s="58" t="s">
        <v>226</v>
      </c>
      <c r="B65" s="11">
        <v>44</v>
      </c>
      <c r="C65" s="61" t="s">
        <v>67</v>
      </c>
      <c r="D65" s="66">
        <v>66</v>
      </c>
      <c r="E65" s="11">
        <v>0</v>
      </c>
      <c r="F65" s="11">
        <v>1</v>
      </c>
      <c r="G65" s="11" t="s">
        <v>94</v>
      </c>
      <c r="H65" s="11" t="s">
        <v>97</v>
      </c>
      <c r="I65" s="60" t="s">
        <v>98</v>
      </c>
      <c r="J65" s="49" t="s">
        <v>2</v>
      </c>
      <c r="K65" s="11"/>
      <c r="L65" s="6" t="s">
        <v>918</v>
      </c>
      <c r="M65" s="6">
        <v>0</v>
      </c>
      <c r="N65" s="11"/>
      <c r="O65" t="str">
        <f>IFERROR(HYPERLINK("#Main!A"&amp;MATCH(A65,Main!A:A,0),"Open"),HYPERLINK("#Main!A1","Open"))</f>
        <v>Open</v>
      </c>
      <c r="P65" t="str">
        <f>IFERROR(HYPERLINK("#Technical!A"&amp;MATCH(A65,Technical!A:A,0),"Open"),HYPERLINK("#Technical!A1","Open"))</f>
        <v>Open</v>
      </c>
    </row>
    <row r="66" spans="1:17" ht="30" customHeight="1" x14ac:dyDescent="0.25">
      <c r="A66" s="59" t="s">
        <v>234</v>
      </c>
      <c r="B66" s="8">
        <v>44</v>
      </c>
      <c r="C66" s="61" t="s">
        <v>67</v>
      </c>
      <c r="D66" s="66">
        <v>66</v>
      </c>
      <c r="E66" s="8">
        <v>0</v>
      </c>
      <c r="F66" s="8">
        <v>1</v>
      </c>
      <c r="G66" s="8" t="s">
        <v>94</v>
      </c>
      <c r="H66" s="8" t="s">
        <v>97</v>
      </c>
      <c r="I66" s="60" t="s">
        <v>98</v>
      </c>
      <c r="J66" s="49" t="s">
        <v>2</v>
      </c>
      <c r="K66" s="8"/>
      <c r="L66" s="6" t="s">
        <v>918</v>
      </c>
      <c r="M66" s="6">
        <v>0</v>
      </c>
      <c r="N66" s="8"/>
      <c r="O66" s="9" t="str">
        <f>IFERROR(HYPERLINK("#Main!A"&amp;MATCH(A66,Main!A:A,0),"Open"),HYPERLINK("#Main!A1","Open"))</f>
        <v>Open</v>
      </c>
      <c r="P66" s="9" t="str">
        <f>IFERROR(HYPERLINK("#Technical!A"&amp;MATCH(A66,Technical!A:A,0),"Open"),HYPERLINK("#Technical!A1","Open"))</f>
        <v>Open</v>
      </c>
      <c r="Q66" s="9"/>
    </row>
    <row r="67" spans="1:17" ht="30" customHeight="1" x14ac:dyDescent="0.25">
      <c r="A67" s="58" t="s">
        <v>551</v>
      </c>
      <c r="B67" s="11">
        <v>41</v>
      </c>
      <c r="C67" s="61" t="s">
        <v>67</v>
      </c>
      <c r="D67" s="66">
        <v>69</v>
      </c>
      <c r="E67" s="11">
        <v>0</v>
      </c>
      <c r="F67" s="11">
        <v>1</v>
      </c>
      <c r="G67" s="11" t="s">
        <v>94</v>
      </c>
      <c r="H67" s="11" t="s">
        <v>97</v>
      </c>
      <c r="I67" s="60" t="s">
        <v>98</v>
      </c>
      <c r="J67" s="49" t="s">
        <v>2</v>
      </c>
      <c r="K67" s="11"/>
      <c r="L67" s="6" t="s">
        <v>918</v>
      </c>
      <c r="M67" s="6">
        <v>0</v>
      </c>
      <c r="N67" s="11"/>
      <c r="O67" t="str">
        <f>IFERROR(HYPERLINK("#Main!A"&amp;MATCH(A67,Main!A:A,0),"Open"),HYPERLINK("#Main!A1","Open"))</f>
        <v>Open</v>
      </c>
      <c r="P67" t="str">
        <f>IFERROR(HYPERLINK("#Technical!A"&amp;MATCH(A67,Technical!A:A,0),"Open"),HYPERLINK("#Technical!A1","Open"))</f>
        <v>Open</v>
      </c>
    </row>
    <row r="68" spans="1:17" ht="30" customHeight="1" x14ac:dyDescent="0.25">
      <c r="A68" s="59" t="s">
        <v>650</v>
      </c>
      <c r="B68" s="8">
        <v>41</v>
      </c>
      <c r="C68" s="61" t="s">
        <v>67</v>
      </c>
      <c r="D68" s="66">
        <v>69</v>
      </c>
      <c r="E68" s="8">
        <v>0</v>
      </c>
      <c r="F68" s="8">
        <v>1</v>
      </c>
      <c r="G68" s="8" t="s">
        <v>94</v>
      </c>
      <c r="H68" s="8" t="s">
        <v>97</v>
      </c>
      <c r="I68" s="60" t="s">
        <v>98</v>
      </c>
      <c r="J68" s="49" t="s">
        <v>2</v>
      </c>
      <c r="K68" s="8"/>
      <c r="L68" s="6" t="s">
        <v>918</v>
      </c>
      <c r="M68" s="6">
        <v>0</v>
      </c>
      <c r="N68" s="8"/>
      <c r="O68" s="9" t="str">
        <f>IFERROR(HYPERLINK("#Main!A"&amp;MATCH(A68,Main!A:A,0),"Open"),HYPERLINK("#Main!A1","Open"))</f>
        <v>Open</v>
      </c>
      <c r="P68" s="9" t="str">
        <f>IFERROR(HYPERLINK("#Technical!A"&amp;MATCH(A68,Technical!A:A,0),"Open"),HYPERLINK("#Technical!A1","Open"))</f>
        <v>Open</v>
      </c>
      <c r="Q68" s="9"/>
    </row>
    <row r="69" spans="1:17" ht="30" customHeight="1" x14ac:dyDescent="0.25">
      <c r="A69" s="58" t="s">
        <v>704</v>
      </c>
      <c r="B69" s="11">
        <v>41</v>
      </c>
      <c r="C69" s="61" t="s">
        <v>67</v>
      </c>
      <c r="D69" s="66">
        <v>69</v>
      </c>
      <c r="E69" s="11">
        <v>0</v>
      </c>
      <c r="F69" s="11">
        <v>1</v>
      </c>
      <c r="G69" s="11" t="s">
        <v>94</v>
      </c>
      <c r="H69" s="11" t="s">
        <v>97</v>
      </c>
      <c r="I69" s="60" t="s">
        <v>98</v>
      </c>
      <c r="J69" s="49" t="s">
        <v>2</v>
      </c>
      <c r="K69" s="11"/>
      <c r="L69" s="6" t="s">
        <v>918</v>
      </c>
      <c r="M69" s="6">
        <v>0</v>
      </c>
      <c r="N69" s="11"/>
      <c r="O69" t="str">
        <f>IFERROR(HYPERLINK("#Main!A"&amp;MATCH(A69,Main!A:A,0),"Open"),HYPERLINK("#Main!A1","Open"))</f>
        <v>Open</v>
      </c>
      <c r="P69" t="str">
        <f>IFERROR(HYPERLINK("#Technical!A"&amp;MATCH(A69,Technical!A:A,0),"Open"),HYPERLINK("#Technical!A1","Open"))</f>
        <v>Open</v>
      </c>
    </row>
    <row r="70" spans="1:17" ht="30" customHeight="1" x14ac:dyDescent="0.25">
      <c r="A70" s="59" t="s">
        <v>417</v>
      </c>
      <c r="B70" s="8">
        <v>41</v>
      </c>
      <c r="C70" s="61" t="s">
        <v>67</v>
      </c>
      <c r="D70" s="66">
        <v>69</v>
      </c>
      <c r="E70" s="8">
        <v>0</v>
      </c>
      <c r="F70" s="8">
        <v>1</v>
      </c>
      <c r="G70" s="8" t="s">
        <v>94</v>
      </c>
      <c r="H70" s="8" t="s">
        <v>97</v>
      </c>
      <c r="I70" s="60" t="s">
        <v>98</v>
      </c>
      <c r="J70" s="49" t="s">
        <v>2</v>
      </c>
      <c r="K70" s="8"/>
      <c r="L70" s="6" t="s">
        <v>918</v>
      </c>
      <c r="M70" s="6">
        <v>0</v>
      </c>
      <c r="N70" s="8"/>
      <c r="O70" s="9" t="str">
        <f>IFERROR(HYPERLINK("#Main!A"&amp;MATCH(A70,Main!A:A,0),"Open"),HYPERLINK("#Main!A1","Open"))</f>
        <v>Open</v>
      </c>
      <c r="P70" s="9" t="str">
        <f>IFERROR(HYPERLINK("#Technical!A"&amp;MATCH(A70,Technical!A:A,0),"Open"),HYPERLINK("#Technical!A1","Open"))</f>
        <v>Open</v>
      </c>
      <c r="Q70" s="9"/>
    </row>
    <row r="71" spans="1:17" ht="30" customHeight="1" x14ac:dyDescent="0.25">
      <c r="A71" s="58" t="s">
        <v>574</v>
      </c>
      <c r="B71" s="11">
        <v>41</v>
      </c>
      <c r="C71" s="61" t="s">
        <v>67</v>
      </c>
      <c r="D71" s="66">
        <v>69</v>
      </c>
      <c r="E71" s="11">
        <v>0</v>
      </c>
      <c r="F71" s="11">
        <v>1</v>
      </c>
      <c r="G71" s="11" t="s">
        <v>94</v>
      </c>
      <c r="H71" s="11" t="s">
        <v>97</v>
      </c>
      <c r="I71" s="60" t="s">
        <v>98</v>
      </c>
      <c r="J71" s="49" t="s">
        <v>2</v>
      </c>
      <c r="K71" s="11"/>
      <c r="L71" s="6" t="s">
        <v>918</v>
      </c>
      <c r="M71" s="6">
        <v>0</v>
      </c>
      <c r="N71" s="11"/>
      <c r="O71" t="str">
        <f>IFERROR(HYPERLINK("#Main!A"&amp;MATCH(A71,Main!A:A,0),"Open"),HYPERLINK("#Main!A1","Open"))</f>
        <v>Open</v>
      </c>
      <c r="P71" t="str">
        <f>IFERROR(HYPERLINK("#Technical!A"&amp;MATCH(A71,Technical!A:A,0),"Open"),HYPERLINK("#Technical!A1","Open"))</f>
        <v>Open</v>
      </c>
    </row>
    <row r="72" spans="1:17" ht="30" customHeight="1" x14ac:dyDescent="0.25">
      <c r="A72" s="59" t="s">
        <v>627</v>
      </c>
      <c r="B72" s="8">
        <v>41</v>
      </c>
      <c r="C72" s="61" t="s">
        <v>67</v>
      </c>
      <c r="D72" s="66">
        <v>69</v>
      </c>
      <c r="E72" s="8">
        <v>0</v>
      </c>
      <c r="F72" s="8">
        <v>1</v>
      </c>
      <c r="G72" s="8" t="s">
        <v>94</v>
      </c>
      <c r="H72" s="8" t="s">
        <v>97</v>
      </c>
      <c r="I72" s="60" t="s">
        <v>98</v>
      </c>
      <c r="J72" s="49" t="s">
        <v>2</v>
      </c>
      <c r="K72" s="8"/>
      <c r="L72" s="6" t="s">
        <v>918</v>
      </c>
      <c r="M72" s="6">
        <v>0</v>
      </c>
      <c r="N72" s="8"/>
      <c r="O72" s="9" t="str">
        <f>IFERROR(HYPERLINK("#Main!A"&amp;MATCH(A72,Main!A:A,0),"Open"),HYPERLINK("#Main!A1","Open"))</f>
        <v>Open</v>
      </c>
      <c r="P72" s="9" t="str">
        <f>IFERROR(HYPERLINK("#Technical!A"&amp;MATCH(A72,Technical!A:A,0),"Open"),HYPERLINK("#Technical!A1","Open"))</f>
        <v>Open</v>
      </c>
      <c r="Q72" s="9"/>
    </row>
    <row r="73" spans="1:17" ht="30" customHeight="1" x14ac:dyDescent="0.25">
      <c r="A73" s="58" t="s">
        <v>481</v>
      </c>
      <c r="B73" s="11">
        <v>41</v>
      </c>
      <c r="C73" s="61" t="s">
        <v>67</v>
      </c>
      <c r="D73" s="66">
        <v>69</v>
      </c>
      <c r="E73" s="11">
        <v>0</v>
      </c>
      <c r="F73" s="11">
        <v>1</v>
      </c>
      <c r="G73" s="11" t="s">
        <v>94</v>
      </c>
      <c r="H73" s="11" t="s">
        <v>97</v>
      </c>
      <c r="I73" s="60" t="s">
        <v>98</v>
      </c>
      <c r="J73" s="49" t="s">
        <v>2</v>
      </c>
      <c r="K73" s="11"/>
      <c r="L73" s="6" t="s">
        <v>918</v>
      </c>
      <c r="M73" s="6">
        <v>0</v>
      </c>
      <c r="N73" s="11"/>
      <c r="O73" t="str">
        <f>IFERROR(HYPERLINK("#Main!A"&amp;MATCH(A73,Main!A:A,0),"Open"),HYPERLINK("#Main!A1","Open"))</f>
        <v>Open</v>
      </c>
      <c r="P73" t="str">
        <f>IFERROR(HYPERLINK("#Technical!A"&amp;MATCH(A73,Technical!A:A,0),"Open"),HYPERLINK("#Technical!A1","Open"))</f>
        <v>Open</v>
      </c>
    </row>
    <row r="74" spans="1:17" ht="30" customHeight="1" x14ac:dyDescent="0.25">
      <c r="A74" s="59" t="s">
        <v>393</v>
      </c>
      <c r="B74" s="8">
        <v>41</v>
      </c>
      <c r="C74" s="61" t="s">
        <v>67</v>
      </c>
      <c r="D74" s="66">
        <v>69</v>
      </c>
      <c r="E74" s="8">
        <v>0</v>
      </c>
      <c r="F74" s="8">
        <v>1</v>
      </c>
      <c r="G74" s="8" t="s">
        <v>94</v>
      </c>
      <c r="H74" s="8" t="s">
        <v>97</v>
      </c>
      <c r="I74" s="60" t="s">
        <v>98</v>
      </c>
      <c r="J74" s="49" t="s">
        <v>2</v>
      </c>
      <c r="K74" s="8"/>
      <c r="L74" s="6" t="s">
        <v>918</v>
      </c>
      <c r="M74" s="6">
        <v>0</v>
      </c>
      <c r="N74" s="8"/>
      <c r="O74" s="9" t="str">
        <f>IFERROR(HYPERLINK("#Main!A"&amp;MATCH(A74,Main!A:A,0),"Open"),HYPERLINK("#Main!A1","Open"))</f>
        <v>Open</v>
      </c>
      <c r="P74" s="9" t="str">
        <f>IFERROR(HYPERLINK("#Technical!A"&amp;MATCH(A74,Technical!A:A,0),"Open"),HYPERLINK("#Technical!A1","Open"))</f>
        <v>Open</v>
      </c>
      <c r="Q74" s="9"/>
    </row>
    <row r="75" spans="1:17" ht="30" customHeight="1" x14ac:dyDescent="0.25">
      <c r="A75" s="58" t="s">
        <v>566</v>
      </c>
      <c r="B75" s="11">
        <v>41</v>
      </c>
      <c r="C75" s="61" t="s">
        <v>67</v>
      </c>
      <c r="D75" s="66">
        <v>69</v>
      </c>
      <c r="E75" s="11">
        <v>0</v>
      </c>
      <c r="F75" s="11">
        <v>1</v>
      </c>
      <c r="G75" s="11" t="s">
        <v>94</v>
      </c>
      <c r="H75" s="11" t="s">
        <v>97</v>
      </c>
      <c r="I75" s="60" t="s">
        <v>98</v>
      </c>
      <c r="J75" s="49" t="s">
        <v>2</v>
      </c>
      <c r="K75" s="11"/>
      <c r="L75" s="6" t="s">
        <v>918</v>
      </c>
      <c r="M75" s="6">
        <v>0</v>
      </c>
      <c r="N75" s="11"/>
      <c r="O75" t="str">
        <f>IFERROR(HYPERLINK("#Main!A"&amp;MATCH(A75,Main!A:A,0),"Open"),HYPERLINK("#Main!A1","Open"))</f>
        <v>Open</v>
      </c>
      <c r="P75" t="str">
        <f>IFERROR(HYPERLINK("#Technical!A"&amp;MATCH(A75,Technical!A:A,0),"Open"),HYPERLINK("#Technical!A1","Open"))</f>
        <v>Open</v>
      </c>
    </row>
    <row r="76" spans="1:17" ht="30" customHeight="1" x14ac:dyDescent="0.25">
      <c r="A76" s="59" t="s">
        <v>385</v>
      </c>
      <c r="B76" s="8">
        <v>41</v>
      </c>
      <c r="C76" s="61" t="s">
        <v>67</v>
      </c>
      <c r="D76" s="66">
        <v>69</v>
      </c>
      <c r="E76" s="8">
        <v>0</v>
      </c>
      <c r="F76" s="8">
        <v>1</v>
      </c>
      <c r="G76" s="8" t="s">
        <v>94</v>
      </c>
      <c r="H76" s="8" t="s">
        <v>97</v>
      </c>
      <c r="I76" s="60" t="s">
        <v>98</v>
      </c>
      <c r="J76" s="49" t="s">
        <v>2</v>
      </c>
      <c r="K76" s="8"/>
      <c r="L76" s="6" t="s">
        <v>918</v>
      </c>
      <c r="M76" s="6">
        <v>0</v>
      </c>
      <c r="N76" s="8"/>
      <c r="O76" s="9" t="str">
        <f>IFERROR(HYPERLINK("#Main!A"&amp;MATCH(A76,Main!A:A,0),"Open"),HYPERLINK("#Main!A1","Open"))</f>
        <v>Open</v>
      </c>
      <c r="P76" s="9" t="str">
        <f>IFERROR(HYPERLINK("#Technical!A"&amp;MATCH(A76,Technical!A:A,0),"Open"),HYPERLINK("#Technical!A1","Open"))</f>
        <v>Open</v>
      </c>
      <c r="Q76" s="9"/>
    </row>
    <row r="77" spans="1:17" ht="30" customHeight="1" x14ac:dyDescent="0.25">
      <c r="A77" s="58" t="s">
        <v>196</v>
      </c>
      <c r="B77" s="11">
        <v>41</v>
      </c>
      <c r="C77" s="61" t="s">
        <v>67</v>
      </c>
      <c r="D77" s="66">
        <v>69</v>
      </c>
      <c r="E77" s="11">
        <v>0</v>
      </c>
      <c r="F77" s="11">
        <v>1</v>
      </c>
      <c r="G77" s="11" t="s">
        <v>94</v>
      </c>
      <c r="H77" s="11" t="s">
        <v>97</v>
      </c>
      <c r="I77" s="60" t="s">
        <v>98</v>
      </c>
      <c r="J77" s="49" t="s">
        <v>2</v>
      </c>
      <c r="K77" s="11"/>
      <c r="L77" s="6" t="s">
        <v>918</v>
      </c>
      <c r="M77" s="6">
        <v>0</v>
      </c>
      <c r="N77" s="11"/>
      <c r="O77" t="str">
        <f>IFERROR(HYPERLINK("#Main!A"&amp;MATCH(A77,Main!A:A,0),"Open"),HYPERLINK("#Main!A1","Open"))</f>
        <v>Open</v>
      </c>
      <c r="P77" t="str">
        <f>IFERROR(HYPERLINK("#Technical!A"&amp;MATCH(A77,Technical!A:A,0),"Open"),HYPERLINK("#Technical!A1","Open"))</f>
        <v>Open</v>
      </c>
    </row>
    <row r="78" spans="1:17" ht="30" customHeight="1" x14ac:dyDescent="0.25">
      <c r="A78" s="59" t="s">
        <v>350</v>
      </c>
      <c r="B78" s="8">
        <v>41</v>
      </c>
      <c r="C78" s="61" t="s">
        <v>67</v>
      </c>
      <c r="D78" s="66">
        <v>69</v>
      </c>
      <c r="E78" s="8">
        <v>0</v>
      </c>
      <c r="F78" s="8">
        <v>1</v>
      </c>
      <c r="G78" s="8" t="s">
        <v>94</v>
      </c>
      <c r="H78" s="8" t="s">
        <v>97</v>
      </c>
      <c r="I78" s="60" t="s">
        <v>98</v>
      </c>
      <c r="J78" s="49" t="s">
        <v>2</v>
      </c>
      <c r="K78" s="8"/>
      <c r="L78" s="6" t="s">
        <v>918</v>
      </c>
      <c r="M78" s="6">
        <v>0</v>
      </c>
      <c r="N78" s="8"/>
      <c r="O78" s="9" t="str">
        <f>IFERROR(HYPERLINK("#Main!A"&amp;MATCH(A78,Main!A:A,0),"Open"),HYPERLINK("#Main!A1","Open"))</f>
        <v>Open</v>
      </c>
      <c r="P78" s="9" t="str">
        <f>IFERROR(HYPERLINK("#Technical!A"&amp;MATCH(A78,Technical!A:A,0),"Open"),HYPERLINK("#Technical!A1","Open"))</f>
        <v>Open</v>
      </c>
      <c r="Q78" s="9"/>
    </row>
    <row r="79" spans="1:17" ht="30" customHeight="1" x14ac:dyDescent="0.25">
      <c r="A79" s="58" t="s">
        <v>374</v>
      </c>
      <c r="B79" s="11">
        <v>41</v>
      </c>
      <c r="C79" s="61" t="s">
        <v>67</v>
      </c>
      <c r="D79" s="66">
        <v>69</v>
      </c>
      <c r="E79" s="11">
        <v>0</v>
      </c>
      <c r="F79" s="11">
        <v>1</v>
      </c>
      <c r="G79" s="11" t="s">
        <v>94</v>
      </c>
      <c r="H79" s="11" t="s">
        <v>97</v>
      </c>
      <c r="I79" s="60" t="s">
        <v>98</v>
      </c>
      <c r="J79" s="49" t="s">
        <v>2</v>
      </c>
      <c r="K79" s="11"/>
      <c r="L79" s="6" t="s">
        <v>918</v>
      </c>
      <c r="M79" s="6">
        <v>0</v>
      </c>
      <c r="N79" s="11"/>
      <c r="O79" t="str">
        <f>IFERROR(HYPERLINK("#Main!A"&amp;MATCH(A79,Main!A:A,0),"Open"),HYPERLINK("#Main!A1","Open"))</f>
        <v>Open</v>
      </c>
      <c r="P79" t="str">
        <f>IFERROR(HYPERLINK("#Technical!A"&amp;MATCH(A79,Technical!A:A,0),"Open"),HYPERLINK("#Technical!A1","Open"))</f>
        <v>Open</v>
      </c>
    </row>
    <row r="80" spans="1:17" ht="30" customHeight="1" x14ac:dyDescent="0.25">
      <c r="A80" s="59" t="s">
        <v>473</v>
      </c>
      <c r="B80" s="8">
        <v>41</v>
      </c>
      <c r="C80" s="61" t="s">
        <v>67</v>
      </c>
      <c r="D80" s="66">
        <v>69</v>
      </c>
      <c r="E80" s="8">
        <v>0</v>
      </c>
      <c r="F80" s="8">
        <v>1</v>
      </c>
      <c r="G80" s="8" t="s">
        <v>94</v>
      </c>
      <c r="H80" s="8" t="s">
        <v>97</v>
      </c>
      <c r="I80" s="60" t="s">
        <v>98</v>
      </c>
      <c r="J80" s="49" t="s">
        <v>2</v>
      </c>
      <c r="K80" s="8"/>
      <c r="L80" s="6" t="s">
        <v>918</v>
      </c>
      <c r="M80" s="6">
        <v>0</v>
      </c>
      <c r="N80" s="8"/>
      <c r="O80" s="9" t="str">
        <f>IFERROR(HYPERLINK("#Main!A"&amp;MATCH(A80,Main!A:A,0),"Open"),HYPERLINK("#Main!A1","Open"))</f>
        <v>Open</v>
      </c>
      <c r="P80" s="9" t="str">
        <f>IFERROR(HYPERLINK("#Technical!A"&amp;MATCH(A80,Technical!A:A,0),"Open"),HYPERLINK("#Technical!A1","Open"))</f>
        <v>Open</v>
      </c>
      <c r="Q80" s="9"/>
    </row>
    <row r="81" spans="1:17" ht="30" customHeight="1" x14ac:dyDescent="0.25">
      <c r="A81" s="58" t="s">
        <v>489</v>
      </c>
      <c r="B81" s="11">
        <v>41</v>
      </c>
      <c r="C81" s="61" t="s">
        <v>67</v>
      </c>
      <c r="D81" s="66">
        <v>69</v>
      </c>
      <c r="E81" s="11">
        <v>0</v>
      </c>
      <c r="F81" s="11">
        <v>1</v>
      </c>
      <c r="G81" s="11" t="s">
        <v>94</v>
      </c>
      <c r="H81" s="11" t="s">
        <v>97</v>
      </c>
      <c r="I81" s="60" t="s">
        <v>98</v>
      </c>
      <c r="J81" s="49" t="s">
        <v>2</v>
      </c>
      <c r="K81" s="11"/>
      <c r="L81" s="6" t="s">
        <v>918</v>
      </c>
      <c r="M81" s="6">
        <v>0</v>
      </c>
      <c r="N81" s="11"/>
      <c r="O81" t="str">
        <f>IFERROR(HYPERLINK("#Main!A"&amp;MATCH(A81,Main!A:A,0),"Open"),HYPERLINK("#Main!A1","Open"))</f>
        <v>Open</v>
      </c>
      <c r="P81" t="str">
        <f>IFERROR(HYPERLINK("#Technical!A"&amp;MATCH(A81,Technical!A:A,0),"Open"),HYPERLINK("#Technical!A1","Open"))</f>
        <v>Open</v>
      </c>
    </row>
    <row r="82" spans="1:17" ht="30" customHeight="1" x14ac:dyDescent="0.25">
      <c r="A82" s="59" t="s">
        <v>425</v>
      </c>
      <c r="B82" s="8">
        <v>41</v>
      </c>
      <c r="C82" s="61" t="s">
        <v>67</v>
      </c>
      <c r="D82" s="66">
        <v>69</v>
      </c>
      <c r="E82" s="8">
        <v>0</v>
      </c>
      <c r="F82" s="8">
        <v>1</v>
      </c>
      <c r="G82" s="8" t="s">
        <v>94</v>
      </c>
      <c r="H82" s="8" t="s">
        <v>97</v>
      </c>
      <c r="I82" s="60" t="s">
        <v>98</v>
      </c>
      <c r="J82" s="49" t="s">
        <v>2</v>
      </c>
      <c r="K82" s="8"/>
      <c r="L82" s="6" t="s">
        <v>918</v>
      </c>
      <c r="M82" s="6">
        <v>0</v>
      </c>
      <c r="N82" s="8"/>
      <c r="O82" s="9" t="str">
        <f>IFERROR(HYPERLINK("#Main!A"&amp;MATCH(A82,Main!A:A,0),"Open"),HYPERLINK("#Main!A1","Open"))</f>
        <v>Open</v>
      </c>
      <c r="P82" s="9" t="str">
        <f>IFERROR(HYPERLINK("#Technical!A"&amp;MATCH(A82,Technical!A:A,0),"Open"),HYPERLINK("#Technical!A1","Open"))</f>
        <v>Open</v>
      </c>
      <c r="Q82" s="9"/>
    </row>
    <row r="83" spans="1:17" ht="30" customHeight="1" x14ac:dyDescent="0.25">
      <c r="A83" s="58" t="s">
        <v>210</v>
      </c>
      <c r="B83" s="11">
        <v>41</v>
      </c>
      <c r="C83" s="61" t="s">
        <v>67</v>
      </c>
      <c r="D83" s="66">
        <v>69</v>
      </c>
      <c r="E83" s="11">
        <v>0</v>
      </c>
      <c r="F83" s="11">
        <v>1</v>
      </c>
      <c r="G83" s="11" t="s">
        <v>94</v>
      </c>
      <c r="H83" s="11" t="s">
        <v>97</v>
      </c>
      <c r="I83" s="60" t="s">
        <v>98</v>
      </c>
      <c r="J83" s="49" t="s">
        <v>2</v>
      </c>
      <c r="K83" s="11"/>
      <c r="L83" s="6" t="s">
        <v>918</v>
      </c>
      <c r="M83" s="6">
        <v>0</v>
      </c>
      <c r="N83" s="11"/>
      <c r="O83" t="str">
        <f>IFERROR(HYPERLINK("#Main!A"&amp;MATCH(A83,Main!A:A,0),"Open"),HYPERLINK("#Main!A1","Open"))</f>
        <v>Open</v>
      </c>
      <c r="P83" t="str">
        <f>IFERROR(HYPERLINK("#Technical!A"&amp;MATCH(A83,Technical!A:A,0),"Open"),HYPERLINK("#Technical!A1","Open"))</f>
        <v>Open</v>
      </c>
    </row>
    <row r="84" spans="1:17" ht="30" customHeight="1" x14ac:dyDescent="0.25">
      <c r="A84" s="59" t="s">
        <v>258</v>
      </c>
      <c r="B84" s="8">
        <v>41</v>
      </c>
      <c r="C84" s="61" t="s">
        <v>67</v>
      </c>
      <c r="D84" s="66">
        <v>69</v>
      </c>
      <c r="E84" s="8">
        <v>0</v>
      </c>
      <c r="F84" s="8">
        <v>1</v>
      </c>
      <c r="G84" s="8" t="s">
        <v>94</v>
      </c>
      <c r="H84" s="8" t="s">
        <v>97</v>
      </c>
      <c r="I84" s="60" t="s">
        <v>98</v>
      </c>
      <c r="J84" s="49" t="s">
        <v>2</v>
      </c>
      <c r="K84" s="8"/>
      <c r="L84" s="6" t="s">
        <v>918</v>
      </c>
      <c r="M84" s="6">
        <v>0</v>
      </c>
      <c r="N84" s="8"/>
      <c r="O84" s="9" t="str">
        <f>IFERROR(HYPERLINK("#Main!A"&amp;MATCH(A84,Main!A:A,0),"Open"),HYPERLINK("#Main!A1","Open"))</f>
        <v>Open</v>
      </c>
      <c r="P84" s="9" t="str">
        <f>IFERROR(HYPERLINK("#Technical!A"&amp;MATCH(A84,Technical!A:A,0),"Open"),HYPERLINK("#Technical!A1","Open"))</f>
        <v>Open</v>
      </c>
      <c r="Q84" s="9"/>
    </row>
    <row r="85" spans="1:17" ht="30" customHeight="1" x14ac:dyDescent="0.25">
      <c r="A85" s="58" t="s">
        <v>266</v>
      </c>
      <c r="B85" s="11">
        <v>41</v>
      </c>
      <c r="C85" s="61" t="s">
        <v>67</v>
      </c>
      <c r="D85" s="66">
        <v>69</v>
      </c>
      <c r="E85" s="11">
        <v>0</v>
      </c>
      <c r="F85" s="11">
        <v>1</v>
      </c>
      <c r="G85" s="11" t="s">
        <v>94</v>
      </c>
      <c r="H85" s="11" t="s">
        <v>97</v>
      </c>
      <c r="I85" s="60" t="s">
        <v>98</v>
      </c>
      <c r="J85" s="49" t="s">
        <v>2</v>
      </c>
      <c r="K85" s="11"/>
      <c r="L85" s="6" t="s">
        <v>918</v>
      </c>
      <c r="M85" s="6">
        <v>0</v>
      </c>
      <c r="N85" s="11"/>
      <c r="O85" t="str">
        <f>IFERROR(HYPERLINK("#Main!A"&amp;MATCH(A85,Main!A:A,0),"Open"),HYPERLINK("#Main!A1","Open"))</f>
        <v>Open</v>
      </c>
      <c r="P85" t="str">
        <f>IFERROR(HYPERLINK("#Technical!A"&amp;MATCH(A85,Technical!A:A,0),"Open"),HYPERLINK("#Technical!A1","Open"))</f>
        <v>Open</v>
      </c>
    </row>
    <row r="86" spans="1:17" ht="30" customHeight="1" x14ac:dyDescent="0.25">
      <c r="A86" s="59" t="s">
        <v>342</v>
      </c>
      <c r="B86" s="8">
        <v>41</v>
      </c>
      <c r="C86" s="61" t="s">
        <v>67</v>
      </c>
      <c r="D86" s="66">
        <v>69</v>
      </c>
      <c r="E86" s="8">
        <v>0</v>
      </c>
      <c r="F86" s="8">
        <v>1</v>
      </c>
      <c r="G86" s="8" t="s">
        <v>94</v>
      </c>
      <c r="H86" s="8" t="s">
        <v>97</v>
      </c>
      <c r="I86" s="60" t="s">
        <v>98</v>
      </c>
      <c r="J86" s="49" t="s">
        <v>2</v>
      </c>
      <c r="K86" s="8"/>
      <c r="L86" s="6" t="s">
        <v>918</v>
      </c>
      <c r="M86" s="6">
        <v>0</v>
      </c>
      <c r="N86" s="8"/>
      <c r="O86" s="9" t="str">
        <f>IFERROR(HYPERLINK("#Main!A"&amp;MATCH(A86,Main!A:A,0),"Open"),HYPERLINK("#Main!A1","Open"))</f>
        <v>Open</v>
      </c>
      <c r="P86" s="9" t="str">
        <f>IFERROR(HYPERLINK("#Technical!A"&amp;MATCH(A86,Technical!A:A,0),"Open"),HYPERLINK("#Technical!A1","Open"))</f>
        <v>Open</v>
      </c>
      <c r="Q86" s="9"/>
    </row>
  </sheetData>
  <autoFilter ref="A1:Q86" xr:uid="{00000000-0009-0000-0000-00000C000000}"/>
  <conditionalFormatting sqref="C2:C86">
    <cfRule type="expression" dxfId="17" priority="4" stopIfTrue="1">
      <formula>LOWER(C2)="critical"</formula>
    </cfRule>
    <cfRule type="expression" dxfId="16" priority="5" stopIfTrue="1">
      <formula>LOWER(C2)="warning"</formula>
    </cfRule>
    <cfRule type="expression" dxfId="15" priority="6" stopIfTrue="1">
      <formula>OR(LOWER(C2)="pass",LOWER(C2)="observation")</formula>
    </cfRule>
  </conditionalFormatting>
  <conditionalFormatting sqref="D2:D86">
    <cfRule type="colorScale" priority="1">
      <colorScale>
        <cfvo type="min"/>
        <cfvo type="percentile" val="50"/>
        <cfvo type="max"/>
        <color rgb="FFF8696B"/>
        <color rgb="FFFFEB84"/>
        <color rgb="FF63BE7B"/>
      </colorScale>
    </cfRule>
  </conditionalFormatting>
  <conditionalFormatting sqref="G2:G86">
    <cfRule type="expression" dxfId="14" priority="2" stopIfTrue="1">
      <formula>LOWER(G2)="yes"</formula>
    </cfRule>
    <cfRule type="expression" dxfId="13" priority="3" stopIfTrue="1">
      <formula>LOWER(G2)="no"</formula>
    </cfRule>
  </conditionalFormatting>
  <conditionalFormatting sqref="J2:J86">
    <cfRule type="expression" dxfId="12" priority="7" stopIfTrue="1">
      <formula>LOWER(J2)="done"</formula>
    </cfRule>
    <cfRule type="expression" dxfId="11" priority="8" stopIfTrue="1">
      <formula>OR(LOWER(J2)="to do",LOWER(J2)="in progress",LOWER(J2)="in review")</formula>
    </cfRule>
  </conditionalFormatting>
  <dataValidations count="17">
    <dataValidation type="custom" allowBlank="1" showInputMessage="1" promptTitle="URL" prompt="URL. Use this URL to inspect the page directly or jump to related tabs." sqref="A1" xr:uid="{00000000-0002-0000-0C00-000000000000}">
      <formula1>TRUE</formula1>
    </dataValidation>
    <dataValidation type="custom" allowBlank="1" showInputMessage="1" promptTitle="Business Risk Score" prompt="Business Risk Score. Review this metric to identify risk, then use linked tabs for details and remediation." sqref="B1" xr:uid="{00000000-0002-0000-0C00-000001000000}">
      <formula1>TRUE</formula1>
    </dataValidation>
    <dataValidation type="custom" allowBlank="1" showInputMessage="1" promptTitle="Severity Badge" prompt="Issue impact level. Fix: Resolve Critical first, then Warning, then improvement opportunities." sqref="C1" xr:uid="{00000000-0002-0000-0C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C00-000003000000}">
      <formula1>TRUE</formula1>
    </dataValidation>
    <dataValidation type="custom" allowBlank="1" showInputMessage="1" promptTitle="Critical Issues Count" prompt="Critical Issues Count. Review this metric to identify risk, then use linked tabs for details and remediation." sqref="E1" xr:uid="{00000000-0002-0000-0C00-000004000000}">
      <formula1>TRUE</formula1>
    </dataValidation>
    <dataValidation type="custom" allowBlank="1" showInputMessage="1" promptTitle="Warning Issues Count" prompt="Warning Issues Count. Review this metric to identify risk, then use linked tabs for details and remediation." sqref="F1" xr:uid="{00000000-0002-0000-0C00-000005000000}">
      <formula1>TRUE</formula1>
    </dataValidation>
    <dataValidation type="custom" allowBlank="1" showInputMessage="1" promptTitle="Action Needed" prompt="Action Needed. Review this metric to identify risk, then use linked tabs for details and remediation." sqref="G1" xr:uid="{00000000-0002-0000-0C00-000006000000}">
      <formula1>TRUE</formula1>
    </dataValidation>
    <dataValidation type="custom" allowBlank="1" showInputMessage="1" promptTitle="Why Prioritized" prompt="Why Prioritized. Review this metric to identify risk, then use linked tabs for details and remediation." sqref="H1" xr:uid="{00000000-0002-0000-0C00-000007000000}">
      <formula1>TRUE</formula1>
    </dataValidation>
    <dataValidation type="custom" allowBlank="1" showInputMessage="1" promptTitle="Owner" prompt="Workflow management field for planning and tracking remediation progress." sqref="I1" xr:uid="{00000000-0002-0000-0C00-000008000000}">
      <formula1>TRUE</formula1>
    </dataValidation>
    <dataValidation type="custom" allowBlank="1" showInputMessage="1" promptTitle="Status" prompt="Workflow management field for planning and tracking remediation progress." sqref="J1" xr:uid="{00000000-0002-0000-0C00-000009000000}">
      <formula1>TRUE</formula1>
    </dataValidation>
    <dataValidation type="custom" allowBlank="1" showInputMessage="1" promptTitle="Sprint" prompt="Workflow management field for planning and tracking remediation progress." sqref="K1" xr:uid="{00000000-0002-0000-0C00-00000A000000}">
      <formula1>TRUE</formula1>
    </dataValidation>
    <dataValidation type="custom" allowBlank="1" showInputMessage="1" promptTitle="Indexability Reason" prompt="Indexing/canonicalization signal. Fix: ensure indexable pages use correct canonicals and non-conflicting directives." sqref="L1" xr:uid="{00000000-0002-0000-0C00-00000B000000}">
      <formula1>TRUE</formula1>
    </dataValidation>
    <dataValidation type="custom" allowBlank="1" showInputMessage="1" promptTitle="Broken Internal Links Count" prompt="Link quality and crawl-path metric. Fix: repair broken links and improve internal linking relevance." sqref="M1" xr:uid="{00000000-0002-0000-0C00-00000C000000}">
      <formula1>TRUE</formula1>
    </dataValidation>
    <dataValidation type="custom" allowBlank="1" showInputMessage="1" promptTitle="Canonical Type" prompt="Indexing/canonicalization signal. Fix: ensure indexable pages use correct canonicals and non-conflicting directives." sqref="N1" xr:uid="{00000000-0002-0000-0C00-00000D000000}">
      <formula1>TRUE</formula1>
    </dataValidation>
    <dataValidation type="custom" allowBlank="1" showInputMessage="1" promptTitle="Open in Main" prompt="Navigation helper. Click to jump directly to the related record in another tab." sqref="O1" xr:uid="{00000000-0002-0000-0C00-00000E000000}">
      <formula1>TRUE</formula1>
    </dataValidation>
    <dataValidation type="custom" allowBlank="1" showInputMessage="1" promptTitle="Open in Technical" prompt="Open in Technical. Review this metric to identify risk, then use linked tabs for details and remediation." sqref="P1" xr:uid="{00000000-0002-0000-0C00-00000F000000}">
      <formula1>TRUE</formula1>
    </dataValidation>
    <dataValidation type="custom" allowBlank="1" showInputMessage="1" promptTitle="BACK TO DASHBOARD" prompt="BACK TO DASHBOARD. Review this metric to identify risk, then use linked tabs for details and remediation." sqref="Q1" xr:uid="{00000000-0002-0000-0C00-000010000000}">
      <formula1>TRUE</formula1>
    </dataValidation>
  </dataValidations>
  <hyperlinks>
    <hyperlink ref="Q1" location="Dashboard!A1" display="BACK TO DASHBOARD" xr:uid="{00000000-0004-0000-0C00-000000000000}"/>
    <hyperlink ref="A2" r:id="rId1" xr:uid="{00000000-0004-0000-0C00-000001000000}"/>
    <hyperlink ref="A3" r:id="rId2" xr:uid="{00000000-0004-0000-0C00-000002000000}"/>
    <hyperlink ref="A4" r:id="rId3" xr:uid="{00000000-0004-0000-0C00-000003000000}"/>
    <hyperlink ref="A5" r:id="rId4" xr:uid="{00000000-0004-0000-0C00-000004000000}"/>
    <hyperlink ref="A6" r:id="rId5" xr:uid="{00000000-0004-0000-0C00-000005000000}"/>
    <hyperlink ref="A7" r:id="rId6" xr:uid="{00000000-0004-0000-0C00-000006000000}"/>
    <hyperlink ref="A8" r:id="rId7" xr:uid="{00000000-0004-0000-0C00-000007000000}"/>
    <hyperlink ref="A9" r:id="rId8" xr:uid="{00000000-0004-0000-0C00-000008000000}"/>
    <hyperlink ref="A10" r:id="rId9" xr:uid="{00000000-0004-0000-0C00-000009000000}"/>
    <hyperlink ref="A11" r:id="rId10" xr:uid="{00000000-0004-0000-0C00-00000A000000}"/>
    <hyperlink ref="A12" r:id="rId11" xr:uid="{00000000-0004-0000-0C00-00000B000000}"/>
    <hyperlink ref="A13" r:id="rId12" xr:uid="{00000000-0004-0000-0C00-00000C000000}"/>
    <hyperlink ref="A14" r:id="rId13" xr:uid="{00000000-0004-0000-0C00-00000D000000}"/>
    <hyperlink ref="A15" r:id="rId14" xr:uid="{00000000-0004-0000-0C00-00000E000000}"/>
    <hyperlink ref="A16" r:id="rId15" xr:uid="{00000000-0004-0000-0C00-00000F000000}"/>
    <hyperlink ref="A17" r:id="rId16" xr:uid="{00000000-0004-0000-0C00-000010000000}"/>
    <hyperlink ref="A18" r:id="rId17" xr:uid="{00000000-0004-0000-0C00-000011000000}"/>
    <hyperlink ref="A19" r:id="rId18" xr:uid="{00000000-0004-0000-0C00-000012000000}"/>
    <hyperlink ref="A20" r:id="rId19" xr:uid="{00000000-0004-0000-0C00-000013000000}"/>
    <hyperlink ref="A21" r:id="rId20" xr:uid="{00000000-0004-0000-0C00-000014000000}"/>
    <hyperlink ref="A22" r:id="rId21" xr:uid="{00000000-0004-0000-0C00-000015000000}"/>
    <hyperlink ref="A23" r:id="rId22" xr:uid="{00000000-0004-0000-0C00-000016000000}"/>
    <hyperlink ref="A24" r:id="rId23" xr:uid="{00000000-0004-0000-0C00-000017000000}"/>
    <hyperlink ref="A25" r:id="rId24" xr:uid="{00000000-0004-0000-0C00-000018000000}"/>
    <hyperlink ref="A26" r:id="rId25" xr:uid="{00000000-0004-0000-0C00-000019000000}"/>
    <hyperlink ref="A27" r:id="rId26" xr:uid="{00000000-0004-0000-0C00-00001A000000}"/>
    <hyperlink ref="A28" r:id="rId27" xr:uid="{00000000-0004-0000-0C00-00001B000000}"/>
    <hyperlink ref="A29" r:id="rId28" xr:uid="{00000000-0004-0000-0C00-00001C000000}"/>
    <hyperlink ref="A30" r:id="rId29" xr:uid="{00000000-0004-0000-0C00-00001D000000}"/>
    <hyperlink ref="A31" r:id="rId30" xr:uid="{00000000-0004-0000-0C00-00001E000000}"/>
    <hyperlink ref="A32" r:id="rId31" xr:uid="{00000000-0004-0000-0C00-00001F000000}"/>
    <hyperlink ref="A33" r:id="rId32" xr:uid="{00000000-0004-0000-0C00-000020000000}"/>
    <hyperlink ref="A34" r:id="rId33" xr:uid="{00000000-0004-0000-0C00-000021000000}"/>
    <hyperlink ref="A35" r:id="rId34" xr:uid="{00000000-0004-0000-0C00-000022000000}"/>
    <hyperlink ref="A36" r:id="rId35" xr:uid="{00000000-0004-0000-0C00-000023000000}"/>
    <hyperlink ref="A37" r:id="rId36" xr:uid="{00000000-0004-0000-0C00-000024000000}"/>
    <hyperlink ref="A38" r:id="rId37" xr:uid="{00000000-0004-0000-0C00-000025000000}"/>
    <hyperlink ref="A39" r:id="rId38" xr:uid="{00000000-0004-0000-0C00-000026000000}"/>
    <hyperlink ref="A40" r:id="rId39" xr:uid="{00000000-0004-0000-0C00-000027000000}"/>
    <hyperlink ref="A41" r:id="rId40" xr:uid="{00000000-0004-0000-0C00-000028000000}"/>
    <hyperlink ref="A42" r:id="rId41" xr:uid="{00000000-0004-0000-0C00-000029000000}"/>
    <hyperlink ref="A43" r:id="rId42" xr:uid="{00000000-0004-0000-0C00-00002A000000}"/>
    <hyperlink ref="A44" r:id="rId43" xr:uid="{00000000-0004-0000-0C00-00002B000000}"/>
    <hyperlink ref="A45" r:id="rId44" xr:uid="{00000000-0004-0000-0C00-00002C000000}"/>
    <hyperlink ref="A46" r:id="rId45" xr:uid="{00000000-0004-0000-0C00-00002D000000}"/>
    <hyperlink ref="A47" r:id="rId46" xr:uid="{00000000-0004-0000-0C00-00002E000000}"/>
    <hyperlink ref="A48" r:id="rId47" xr:uid="{00000000-0004-0000-0C00-00002F000000}"/>
    <hyperlink ref="A49" r:id="rId48" xr:uid="{00000000-0004-0000-0C00-000030000000}"/>
    <hyperlink ref="A50" r:id="rId49" xr:uid="{00000000-0004-0000-0C00-000031000000}"/>
    <hyperlink ref="A51" r:id="rId50" xr:uid="{00000000-0004-0000-0C00-000032000000}"/>
    <hyperlink ref="A52" r:id="rId51" xr:uid="{00000000-0004-0000-0C00-000033000000}"/>
    <hyperlink ref="A53" r:id="rId52" xr:uid="{00000000-0004-0000-0C00-000034000000}"/>
    <hyperlink ref="A54" r:id="rId53" xr:uid="{00000000-0004-0000-0C00-000035000000}"/>
    <hyperlink ref="A55" r:id="rId54" xr:uid="{00000000-0004-0000-0C00-000036000000}"/>
    <hyperlink ref="A56" r:id="rId55" xr:uid="{00000000-0004-0000-0C00-000037000000}"/>
    <hyperlink ref="A57" r:id="rId56" xr:uid="{00000000-0004-0000-0C00-000038000000}"/>
    <hyperlink ref="A58" r:id="rId57" xr:uid="{00000000-0004-0000-0C00-000039000000}"/>
    <hyperlink ref="A59" r:id="rId58" xr:uid="{00000000-0004-0000-0C00-00003A000000}"/>
    <hyperlink ref="A60" r:id="rId59" xr:uid="{00000000-0004-0000-0C00-00003B000000}"/>
    <hyperlink ref="A61" r:id="rId60" xr:uid="{00000000-0004-0000-0C00-00003C000000}"/>
    <hyperlink ref="A62" r:id="rId61" xr:uid="{00000000-0004-0000-0C00-00003D000000}"/>
    <hyperlink ref="A63" r:id="rId62" xr:uid="{00000000-0004-0000-0C00-00003E000000}"/>
    <hyperlink ref="A64" r:id="rId63" xr:uid="{00000000-0004-0000-0C00-00003F000000}"/>
    <hyperlink ref="A65" r:id="rId64" xr:uid="{00000000-0004-0000-0C00-000040000000}"/>
    <hyperlink ref="A66" r:id="rId65" xr:uid="{00000000-0004-0000-0C00-000041000000}"/>
    <hyperlink ref="A67" r:id="rId66" xr:uid="{00000000-0004-0000-0C00-000042000000}"/>
    <hyperlink ref="A68" r:id="rId67" xr:uid="{00000000-0004-0000-0C00-000043000000}"/>
    <hyperlink ref="A69" r:id="rId68" xr:uid="{00000000-0004-0000-0C00-000044000000}"/>
    <hyperlink ref="A70" r:id="rId69" xr:uid="{00000000-0004-0000-0C00-000045000000}"/>
    <hyperlink ref="A71" r:id="rId70" xr:uid="{00000000-0004-0000-0C00-000046000000}"/>
    <hyperlink ref="A72" r:id="rId71" xr:uid="{00000000-0004-0000-0C00-000047000000}"/>
    <hyperlink ref="A73" r:id="rId72" xr:uid="{00000000-0004-0000-0C00-000048000000}"/>
    <hyperlink ref="A74" r:id="rId73" xr:uid="{00000000-0004-0000-0C00-000049000000}"/>
    <hyperlink ref="A75" r:id="rId74" xr:uid="{00000000-0004-0000-0C00-00004A000000}"/>
    <hyperlink ref="A76" r:id="rId75" xr:uid="{00000000-0004-0000-0C00-00004B000000}"/>
    <hyperlink ref="A77" r:id="rId76" xr:uid="{00000000-0004-0000-0C00-00004C000000}"/>
    <hyperlink ref="A78" r:id="rId77" xr:uid="{00000000-0004-0000-0C00-00004D000000}"/>
    <hyperlink ref="A79" r:id="rId78" xr:uid="{00000000-0004-0000-0C00-00004E000000}"/>
    <hyperlink ref="A80" r:id="rId79" xr:uid="{00000000-0004-0000-0C00-00004F000000}"/>
    <hyperlink ref="A81" r:id="rId80" xr:uid="{00000000-0004-0000-0C00-000050000000}"/>
    <hyperlink ref="A82" r:id="rId81" xr:uid="{00000000-0004-0000-0C00-000051000000}"/>
    <hyperlink ref="A83" r:id="rId82" xr:uid="{00000000-0004-0000-0C00-000052000000}"/>
    <hyperlink ref="A84" r:id="rId83" xr:uid="{00000000-0004-0000-0C00-000053000000}"/>
    <hyperlink ref="A85" r:id="rId84" xr:uid="{00000000-0004-0000-0C00-000054000000}"/>
    <hyperlink ref="A86" r:id="rId85" xr:uid="{00000000-0004-0000-0C00-000055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15"/>
  <sheetViews>
    <sheetView workbookViewId="0">
      <pane ySplit="1" topLeftCell="A2" activePane="bottomLeft" state="frozen"/>
      <selection pane="bottomLef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5" t="s">
        <v>118</v>
      </c>
      <c r="B1" s="5" t="s">
        <v>1213</v>
      </c>
      <c r="C1" s="5" t="s">
        <v>1214</v>
      </c>
      <c r="D1" s="5" t="s">
        <v>1215</v>
      </c>
      <c r="E1" s="5" t="s">
        <v>88</v>
      </c>
      <c r="F1" s="5" t="s">
        <v>1216</v>
      </c>
      <c r="G1" s="5" t="s">
        <v>790</v>
      </c>
      <c r="H1" s="5" t="s">
        <v>1217</v>
      </c>
      <c r="I1" s="5" t="s">
        <v>1218</v>
      </c>
      <c r="J1" s="5" t="s">
        <v>1219</v>
      </c>
      <c r="K1" s="5" t="s">
        <v>1220</v>
      </c>
      <c r="L1" s="5" t="s">
        <v>1221</v>
      </c>
      <c r="M1" s="5" t="s">
        <v>804</v>
      </c>
      <c r="N1" s="5" t="s">
        <v>63</v>
      </c>
      <c r="O1" s="5" t="s">
        <v>73</v>
      </c>
      <c r="P1" s="5" t="s">
        <v>798</v>
      </c>
      <c r="Q1" s="5" t="s">
        <v>1222</v>
      </c>
      <c r="R1" s="5" t="s">
        <v>1180</v>
      </c>
      <c r="S1" s="5" t="s">
        <v>135</v>
      </c>
      <c r="T1" s="5" t="s">
        <v>1212</v>
      </c>
      <c r="U1" s="39" t="s">
        <v>136</v>
      </c>
    </row>
    <row r="2" spans="1:21" ht="45" customHeight="1" x14ac:dyDescent="0.25">
      <c r="A2" s="59" t="s">
        <v>338</v>
      </c>
      <c r="B2" s="8"/>
      <c r="C2" s="8"/>
      <c r="D2" s="8" t="s">
        <v>1223</v>
      </c>
      <c r="E2" s="49" t="s">
        <v>66</v>
      </c>
      <c r="F2" s="8" t="s">
        <v>1224</v>
      </c>
      <c r="G2" s="36">
        <v>105</v>
      </c>
      <c r="H2" s="8">
        <v>404</v>
      </c>
      <c r="I2" s="8" t="s">
        <v>1225</v>
      </c>
      <c r="J2" s="8" t="s">
        <v>1226</v>
      </c>
      <c r="K2" s="71" t="s">
        <v>7</v>
      </c>
      <c r="L2" s="8" t="s">
        <v>888</v>
      </c>
      <c r="M2" s="8" t="s">
        <v>94</v>
      </c>
      <c r="N2" s="52" t="s">
        <v>95</v>
      </c>
      <c r="O2" s="49" t="s">
        <v>2</v>
      </c>
      <c r="P2" s="8">
        <v>10</v>
      </c>
      <c r="Q2" s="8" t="s">
        <v>1227</v>
      </c>
      <c r="R2" s="8" t="s">
        <v>1228</v>
      </c>
      <c r="S2" s="9" t="str">
        <f>IFERROR(HYPERLINK("#Main!A"&amp;MATCH(A2,Main!A:A,0),"Open"),HYPERLINK("#Main!A1","Open"))</f>
        <v>Open</v>
      </c>
      <c r="T2" s="9" t="str">
        <f>IFERROR(HYPERLINK("#Technical!A"&amp;MATCH(A2,Technical!A:A,0),"Open"),HYPERLINK("#Technical!A1","Open"))</f>
        <v>Open</v>
      </c>
      <c r="U2" s="9"/>
    </row>
    <row r="3" spans="1:21" ht="45" customHeight="1" x14ac:dyDescent="0.25">
      <c r="A3" s="58" t="s">
        <v>433</v>
      </c>
      <c r="B3" s="11"/>
      <c r="C3" s="11"/>
      <c r="D3" s="11" t="s">
        <v>1223</v>
      </c>
      <c r="E3" s="49" t="s">
        <v>66</v>
      </c>
      <c r="F3" s="11" t="s">
        <v>1224</v>
      </c>
      <c r="G3" s="10">
        <v>105</v>
      </c>
      <c r="H3" s="11">
        <v>404</v>
      </c>
      <c r="I3" s="11" t="s">
        <v>1225</v>
      </c>
      <c r="J3" s="11" t="s">
        <v>1226</v>
      </c>
      <c r="K3" s="72" t="s">
        <v>7</v>
      </c>
      <c r="L3" s="11" t="s">
        <v>888</v>
      </c>
      <c r="M3" s="11" t="s">
        <v>94</v>
      </c>
      <c r="N3" s="52" t="s">
        <v>95</v>
      </c>
      <c r="O3" s="49" t="s">
        <v>2</v>
      </c>
      <c r="P3" s="11">
        <v>10</v>
      </c>
      <c r="Q3" s="11" t="s">
        <v>1229</v>
      </c>
      <c r="R3" s="11" t="s">
        <v>1228</v>
      </c>
      <c r="S3" t="str">
        <f>IFERROR(HYPERLINK("#Main!A"&amp;MATCH(A3,Main!A:A,0),"Open"),HYPERLINK("#Main!A1","Open"))</f>
        <v>Open</v>
      </c>
      <c r="T3" t="str">
        <f>IFERROR(HYPERLINK("#Technical!A"&amp;MATCH(A3,Technical!A:A,0),"Open"),HYPERLINK("#Technical!A1","Open"))</f>
        <v>Open</v>
      </c>
    </row>
    <row r="4" spans="1:21" ht="30" customHeight="1" x14ac:dyDescent="0.25">
      <c r="A4" s="59" t="s">
        <v>99</v>
      </c>
      <c r="B4" s="8">
        <v>13164</v>
      </c>
      <c r="C4" s="43" t="s">
        <v>1230</v>
      </c>
      <c r="D4" s="8" t="s">
        <v>1223</v>
      </c>
      <c r="E4" s="61" t="s">
        <v>67</v>
      </c>
      <c r="F4" s="8" t="s">
        <v>1231</v>
      </c>
      <c r="G4" s="36">
        <v>67</v>
      </c>
      <c r="H4" s="8" t="s">
        <v>1232</v>
      </c>
      <c r="I4" s="8" t="s">
        <v>1233</v>
      </c>
      <c r="J4" s="8" t="s">
        <v>1234</v>
      </c>
      <c r="K4" s="71" t="s">
        <v>6</v>
      </c>
      <c r="L4" s="8" t="s">
        <v>891</v>
      </c>
      <c r="M4" s="8" t="s">
        <v>94</v>
      </c>
      <c r="N4" s="60" t="s">
        <v>98</v>
      </c>
      <c r="O4" s="49" t="s">
        <v>2</v>
      </c>
      <c r="P4" s="8">
        <v>4</v>
      </c>
      <c r="Q4" s="8" t="s">
        <v>1235</v>
      </c>
      <c r="R4" s="8" t="s">
        <v>1236</v>
      </c>
      <c r="S4" s="9" t="str">
        <f>IFERROR(HYPERLINK("#Main!A"&amp;MATCH(A4,Main!A:A,0),"Open"),HYPERLINK("#Main!A1","Open"))</f>
        <v>Open</v>
      </c>
      <c r="T4" s="9" t="str">
        <f>IFERROR(HYPERLINK("#Technical!A"&amp;MATCH(A4,Technical!A:A,0),"Open"),HYPERLINK("#Technical!A1","Open"))</f>
        <v>Open</v>
      </c>
      <c r="U4" s="9"/>
    </row>
    <row r="5" spans="1:21" ht="30" customHeight="1" x14ac:dyDescent="0.25">
      <c r="A5" s="58" t="s">
        <v>338</v>
      </c>
      <c r="B5" s="11"/>
      <c r="C5" s="11"/>
      <c r="D5" s="11" t="s">
        <v>1223</v>
      </c>
      <c r="E5" s="61" t="s">
        <v>67</v>
      </c>
      <c r="F5" s="11" t="s">
        <v>1231</v>
      </c>
      <c r="G5" s="10">
        <v>67</v>
      </c>
      <c r="H5" s="11" t="s">
        <v>1232</v>
      </c>
      <c r="I5" s="11" t="s">
        <v>1233</v>
      </c>
      <c r="J5" s="11" t="s">
        <v>1234</v>
      </c>
      <c r="K5" s="72" t="s">
        <v>6</v>
      </c>
      <c r="L5" s="11" t="s">
        <v>891</v>
      </c>
      <c r="M5" s="11" t="s">
        <v>94</v>
      </c>
      <c r="N5" s="60" t="s">
        <v>98</v>
      </c>
      <c r="O5" s="49" t="s">
        <v>2</v>
      </c>
      <c r="P5" s="11">
        <v>4</v>
      </c>
      <c r="Q5" s="11" t="s">
        <v>1237</v>
      </c>
      <c r="R5" s="11" t="s">
        <v>1236</v>
      </c>
      <c r="S5" t="str">
        <f>IFERROR(HYPERLINK("#Main!A"&amp;MATCH(A5,Main!A:A,0),"Open"),HYPERLINK("#Main!A1","Open"))</f>
        <v>Open</v>
      </c>
      <c r="T5" t="str">
        <f>IFERROR(HYPERLINK("#Technical!A"&amp;MATCH(A5,Technical!A:A,0),"Open"),HYPERLINK("#Technical!A1","Open"))</f>
        <v>Open</v>
      </c>
    </row>
    <row r="6" spans="1:21" ht="30" customHeight="1" x14ac:dyDescent="0.25">
      <c r="A6" s="59" t="s">
        <v>433</v>
      </c>
      <c r="B6" s="8"/>
      <c r="C6" s="8"/>
      <c r="D6" s="8" t="s">
        <v>1223</v>
      </c>
      <c r="E6" s="61" t="s">
        <v>67</v>
      </c>
      <c r="F6" s="8" t="s">
        <v>1231</v>
      </c>
      <c r="G6" s="36">
        <v>67</v>
      </c>
      <c r="H6" s="8" t="s">
        <v>1232</v>
      </c>
      <c r="I6" s="8" t="s">
        <v>1233</v>
      </c>
      <c r="J6" s="8" t="s">
        <v>1234</v>
      </c>
      <c r="K6" s="71" t="s">
        <v>6</v>
      </c>
      <c r="L6" s="8" t="s">
        <v>891</v>
      </c>
      <c r="M6" s="8" t="s">
        <v>94</v>
      </c>
      <c r="N6" s="60" t="s">
        <v>98</v>
      </c>
      <c r="O6" s="49" t="s">
        <v>2</v>
      </c>
      <c r="P6" s="8">
        <v>4</v>
      </c>
      <c r="Q6" s="8" t="s">
        <v>1238</v>
      </c>
      <c r="R6" s="8" t="s">
        <v>1236</v>
      </c>
      <c r="S6" s="9" t="str">
        <f>IFERROR(HYPERLINK("#Main!A"&amp;MATCH(A6,Main!A:A,0),"Open"),HYPERLINK("#Main!A1","Open"))</f>
        <v>Open</v>
      </c>
      <c r="T6" s="9" t="str">
        <f>IFERROR(HYPERLINK("#Technical!A"&amp;MATCH(A6,Technical!A:A,0),"Open"),HYPERLINK("#Technical!A1","Open"))</f>
        <v>Open</v>
      </c>
      <c r="U6" s="9"/>
    </row>
    <row r="7" spans="1:21" ht="30" customHeight="1" x14ac:dyDescent="0.25">
      <c r="A7" s="58" t="s">
        <v>444</v>
      </c>
      <c r="B7" s="11">
        <v>6816</v>
      </c>
      <c r="C7" s="43" t="s">
        <v>1239</v>
      </c>
      <c r="D7" s="11" t="s">
        <v>1223</v>
      </c>
      <c r="E7" s="61" t="s">
        <v>67</v>
      </c>
      <c r="F7" s="11" t="s">
        <v>1231</v>
      </c>
      <c r="G7" s="10">
        <v>67</v>
      </c>
      <c r="H7" s="11" t="s">
        <v>1232</v>
      </c>
      <c r="I7" s="11" t="s">
        <v>1233</v>
      </c>
      <c r="J7" s="11" t="s">
        <v>1234</v>
      </c>
      <c r="K7" s="72" t="s">
        <v>6</v>
      </c>
      <c r="L7" s="11" t="s">
        <v>891</v>
      </c>
      <c r="M7" s="11" t="s">
        <v>94</v>
      </c>
      <c r="N7" s="60" t="s">
        <v>98</v>
      </c>
      <c r="O7" s="49" t="s">
        <v>2</v>
      </c>
      <c r="P7" s="11">
        <v>4</v>
      </c>
      <c r="Q7" s="11" t="s">
        <v>1240</v>
      </c>
      <c r="R7" s="11" t="s">
        <v>1236</v>
      </c>
      <c r="S7" t="str">
        <f>IFERROR(HYPERLINK("#Main!A"&amp;MATCH(A7,Main!A:A,0),"Open"),HYPERLINK("#Main!A1","Open"))</f>
        <v>Open</v>
      </c>
      <c r="T7" t="str">
        <f>IFERROR(HYPERLINK("#Technical!A"&amp;MATCH(A7,Technical!A:A,0),"Open"),HYPERLINK("#Technical!A1","Open"))</f>
        <v>Open</v>
      </c>
    </row>
    <row r="8" spans="1:21" ht="30" customHeight="1" x14ac:dyDescent="0.25">
      <c r="A8" s="59" t="s">
        <v>622</v>
      </c>
      <c r="B8" s="8">
        <v>20341</v>
      </c>
      <c r="C8" s="43" t="s">
        <v>1241</v>
      </c>
      <c r="D8" s="8" t="s">
        <v>1223</v>
      </c>
      <c r="E8" s="61" t="s">
        <v>67</v>
      </c>
      <c r="F8" s="8" t="s">
        <v>1231</v>
      </c>
      <c r="G8" s="36">
        <v>67</v>
      </c>
      <c r="H8" s="8" t="s">
        <v>1232</v>
      </c>
      <c r="I8" s="8" t="s">
        <v>1233</v>
      </c>
      <c r="J8" s="8" t="s">
        <v>1234</v>
      </c>
      <c r="K8" s="71" t="s">
        <v>6</v>
      </c>
      <c r="L8" s="8" t="s">
        <v>891</v>
      </c>
      <c r="M8" s="8" t="s">
        <v>94</v>
      </c>
      <c r="N8" s="60" t="s">
        <v>98</v>
      </c>
      <c r="O8" s="49" t="s">
        <v>2</v>
      </c>
      <c r="P8" s="8">
        <v>4</v>
      </c>
      <c r="Q8" s="8" t="s">
        <v>1242</v>
      </c>
      <c r="R8" s="8" t="s">
        <v>1236</v>
      </c>
      <c r="S8" s="9" t="str">
        <f>IFERROR(HYPERLINK("#Main!A"&amp;MATCH(A8,Main!A:A,0),"Open"),HYPERLINK("#Main!A1","Open"))</f>
        <v>Open</v>
      </c>
      <c r="T8" s="9" t="str">
        <f>IFERROR(HYPERLINK("#Technical!A"&amp;MATCH(A8,Technical!A:A,0),"Open"),HYPERLINK("#Technical!A1","Open"))</f>
        <v>Open</v>
      </c>
      <c r="U8" s="9"/>
    </row>
    <row r="9" spans="1:21" ht="30" customHeight="1" x14ac:dyDescent="0.25">
      <c r="A9" s="58" t="s">
        <v>140</v>
      </c>
      <c r="B9" s="11">
        <v>8</v>
      </c>
      <c r="C9" s="43" t="s">
        <v>1243</v>
      </c>
      <c r="D9" s="11" t="s">
        <v>8</v>
      </c>
      <c r="E9" s="61" t="s">
        <v>67</v>
      </c>
      <c r="F9" s="11" t="s">
        <v>1244</v>
      </c>
      <c r="G9" s="10">
        <v>67</v>
      </c>
      <c r="H9" s="11">
        <v>0</v>
      </c>
      <c r="I9" s="11" t="s">
        <v>1245</v>
      </c>
      <c r="J9" s="11" t="s">
        <v>1246</v>
      </c>
      <c r="K9" s="72" t="s">
        <v>9</v>
      </c>
      <c r="L9" s="11" t="s">
        <v>1178</v>
      </c>
      <c r="M9" s="11" t="s">
        <v>94</v>
      </c>
      <c r="N9" s="60" t="s">
        <v>98</v>
      </c>
      <c r="O9" s="49" t="s">
        <v>2</v>
      </c>
      <c r="P9" s="11">
        <v>4</v>
      </c>
      <c r="Q9" s="11" t="s">
        <v>1247</v>
      </c>
      <c r="R9" s="11" t="s">
        <v>1248</v>
      </c>
      <c r="S9" t="str">
        <f>IFERROR(HYPERLINK("#Main!A"&amp;MATCH(A9,Main!A:A,0),"Open"),HYPERLINK("#Main!A1","Open"))</f>
        <v>Open</v>
      </c>
      <c r="T9" t="str">
        <f>IFERROR(HYPERLINK("#Technical!A"&amp;MATCH(A9,Technical!A:A,0),"Open"),HYPERLINK("#Technical!A1","Open"))</f>
        <v>Open</v>
      </c>
    </row>
    <row r="10" spans="1:21" ht="30" customHeight="1" x14ac:dyDescent="0.25">
      <c r="A10" s="59" t="s">
        <v>148</v>
      </c>
      <c r="B10" s="8">
        <v>84</v>
      </c>
      <c r="C10" s="43" t="s">
        <v>1249</v>
      </c>
      <c r="D10" s="8" t="s">
        <v>8</v>
      </c>
      <c r="E10" s="61" t="s">
        <v>67</v>
      </c>
      <c r="F10" s="8" t="s">
        <v>1244</v>
      </c>
      <c r="G10" s="36">
        <v>67</v>
      </c>
      <c r="H10" s="8">
        <v>0</v>
      </c>
      <c r="I10" s="8" t="s">
        <v>1245</v>
      </c>
      <c r="J10" s="8" t="s">
        <v>1246</v>
      </c>
      <c r="K10" s="71" t="s">
        <v>9</v>
      </c>
      <c r="L10" s="8" t="s">
        <v>1178</v>
      </c>
      <c r="M10" s="8" t="s">
        <v>94</v>
      </c>
      <c r="N10" s="60" t="s">
        <v>98</v>
      </c>
      <c r="O10" s="49" t="s">
        <v>2</v>
      </c>
      <c r="P10" s="8">
        <v>4</v>
      </c>
      <c r="Q10" s="8" t="s">
        <v>1250</v>
      </c>
      <c r="R10" s="8" t="s">
        <v>1248</v>
      </c>
      <c r="S10" s="9" t="str">
        <f>IFERROR(HYPERLINK("#Main!A"&amp;MATCH(A10,Main!A:A,0),"Open"),HYPERLINK("#Main!A1","Open"))</f>
        <v>Open</v>
      </c>
      <c r="T10" s="9" t="str">
        <f>IFERROR(HYPERLINK("#Technical!A"&amp;MATCH(A10,Technical!A:A,0),"Open"),HYPERLINK("#Technical!A1","Open"))</f>
        <v>Open</v>
      </c>
      <c r="U10" s="9"/>
    </row>
    <row r="11" spans="1:21" ht="30" customHeight="1" x14ac:dyDescent="0.25">
      <c r="A11" s="58" t="s">
        <v>156</v>
      </c>
      <c r="B11" s="11">
        <v>28165</v>
      </c>
      <c r="C11" s="43" t="s">
        <v>1251</v>
      </c>
      <c r="D11" s="11" t="s">
        <v>8</v>
      </c>
      <c r="E11" s="61" t="s">
        <v>67</v>
      </c>
      <c r="F11" s="11" t="s">
        <v>1244</v>
      </c>
      <c r="G11" s="10">
        <v>67</v>
      </c>
      <c r="H11" s="11">
        <v>0</v>
      </c>
      <c r="I11" s="11" t="s">
        <v>1245</v>
      </c>
      <c r="J11" s="11" t="s">
        <v>1246</v>
      </c>
      <c r="K11" s="72" t="s">
        <v>9</v>
      </c>
      <c r="L11" s="11" t="s">
        <v>1178</v>
      </c>
      <c r="M11" s="11" t="s">
        <v>94</v>
      </c>
      <c r="N11" s="60" t="s">
        <v>98</v>
      </c>
      <c r="O11" s="49" t="s">
        <v>2</v>
      </c>
      <c r="P11" s="11">
        <v>4</v>
      </c>
      <c r="Q11" s="11" t="s">
        <v>1252</v>
      </c>
      <c r="R11" s="11" t="s">
        <v>1248</v>
      </c>
      <c r="S11" t="str">
        <f>IFERROR(HYPERLINK("#Main!A"&amp;MATCH(A11,Main!A:A,0),"Open"),HYPERLINK("#Main!A1","Open"))</f>
        <v>Open</v>
      </c>
      <c r="T11" t="str">
        <f>IFERROR(HYPERLINK("#Technical!A"&amp;MATCH(A11,Technical!A:A,0),"Open"),HYPERLINK("#Technical!A1","Open"))</f>
        <v>Open</v>
      </c>
    </row>
    <row r="12" spans="1:21" ht="30" customHeight="1" x14ac:dyDescent="0.25">
      <c r="A12" s="59" t="s">
        <v>164</v>
      </c>
      <c r="B12" s="8">
        <v>16125</v>
      </c>
      <c r="C12" s="43" t="s">
        <v>1253</v>
      </c>
      <c r="D12" s="8" t="s">
        <v>8</v>
      </c>
      <c r="E12" s="61" t="s">
        <v>67</v>
      </c>
      <c r="F12" s="8" t="s">
        <v>1244</v>
      </c>
      <c r="G12" s="36">
        <v>67</v>
      </c>
      <c r="H12" s="8">
        <v>0</v>
      </c>
      <c r="I12" s="8" t="s">
        <v>1245</v>
      </c>
      <c r="J12" s="8" t="s">
        <v>1246</v>
      </c>
      <c r="K12" s="71" t="s">
        <v>9</v>
      </c>
      <c r="L12" s="8" t="s">
        <v>1178</v>
      </c>
      <c r="M12" s="8" t="s">
        <v>94</v>
      </c>
      <c r="N12" s="60" t="s">
        <v>98</v>
      </c>
      <c r="O12" s="49" t="s">
        <v>2</v>
      </c>
      <c r="P12" s="8">
        <v>4</v>
      </c>
      <c r="Q12" s="8" t="s">
        <v>1254</v>
      </c>
      <c r="R12" s="8" t="s">
        <v>1248</v>
      </c>
      <c r="S12" s="9" t="str">
        <f>IFERROR(HYPERLINK("#Main!A"&amp;MATCH(A12,Main!A:A,0),"Open"),HYPERLINK("#Main!A1","Open"))</f>
        <v>Open</v>
      </c>
      <c r="T12" s="9" t="str">
        <f>IFERROR(HYPERLINK("#Technical!A"&amp;MATCH(A12,Technical!A:A,0),"Open"),HYPERLINK("#Technical!A1","Open"))</f>
        <v>Open</v>
      </c>
      <c r="U12" s="9"/>
    </row>
    <row r="13" spans="1:21" ht="30" customHeight="1" x14ac:dyDescent="0.25">
      <c r="A13" s="58" t="s">
        <v>172</v>
      </c>
      <c r="B13" s="11">
        <v>5619</v>
      </c>
      <c r="C13" s="43" t="s">
        <v>1255</v>
      </c>
      <c r="D13" s="11" t="s">
        <v>8</v>
      </c>
      <c r="E13" s="61" t="s">
        <v>67</v>
      </c>
      <c r="F13" s="11" t="s">
        <v>1244</v>
      </c>
      <c r="G13" s="10">
        <v>67</v>
      </c>
      <c r="H13" s="11">
        <v>0</v>
      </c>
      <c r="I13" s="11" t="s">
        <v>1245</v>
      </c>
      <c r="J13" s="11" t="s">
        <v>1246</v>
      </c>
      <c r="K13" s="72" t="s">
        <v>9</v>
      </c>
      <c r="L13" s="11" t="s">
        <v>1178</v>
      </c>
      <c r="M13" s="11" t="s">
        <v>94</v>
      </c>
      <c r="N13" s="60" t="s">
        <v>98</v>
      </c>
      <c r="O13" s="49" t="s">
        <v>2</v>
      </c>
      <c r="P13" s="11">
        <v>4</v>
      </c>
      <c r="Q13" s="11" t="s">
        <v>1256</v>
      </c>
      <c r="R13" s="11" t="s">
        <v>1248</v>
      </c>
      <c r="S13" t="str">
        <f>IFERROR(HYPERLINK("#Main!A"&amp;MATCH(A13,Main!A:A,0),"Open"),HYPERLINK("#Main!A1","Open"))</f>
        <v>Open</v>
      </c>
      <c r="T13" t="str">
        <f>IFERROR(HYPERLINK("#Technical!A"&amp;MATCH(A13,Technical!A:A,0),"Open"),HYPERLINK("#Technical!A1","Open"))</f>
        <v>Open</v>
      </c>
    </row>
    <row r="14" spans="1:21" ht="30" customHeight="1" x14ac:dyDescent="0.25">
      <c r="A14" s="59" t="s">
        <v>180</v>
      </c>
      <c r="B14" s="8">
        <v>4941</v>
      </c>
      <c r="C14" s="43" t="s">
        <v>1257</v>
      </c>
      <c r="D14" s="8" t="s">
        <v>8</v>
      </c>
      <c r="E14" s="61" t="s">
        <v>67</v>
      </c>
      <c r="F14" s="8" t="s">
        <v>1244</v>
      </c>
      <c r="G14" s="36">
        <v>67</v>
      </c>
      <c r="H14" s="8">
        <v>0</v>
      </c>
      <c r="I14" s="8" t="s">
        <v>1245</v>
      </c>
      <c r="J14" s="8" t="s">
        <v>1246</v>
      </c>
      <c r="K14" s="71" t="s">
        <v>9</v>
      </c>
      <c r="L14" s="8" t="s">
        <v>1178</v>
      </c>
      <c r="M14" s="8" t="s">
        <v>94</v>
      </c>
      <c r="N14" s="60" t="s">
        <v>98</v>
      </c>
      <c r="O14" s="49" t="s">
        <v>2</v>
      </c>
      <c r="P14" s="8">
        <v>4</v>
      </c>
      <c r="Q14" s="8" t="s">
        <v>1258</v>
      </c>
      <c r="R14" s="8" t="s">
        <v>1248</v>
      </c>
      <c r="S14" s="9" t="str">
        <f>IFERROR(HYPERLINK("#Main!A"&amp;MATCH(A14,Main!A:A,0),"Open"),HYPERLINK("#Main!A1","Open"))</f>
        <v>Open</v>
      </c>
      <c r="T14" s="9" t="str">
        <f>IFERROR(HYPERLINK("#Technical!A"&amp;MATCH(A14,Technical!A:A,0),"Open"),HYPERLINK("#Technical!A1","Open"))</f>
        <v>Open</v>
      </c>
      <c r="U14" s="9"/>
    </row>
    <row r="15" spans="1:21" ht="30" customHeight="1" x14ac:dyDescent="0.25">
      <c r="A15" s="58" t="s">
        <v>188</v>
      </c>
      <c r="B15" s="11">
        <v>4494</v>
      </c>
      <c r="C15" s="43" t="s">
        <v>1259</v>
      </c>
      <c r="D15" s="11" t="s">
        <v>8</v>
      </c>
      <c r="E15" s="61" t="s">
        <v>67</v>
      </c>
      <c r="F15" s="11" t="s">
        <v>1244</v>
      </c>
      <c r="G15" s="10">
        <v>67</v>
      </c>
      <c r="H15" s="11">
        <v>0</v>
      </c>
      <c r="I15" s="11" t="s">
        <v>1245</v>
      </c>
      <c r="J15" s="11" t="s">
        <v>1246</v>
      </c>
      <c r="K15" s="72" t="s">
        <v>9</v>
      </c>
      <c r="L15" s="11" t="s">
        <v>1178</v>
      </c>
      <c r="M15" s="11" t="s">
        <v>94</v>
      </c>
      <c r="N15" s="60" t="s">
        <v>98</v>
      </c>
      <c r="O15" s="49" t="s">
        <v>2</v>
      </c>
      <c r="P15" s="11">
        <v>4</v>
      </c>
      <c r="Q15" s="11" t="s">
        <v>1260</v>
      </c>
      <c r="R15" s="11" t="s">
        <v>1248</v>
      </c>
      <c r="S15" t="str">
        <f>IFERROR(HYPERLINK("#Main!A"&amp;MATCH(A15,Main!A:A,0),"Open"),HYPERLINK("#Main!A1","Open"))</f>
        <v>Open</v>
      </c>
      <c r="T15" t="str">
        <f>IFERROR(HYPERLINK("#Technical!A"&amp;MATCH(A15,Technical!A:A,0),"Open"),HYPERLINK("#Technical!A1","Open"))</f>
        <v>Open</v>
      </c>
    </row>
    <row r="16" spans="1:21" ht="30" customHeight="1" x14ac:dyDescent="0.25">
      <c r="A16" s="59" t="s">
        <v>196</v>
      </c>
      <c r="B16" s="8">
        <v>12371</v>
      </c>
      <c r="C16" s="43" t="s">
        <v>1261</v>
      </c>
      <c r="D16" s="8" t="s">
        <v>8</v>
      </c>
      <c r="E16" s="61" t="s">
        <v>67</v>
      </c>
      <c r="F16" s="8" t="s">
        <v>1244</v>
      </c>
      <c r="G16" s="36">
        <v>67</v>
      </c>
      <c r="H16" s="8">
        <v>0</v>
      </c>
      <c r="I16" s="8" t="s">
        <v>1245</v>
      </c>
      <c r="J16" s="8" t="s">
        <v>1246</v>
      </c>
      <c r="K16" s="71" t="s">
        <v>9</v>
      </c>
      <c r="L16" s="8" t="s">
        <v>1178</v>
      </c>
      <c r="M16" s="8" t="s">
        <v>94</v>
      </c>
      <c r="N16" s="60" t="s">
        <v>98</v>
      </c>
      <c r="O16" s="49" t="s">
        <v>2</v>
      </c>
      <c r="P16" s="8">
        <v>4</v>
      </c>
      <c r="Q16" s="8" t="s">
        <v>1262</v>
      </c>
      <c r="R16" s="8" t="s">
        <v>1248</v>
      </c>
      <c r="S16" s="9" t="str">
        <f>IFERROR(HYPERLINK("#Main!A"&amp;MATCH(A16,Main!A:A,0),"Open"),HYPERLINK("#Main!A1","Open"))</f>
        <v>Open</v>
      </c>
      <c r="T16" s="9" t="str">
        <f>IFERROR(HYPERLINK("#Technical!A"&amp;MATCH(A16,Technical!A:A,0),"Open"),HYPERLINK("#Technical!A1","Open"))</f>
        <v>Open</v>
      </c>
      <c r="U16" s="9"/>
    </row>
    <row r="17" spans="1:21" ht="30" customHeight="1" x14ac:dyDescent="0.25">
      <c r="A17" s="58" t="s">
        <v>99</v>
      </c>
      <c r="B17" s="11">
        <v>13164</v>
      </c>
      <c r="C17" s="43" t="s">
        <v>1230</v>
      </c>
      <c r="D17" s="11" t="s">
        <v>8</v>
      </c>
      <c r="E17" s="61" t="s">
        <v>67</v>
      </c>
      <c r="F17" s="11" t="s">
        <v>1244</v>
      </c>
      <c r="G17" s="10">
        <v>67</v>
      </c>
      <c r="H17" s="11">
        <v>0</v>
      </c>
      <c r="I17" s="11" t="s">
        <v>1245</v>
      </c>
      <c r="J17" s="11" t="s">
        <v>1246</v>
      </c>
      <c r="K17" s="72" t="s">
        <v>9</v>
      </c>
      <c r="L17" s="11" t="s">
        <v>1178</v>
      </c>
      <c r="M17" s="11" t="s">
        <v>94</v>
      </c>
      <c r="N17" s="60" t="s">
        <v>98</v>
      </c>
      <c r="O17" s="49" t="s">
        <v>2</v>
      </c>
      <c r="P17" s="11">
        <v>4</v>
      </c>
      <c r="Q17" s="11" t="s">
        <v>1263</v>
      </c>
      <c r="R17" s="11" t="s">
        <v>1248</v>
      </c>
      <c r="S17" t="str">
        <f>IFERROR(HYPERLINK("#Main!A"&amp;MATCH(A17,Main!A:A,0),"Open"),HYPERLINK("#Main!A1","Open"))</f>
        <v>Open</v>
      </c>
      <c r="T17" t="str">
        <f>IFERROR(HYPERLINK("#Technical!A"&amp;MATCH(A17,Technical!A:A,0),"Open"),HYPERLINK("#Technical!A1","Open"))</f>
        <v>Open</v>
      </c>
    </row>
    <row r="18" spans="1:21" ht="30" customHeight="1" x14ac:dyDescent="0.25">
      <c r="A18" s="59" t="s">
        <v>210</v>
      </c>
      <c r="B18" s="8">
        <v>12954</v>
      </c>
      <c r="C18" s="43" t="s">
        <v>1264</v>
      </c>
      <c r="D18" s="8" t="s">
        <v>8</v>
      </c>
      <c r="E18" s="61" t="s">
        <v>67</v>
      </c>
      <c r="F18" s="8" t="s">
        <v>1244</v>
      </c>
      <c r="G18" s="36">
        <v>67</v>
      </c>
      <c r="H18" s="8">
        <v>0</v>
      </c>
      <c r="I18" s="8" t="s">
        <v>1245</v>
      </c>
      <c r="J18" s="8" t="s">
        <v>1246</v>
      </c>
      <c r="K18" s="71" t="s">
        <v>9</v>
      </c>
      <c r="L18" s="8" t="s">
        <v>1178</v>
      </c>
      <c r="M18" s="8" t="s">
        <v>94</v>
      </c>
      <c r="N18" s="60" t="s">
        <v>98</v>
      </c>
      <c r="O18" s="49" t="s">
        <v>2</v>
      </c>
      <c r="P18" s="8">
        <v>4</v>
      </c>
      <c r="Q18" s="8" t="s">
        <v>1265</v>
      </c>
      <c r="R18" s="8" t="s">
        <v>1248</v>
      </c>
      <c r="S18" s="9" t="str">
        <f>IFERROR(HYPERLINK("#Main!A"&amp;MATCH(A18,Main!A:A,0),"Open"),HYPERLINK("#Main!A1","Open"))</f>
        <v>Open</v>
      </c>
      <c r="T18" s="9" t="str">
        <f>IFERROR(HYPERLINK("#Technical!A"&amp;MATCH(A18,Technical!A:A,0),"Open"),HYPERLINK("#Technical!A1","Open"))</f>
        <v>Open</v>
      </c>
      <c r="U18" s="9"/>
    </row>
    <row r="19" spans="1:21" ht="30" customHeight="1" x14ac:dyDescent="0.25">
      <c r="A19" s="58" t="s">
        <v>218</v>
      </c>
      <c r="B19" s="11">
        <v>12497</v>
      </c>
      <c r="C19" s="43" t="s">
        <v>1266</v>
      </c>
      <c r="D19" s="11" t="s">
        <v>8</v>
      </c>
      <c r="E19" s="61" t="s">
        <v>67</v>
      </c>
      <c r="F19" s="11" t="s">
        <v>1244</v>
      </c>
      <c r="G19" s="10">
        <v>67</v>
      </c>
      <c r="H19" s="11">
        <v>0</v>
      </c>
      <c r="I19" s="11" t="s">
        <v>1245</v>
      </c>
      <c r="J19" s="11" t="s">
        <v>1246</v>
      </c>
      <c r="K19" s="72" t="s">
        <v>9</v>
      </c>
      <c r="L19" s="11" t="s">
        <v>1178</v>
      </c>
      <c r="M19" s="11" t="s">
        <v>94</v>
      </c>
      <c r="N19" s="60" t="s">
        <v>98</v>
      </c>
      <c r="O19" s="49" t="s">
        <v>2</v>
      </c>
      <c r="P19" s="11">
        <v>4</v>
      </c>
      <c r="Q19" s="11" t="s">
        <v>1267</v>
      </c>
      <c r="R19" s="11" t="s">
        <v>1248</v>
      </c>
      <c r="S19" t="str">
        <f>IFERROR(HYPERLINK("#Main!A"&amp;MATCH(A19,Main!A:A,0),"Open"),HYPERLINK("#Main!A1","Open"))</f>
        <v>Open</v>
      </c>
      <c r="T19" t="str">
        <f>IFERROR(HYPERLINK("#Technical!A"&amp;MATCH(A19,Technical!A:A,0),"Open"),HYPERLINK("#Technical!A1","Open"))</f>
        <v>Open</v>
      </c>
    </row>
    <row r="20" spans="1:21" ht="30" customHeight="1" x14ac:dyDescent="0.25">
      <c r="A20" s="59" t="s">
        <v>226</v>
      </c>
      <c r="B20" s="8">
        <v>12407</v>
      </c>
      <c r="C20" s="43" t="s">
        <v>1268</v>
      </c>
      <c r="D20" s="8" t="s">
        <v>8</v>
      </c>
      <c r="E20" s="61" t="s">
        <v>67</v>
      </c>
      <c r="F20" s="8" t="s">
        <v>1244</v>
      </c>
      <c r="G20" s="36">
        <v>67</v>
      </c>
      <c r="H20" s="8">
        <v>0</v>
      </c>
      <c r="I20" s="8" t="s">
        <v>1245</v>
      </c>
      <c r="J20" s="8" t="s">
        <v>1246</v>
      </c>
      <c r="K20" s="71" t="s">
        <v>9</v>
      </c>
      <c r="L20" s="8" t="s">
        <v>1178</v>
      </c>
      <c r="M20" s="8" t="s">
        <v>94</v>
      </c>
      <c r="N20" s="60" t="s">
        <v>98</v>
      </c>
      <c r="O20" s="49" t="s">
        <v>2</v>
      </c>
      <c r="P20" s="8">
        <v>4</v>
      </c>
      <c r="Q20" s="8" t="s">
        <v>1269</v>
      </c>
      <c r="R20" s="8" t="s">
        <v>1248</v>
      </c>
      <c r="S20" s="9" t="str">
        <f>IFERROR(HYPERLINK("#Main!A"&amp;MATCH(A20,Main!A:A,0),"Open"),HYPERLINK("#Main!A1","Open"))</f>
        <v>Open</v>
      </c>
      <c r="T20" s="9" t="str">
        <f>IFERROR(HYPERLINK("#Technical!A"&amp;MATCH(A20,Technical!A:A,0),"Open"),HYPERLINK("#Technical!A1","Open"))</f>
        <v>Open</v>
      </c>
      <c r="U20" s="9"/>
    </row>
    <row r="21" spans="1:21" ht="30" customHeight="1" x14ac:dyDescent="0.25">
      <c r="A21" s="58" t="s">
        <v>234</v>
      </c>
      <c r="B21" s="11">
        <v>13098</v>
      </c>
      <c r="C21" s="43" t="s">
        <v>1270</v>
      </c>
      <c r="D21" s="11" t="s">
        <v>8</v>
      </c>
      <c r="E21" s="61" t="s">
        <v>67</v>
      </c>
      <c r="F21" s="11" t="s">
        <v>1244</v>
      </c>
      <c r="G21" s="10">
        <v>67</v>
      </c>
      <c r="H21" s="11">
        <v>0</v>
      </c>
      <c r="I21" s="11" t="s">
        <v>1245</v>
      </c>
      <c r="J21" s="11" t="s">
        <v>1246</v>
      </c>
      <c r="K21" s="72" t="s">
        <v>9</v>
      </c>
      <c r="L21" s="11" t="s">
        <v>1178</v>
      </c>
      <c r="M21" s="11" t="s">
        <v>94</v>
      </c>
      <c r="N21" s="60" t="s">
        <v>98</v>
      </c>
      <c r="O21" s="49" t="s">
        <v>2</v>
      </c>
      <c r="P21" s="11">
        <v>4</v>
      </c>
      <c r="Q21" s="11" t="s">
        <v>1271</v>
      </c>
      <c r="R21" s="11" t="s">
        <v>1248</v>
      </c>
      <c r="S21" t="str">
        <f>IFERROR(HYPERLINK("#Main!A"&amp;MATCH(A21,Main!A:A,0),"Open"),HYPERLINK("#Main!A1","Open"))</f>
        <v>Open</v>
      </c>
      <c r="T21" t="str">
        <f>IFERROR(HYPERLINK("#Technical!A"&amp;MATCH(A21,Technical!A:A,0),"Open"),HYPERLINK("#Technical!A1","Open"))</f>
        <v>Open</v>
      </c>
    </row>
    <row r="22" spans="1:21" ht="30" customHeight="1" x14ac:dyDescent="0.25">
      <c r="A22" s="59" t="s">
        <v>242</v>
      </c>
      <c r="B22" s="8">
        <v>13549</v>
      </c>
      <c r="C22" s="43" t="s">
        <v>1272</v>
      </c>
      <c r="D22" s="8" t="s">
        <v>8</v>
      </c>
      <c r="E22" s="61" t="s">
        <v>67</v>
      </c>
      <c r="F22" s="8" t="s">
        <v>1244</v>
      </c>
      <c r="G22" s="36">
        <v>67</v>
      </c>
      <c r="H22" s="8">
        <v>0</v>
      </c>
      <c r="I22" s="8" t="s">
        <v>1245</v>
      </c>
      <c r="J22" s="8" t="s">
        <v>1246</v>
      </c>
      <c r="K22" s="71" t="s">
        <v>9</v>
      </c>
      <c r="L22" s="8" t="s">
        <v>1178</v>
      </c>
      <c r="M22" s="8" t="s">
        <v>94</v>
      </c>
      <c r="N22" s="60" t="s">
        <v>98</v>
      </c>
      <c r="O22" s="49" t="s">
        <v>2</v>
      </c>
      <c r="P22" s="8">
        <v>4</v>
      </c>
      <c r="Q22" s="8" t="s">
        <v>1273</v>
      </c>
      <c r="R22" s="8" t="s">
        <v>1248</v>
      </c>
      <c r="S22" s="9" t="str">
        <f>IFERROR(HYPERLINK("#Main!A"&amp;MATCH(A22,Main!A:A,0),"Open"),HYPERLINK("#Main!A1","Open"))</f>
        <v>Open</v>
      </c>
      <c r="T22" s="9" t="str">
        <f>IFERROR(HYPERLINK("#Technical!A"&amp;MATCH(A22,Technical!A:A,0),"Open"),HYPERLINK("#Technical!A1","Open"))</f>
        <v>Open</v>
      </c>
      <c r="U22" s="9"/>
    </row>
    <row r="23" spans="1:21" ht="30" customHeight="1" x14ac:dyDescent="0.25">
      <c r="A23" s="58" t="s">
        <v>250</v>
      </c>
      <c r="B23" s="11">
        <v>13282</v>
      </c>
      <c r="C23" s="43" t="s">
        <v>1274</v>
      </c>
      <c r="D23" s="11" t="s">
        <v>8</v>
      </c>
      <c r="E23" s="61" t="s">
        <v>67</v>
      </c>
      <c r="F23" s="11" t="s">
        <v>1244</v>
      </c>
      <c r="G23" s="10">
        <v>67</v>
      </c>
      <c r="H23" s="11">
        <v>0</v>
      </c>
      <c r="I23" s="11" t="s">
        <v>1245</v>
      </c>
      <c r="J23" s="11" t="s">
        <v>1246</v>
      </c>
      <c r="K23" s="72" t="s">
        <v>9</v>
      </c>
      <c r="L23" s="11" t="s">
        <v>1178</v>
      </c>
      <c r="M23" s="11" t="s">
        <v>94</v>
      </c>
      <c r="N23" s="60" t="s">
        <v>98</v>
      </c>
      <c r="O23" s="49" t="s">
        <v>2</v>
      </c>
      <c r="P23" s="11">
        <v>4</v>
      </c>
      <c r="Q23" s="11" t="s">
        <v>1275</v>
      </c>
      <c r="R23" s="11" t="s">
        <v>1248</v>
      </c>
      <c r="S23" t="str">
        <f>IFERROR(HYPERLINK("#Main!A"&amp;MATCH(A23,Main!A:A,0),"Open"),HYPERLINK("#Main!A1","Open"))</f>
        <v>Open</v>
      </c>
      <c r="T23" t="str">
        <f>IFERROR(HYPERLINK("#Technical!A"&amp;MATCH(A23,Technical!A:A,0),"Open"),HYPERLINK("#Technical!A1","Open"))</f>
        <v>Open</v>
      </c>
    </row>
    <row r="24" spans="1:21" ht="30" customHeight="1" x14ac:dyDescent="0.25">
      <c r="A24" s="59" t="s">
        <v>258</v>
      </c>
      <c r="B24" s="8">
        <v>12945</v>
      </c>
      <c r="C24" s="43" t="s">
        <v>1276</v>
      </c>
      <c r="D24" s="8" t="s">
        <v>8</v>
      </c>
      <c r="E24" s="61" t="s">
        <v>67</v>
      </c>
      <c r="F24" s="8" t="s">
        <v>1244</v>
      </c>
      <c r="G24" s="36">
        <v>67</v>
      </c>
      <c r="H24" s="8">
        <v>0</v>
      </c>
      <c r="I24" s="8" t="s">
        <v>1245</v>
      </c>
      <c r="J24" s="8" t="s">
        <v>1246</v>
      </c>
      <c r="K24" s="71" t="s">
        <v>9</v>
      </c>
      <c r="L24" s="8" t="s">
        <v>1178</v>
      </c>
      <c r="M24" s="8" t="s">
        <v>94</v>
      </c>
      <c r="N24" s="60" t="s">
        <v>98</v>
      </c>
      <c r="O24" s="49" t="s">
        <v>2</v>
      </c>
      <c r="P24" s="8">
        <v>4</v>
      </c>
      <c r="Q24" s="8" t="s">
        <v>1277</v>
      </c>
      <c r="R24" s="8" t="s">
        <v>1248</v>
      </c>
      <c r="S24" s="9" t="str">
        <f>IFERROR(HYPERLINK("#Main!A"&amp;MATCH(A24,Main!A:A,0),"Open"),HYPERLINK("#Main!A1","Open"))</f>
        <v>Open</v>
      </c>
      <c r="T24" s="9" t="str">
        <f>IFERROR(HYPERLINK("#Technical!A"&amp;MATCH(A24,Technical!A:A,0),"Open"),HYPERLINK("#Technical!A1","Open"))</f>
        <v>Open</v>
      </c>
      <c r="U24" s="9"/>
    </row>
    <row r="25" spans="1:21" ht="30" customHeight="1" x14ac:dyDescent="0.25">
      <c r="A25" s="58" t="s">
        <v>266</v>
      </c>
      <c r="B25" s="11">
        <v>13179</v>
      </c>
      <c r="C25" s="43" t="s">
        <v>1278</v>
      </c>
      <c r="D25" s="11" t="s">
        <v>8</v>
      </c>
      <c r="E25" s="61" t="s">
        <v>67</v>
      </c>
      <c r="F25" s="11" t="s">
        <v>1244</v>
      </c>
      <c r="G25" s="10">
        <v>67</v>
      </c>
      <c r="H25" s="11">
        <v>0</v>
      </c>
      <c r="I25" s="11" t="s">
        <v>1245</v>
      </c>
      <c r="J25" s="11" t="s">
        <v>1246</v>
      </c>
      <c r="K25" s="72" t="s">
        <v>9</v>
      </c>
      <c r="L25" s="11" t="s">
        <v>1178</v>
      </c>
      <c r="M25" s="11" t="s">
        <v>94</v>
      </c>
      <c r="N25" s="60" t="s">
        <v>98</v>
      </c>
      <c r="O25" s="49" t="s">
        <v>2</v>
      </c>
      <c r="P25" s="11">
        <v>4</v>
      </c>
      <c r="Q25" s="11" t="s">
        <v>1279</v>
      </c>
      <c r="R25" s="11" t="s">
        <v>1248</v>
      </c>
      <c r="S25" t="str">
        <f>IFERROR(HYPERLINK("#Main!A"&amp;MATCH(A25,Main!A:A,0),"Open"),HYPERLINK("#Main!A1","Open"))</f>
        <v>Open</v>
      </c>
      <c r="T25" t="str">
        <f>IFERROR(HYPERLINK("#Technical!A"&amp;MATCH(A25,Technical!A:A,0),"Open"),HYPERLINK("#Technical!A1","Open"))</f>
        <v>Open</v>
      </c>
    </row>
    <row r="26" spans="1:21" ht="30" customHeight="1" x14ac:dyDescent="0.25">
      <c r="A26" s="59" t="s">
        <v>274</v>
      </c>
      <c r="B26" s="8">
        <v>22401</v>
      </c>
      <c r="C26" s="43" t="s">
        <v>1280</v>
      </c>
      <c r="D26" s="8" t="s">
        <v>8</v>
      </c>
      <c r="E26" s="61" t="s">
        <v>67</v>
      </c>
      <c r="F26" s="8" t="s">
        <v>1244</v>
      </c>
      <c r="G26" s="36">
        <v>67</v>
      </c>
      <c r="H26" s="8">
        <v>0</v>
      </c>
      <c r="I26" s="8" t="s">
        <v>1245</v>
      </c>
      <c r="J26" s="8" t="s">
        <v>1246</v>
      </c>
      <c r="K26" s="71" t="s">
        <v>9</v>
      </c>
      <c r="L26" s="8" t="s">
        <v>1178</v>
      </c>
      <c r="M26" s="8" t="s">
        <v>94</v>
      </c>
      <c r="N26" s="60" t="s">
        <v>98</v>
      </c>
      <c r="O26" s="49" t="s">
        <v>2</v>
      </c>
      <c r="P26" s="8">
        <v>4</v>
      </c>
      <c r="Q26" s="8" t="s">
        <v>1281</v>
      </c>
      <c r="R26" s="8" t="s">
        <v>1248</v>
      </c>
      <c r="S26" s="9" t="str">
        <f>IFERROR(HYPERLINK("#Main!A"&amp;MATCH(A26,Main!A:A,0),"Open"),HYPERLINK("#Main!A1","Open"))</f>
        <v>Open</v>
      </c>
      <c r="T26" s="9" t="str">
        <f>IFERROR(HYPERLINK("#Technical!A"&amp;MATCH(A26,Technical!A:A,0),"Open"),HYPERLINK("#Technical!A1","Open"))</f>
        <v>Open</v>
      </c>
      <c r="U26" s="9"/>
    </row>
    <row r="27" spans="1:21" ht="30" customHeight="1" x14ac:dyDescent="0.25">
      <c r="A27" s="58" t="s">
        <v>282</v>
      </c>
      <c r="B27" s="11">
        <v>18318</v>
      </c>
      <c r="C27" s="43" t="s">
        <v>1282</v>
      </c>
      <c r="D27" s="11" t="s">
        <v>8</v>
      </c>
      <c r="E27" s="61" t="s">
        <v>67</v>
      </c>
      <c r="F27" s="11" t="s">
        <v>1244</v>
      </c>
      <c r="G27" s="10">
        <v>67</v>
      </c>
      <c r="H27" s="11">
        <v>0</v>
      </c>
      <c r="I27" s="11" t="s">
        <v>1245</v>
      </c>
      <c r="J27" s="11" t="s">
        <v>1246</v>
      </c>
      <c r="K27" s="72" t="s">
        <v>9</v>
      </c>
      <c r="L27" s="11" t="s">
        <v>1178</v>
      </c>
      <c r="M27" s="11" t="s">
        <v>94</v>
      </c>
      <c r="N27" s="60" t="s">
        <v>98</v>
      </c>
      <c r="O27" s="49" t="s">
        <v>2</v>
      </c>
      <c r="P27" s="11">
        <v>4</v>
      </c>
      <c r="Q27" s="11" t="s">
        <v>1283</v>
      </c>
      <c r="R27" s="11" t="s">
        <v>1248</v>
      </c>
      <c r="S27" t="str">
        <f>IFERROR(HYPERLINK("#Main!A"&amp;MATCH(A27,Main!A:A,0),"Open"),HYPERLINK("#Main!A1","Open"))</f>
        <v>Open</v>
      </c>
      <c r="T27" t="str">
        <f>IFERROR(HYPERLINK("#Technical!A"&amp;MATCH(A27,Technical!A:A,0),"Open"),HYPERLINK("#Technical!A1","Open"))</f>
        <v>Open</v>
      </c>
    </row>
    <row r="28" spans="1:21" ht="30" customHeight="1" x14ac:dyDescent="0.25">
      <c r="A28" s="59" t="s">
        <v>290</v>
      </c>
      <c r="B28" s="8">
        <v>30257</v>
      </c>
      <c r="C28" s="43" t="s">
        <v>1284</v>
      </c>
      <c r="D28" s="8" t="s">
        <v>8</v>
      </c>
      <c r="E28" s="61" t="s">
        <v>67</v>
      </c>
      <c r="F28" s="8" t="s">
        <v>1244</v>
      </c>
      <c r="G28" s="36">
        <v>67</v>
      </c>
      <c r="H28" s="8">
        <v>0</v>
      </c>
      <c r="I28" s="8" t="s">
        <v>1245</v>
      </c>
      <c r="J28" s="8" t="s">
        <v>1246</v>
      </c>
      <c r="K28" s="71" t="s">
        <v>9</v>
      </c>
      <c r="L28" s="8" t="s">
        <v>1178</v>
      </c>
      <c r="M28" s="8" t="s">
        <v>94</v>
      </c>
      <c r="N28" s="60" t="s">
        <v>98</v>
      </c>
      <c r="O28" s="49" t="s">
        <v>2</v>
      </c>
      <c r="P28" s="8">
        <v>4</v>
      </c>
      <c r="Q28" s="8" t="s">
        <v>1285</v>
      </c>
      <c r="R28" s="8" t="s">
        <v>1248</v>
      </c>
      <c r="S28" s="9" t="str">
        <f>IFERROR(HYPERLINK("#Main!A"&amp;MATCH(A28,Main!A:A,0),"Open"),HYPERLINK("#Main!A1","Open"))</f>
        <v>Open</v>
      </c>
      <c r="T28" s="9" t="str">
        <f>IFERROR(HYPERLINK("#Technical!A"&amp;MATCH(A28,Technical!A:A,0),"Open"),HYPERLINK("#Technical!A1","Open"))</f>
        <v>Open</v>
      </c>
      <c r="U28" s="9"/>
    </row>
    <row r="29" spans="1:21" ht="30" customHeight="1" x14ac:dyDescent="0.25">
      <c r="A29" s="58" t="s">
        <v>298</v>
      </c>
      <c r="B29" s="11">
        <v>23710</v>
      </c>
      <c r="C29" s="43" t="s">
        <v>1286</v>
      </c>
      <c r="D29" s="11" t="s">
        <v>8</v>
      </c>
      <c r="E29" s="61" t="s">
        <v>67</v>
      </c>
      <c r="F29" s="11" t="s">
        <v>1244</v>
      </c>
      <c r="G29" s="10">
        <v>67</v>
      </c>
      <c r="H29" s="11">
        <v>0</v>
      </c>
      <c r="I29" s="11" t="s">
        <v>1245</v>
      </c>
      <c r="J29" s="11" t="s">
        <v>1246</v>
      </c>
      <c r="K29" s="72" t="s">
        <v>9</v>
      </c>
      <c r="L29" s="11" t="s">
        <v>1178</v>
      </c>
      <c r="M29" s="11" t="s">
        <v>94</v>
      </c>
      <c r="N29" s="60" t="s">
        <v>98</v>
      </c>
      <c r="O29" s="49" t="s">
        <v>2</v>
      </c>
      <c r="P29" s="11">
        <v>4</v>
      </c>
      <c r="Q29" s="11" t="s">
        <v>1287</v>
      </c>
      <c r="R29" s="11" t="s">
        <v>1248</v>
      </c>
      <c r="S29" t="str">
        <f>IFERROR(HYPERLINK("#Main!A"&amp;MATCH(A29,Main!A:A,0),"Open"),HYPERLINK("#Main!A1","Open"))</f>
        <v>Open</v>
      </c>
      <c r="T29" t="str">
        <f>IFERROR(HYPERLINK("#Technical!A"&amp;MATCH(A29,Technical!A:A,0),"Open"),HYPERLINK("#Technical!A1","Open"))</f>
        <v>Open</v>
      </c>
    </row>
    <row r="30" spans="1:21" ht="30" customHeight="1" x14ac:dyDescent="0.25">
      <c r="A30" s="59" t="s">
        <v>306</v>
      </c>
      <c r="B30" s="8">
        <v>33280</v>
      </c>
      <c r="C30" s="43" t="s">
        <v>1288</v>
      </c>
      <c r="D30" s="8" t="s">
        <v>8</v>
      </c>
      <c r="E30" s="61" t="s">
        <v>67</v>
      </c>
      <c r="F30" s="8" t="s">
        <v>1244</v>
      </c>
      <c r="G30" s="36">
        <v>67</v>
      </c>
      <c r="H30" s="8">
        <v>0</v>
      </c>
      <c r="I30" s="8" t="s">
        <v>1245</v>
      </c>
      <c r="J30" s="8" t="s">
        <v>1246</v>
      </c>
      <c r="K30" s="71" t="s">
        <v>9</v>
      </c>
      <c r="L30" s="8" t="s">
        <v>1178</v>
      </c>
      <c r="M30" s="8" t="s">
        <v>94</v>
      </c>
      <c r="N30" s="60" t="s">
        <v>98</v>
      </c>
      <c r="O30" s="49" t="s">
        <v>2</v>
      </c>
      <c r="P30" s="8">
        <v>4</v>
      </c>
      <c r="Q30" s="8" t="s">
        <v>1289</v>
      </c>
      <c r="R30" s="8" t="s">
        <v>1248</v>
      </c>
      <c r="S30" s="9" t="str">
        <f>IFERROR(HYPERLINK("#Main!A"&amp;MATCH(A30,Main!A:A,0),"Open"),HYPERLINK("#Main!A1","Open"))</f>
        <v>Open</v>
      </c>
      <c r="T30" s="9" t="str">
        <f>IFERROR(HYPERLINK("#Technical!A"&amp;MATCH(A30,Technical!A:A,0),"Open"),HYPERLINK("#Technical!A1","Open"))</f>
        <v>Open</v>
      </c>
      <c r="U30" s="9"/>
    </row>
    <row r="31" spans="1:21" ht="30" customHeight="1" x14ac:dyDescent="0.25">
      <c r="A31" s="58" t="s">
        <v>314</v>
      </c>
      <c r="B31" s="11">
        <v>22778</v>
      </c>
      <c r="C31" s="43" t="s">
        <v>1290</v>
      </c>
      <c r="D31" s="11" t="s">
        <v>8</v>
      </c>
      <c r="E31" s="61" t="s">
        <v>67</v>
      </c>
      <c r="F31" s="11" t="s">
        <v>1244</v>
      </c>
      <c r="G31" s="10">
        <v>67</v>
      </c>
      <c r="H31" s="11">
        <v>0</v>
      </c>
      <c r="I31" s="11" t="s">
        <v>1245</v>
      </c>
      <c r="J31" s="11" t="s">
        <v>1246</v>
      </c>
      <c r="K31" s="72" t="s">
        <v>9</v>
      </c>
      <c r="L31" s="11" t="s">
        <v>1178</v>
      </c>
      <c r="M31" s="11" t="s">
        <v>94</v>
      </c>
      <c r="N31" s="60" t="s">
        <v>98</v>
      </c>
      <c r="O31" s="49" t="s">
        <v>2</v>
      </c>
      <c r="P31" s="11">
        <v>4</v>
      </c>
      <c r="Q31" s="11" t="s">
        <v>1291</v>
      </c>
      <c r="R31" s="11" t="s">
        <v>1248</v>
      </c>
      <c r="S31" t="str">
        <f>IFERROR(HYPERLINK("#Main!A"&amp;MATCH(A31,Main!A:A,0),"Open"),HYPERLINK("#Main!A1","Open"))</f>
        <v>Open</v>
      </c>
      <c r="T31" t="str">
        <f>IFERROR(HYPERLINK("#Technical!A"&amp;MATCH(A31,Technical!A:A,0),"Open"),HYPERLINK("#Technical!A1","Open"))</f>
        <v>Open</v>
      </c>
    </row>
    <row r="32" spans="1:21" ht="30" customHeight="1" x14ac:dyDescent="0.25">
      <c r="A32" s="59" t="s">
        <v>322</v>
      </c>
      <c r="B32" s="8">
        <v>31478</v>
      </c>
      <c r="C32" s="43" t="s">
        <v>1292</v>
      </c>
      <c r="D32" s="8" t="s">
        <v>8</v>
      </c>
      <c r="E32" s="61" t="s">
        <v>67</v>
      </c>
      <c r="F32" s="8" t="s">
        <v>1244</v>
      </c>
      <c r="G32" s="36">
        <v>67</v>
      </c>
      <c r="H32" s="8">
        <v>0</v>
      </c>
      <c r="I32" s="8" t="s">
        <v>1245</v>
      </c>
      <c r="J32" s="8" t="s">
        <v>1246</v>
      </c>
      <c r="K32" s="71" t="s">
        <v>9</v>
      </c>
      <c r="L32" s="8" t="s">
        <v>1178</v>
      </c>
      <c r="M32" s="8" t="s">
        <v>94</v>
      </c>
      <c r="N32" s="60" t="s">
        <v>98</v>
      </c>
      <c r="O32" s="49" t="s">
        <v>2</v>
      </c>
      <c r="P32" s="8">
        <v>4</v>
      </c>
      <c r="Q32" s="8" t="s">
        <v>1293</v>
      </c>
      <c r="R32" s="8" t="s">
        <v>1248</v>
      </c>
      <c r="S32" s="9" t="str">
        <f>IFERROR(HYPERLINK("#Main!A"&amp;MATCH(A32,Main!A:A,0),"Open"),HYPERLINK("#Main!A1","Open"))</f>
        <v>Open</v>
      </c>
      <c r="T32" s="9" t="str">
        <f>IFERROR(HYPERLINK("#Technical!A"&amp;MATCH(A32,Technical!A:A,0),"Open"),HYPERLINK("#Technical!A1","Open"))</f>
        <v>Open</v>
      </c>
      <c r="U32" s="9"/>
    </row>
    <row r="33" spans="1:21" ht="30" customHeight="1" x14ac:dyDescent="0.25">
      <c r="A33" s="58" t="s">
        <v>330</v>
      </c>
      <c r="B33" s="11">
        <v>5057</v>
      </c>
      <c r="C33" s="43" t="s">
        <v>1294</v>
      </c>
      <c r="D33" s="11" t="s">
        <v>8</v>
      </c>
      <c r="E33" s="61" t="s">
        <v>67</v>
      </c>
      <c r="F33" s="11" t="s">
        <v>1244</v>
      </c>
      <c r="G33" s="10">
        <v>67</v>
      </c>
      <c r="H33" s="11">
        <v>0</v>
      </c>
      <c r="I33" s="11" t="s">
        <v>1245</v>
      </c>
      <c r="J33" s="11" t="s">
        <v>1246</v>
      </c>
      <c r="K33" s="72" t="s">
        <v>9</v>
      </c>
      <c r="L33" s="11" t="s">
        <v>1178</v>
      </c>
      <c r="M33" s="11" t="s">
        <v>94</v>
      </c>
      <c r="N33" s="60" t="s">
        <v>98</v>
      </c>
      <c r="O33" s="49" t="s">
        <v>2</v>
      </c>
      <c r="P33" s="11">
        <v>4</v>
      </c>
      <c r="Q33" s="11" t="s">
        <v>1295</v>
      </c>
      <c r="R33" s="11" t="s">
        <v>1248</v>
      </c>
      <c r="S33" t="str">
        <f>IFERROR(HYPERLINK("#Main!A"&amp;MATCH(A33,Main!A:A,0),"Open"),HYPERLINK("#Main!A1","Open"))</f>
        <v>Open</v>
      </c>
      <c r="T33" t="str">
        <f>IFERROR(HYPERLINK("#Technical!A"&amp;MATCH(A33,Technical!A:A,0),"Open"),HYPERLINK("#Technical!A1","Open"))</f>
        <v>Open</v>
      </c>
    </row>
    <row r="34" spans="1:21" ht="30" customHeight="1" x14ac:dyDescent="0.25">
      <c r="A34" s="59" t="s">
        <v>338</v>
      </c>
      <c r="B34" s="8"/>
      <c r="C34" s="8"/>
      <c r="D34" s="8" t="s">
        <v>8</v>
      </c>
      <c r="E34" s="61" t="s">
        <v>67</v>
      </c>
      <c r="F34" s="8" t="s">
        <v>1244</v>
      </c>
      <c r="G34" s="36">
        <v>67</v>
      </c>
      <c r="H34" s="8">
        <v>0</v>
      </c>
      <c r="I34" s="8" t="s">
        <v>1245</v>
      </c>
      <c r="J34" s="8" t="s">
        <v>1246</v>
      </c>
      <c r="K34" s="71" t="s">
        <v>9</v>
      </c>
      <c r="L34" s="8" t="s">
        <v>1178</v>
      </c>
      <c r="M34" s="8" t="s">
        <v>94</v>
      </c>
      <c r="N34" s="60" t="s">
        <v>98</v>
      </c>
      <c r="O34" s="49" t="s">
        <v>2</v>
      </c>
      <c r="P34" s="8">
        <v>4</v>
      </c>
      <c r="Q34" s="8" t="s">
        <v>1296</v>
      </c>
      <c r="R34" s="8" t="s">
        <v>1248</v>
      </c>
      <c r="S34" s="9" t="str">
        <f>IFERROR(HYPERLINK("#Main!A"&amp;MATCH(A34,Main!A:A,0),"Open"),HYPERLINK("#Main!A1","Open"))</f>
        <v>Open</v>
      </c>
      <c r="T34" s="9" t="str">
        <f>IFERROR(HYPERLINK("#Technical!A"&amp;MATCH(A34,Technical!A:A,0),"Open"),HYPERLINK("#Technical!A1","Open"))</f>
        <v>Open</v>
      </c>
      <c r="U34" s="9"/>
    </row>
    <row r="35" spans="1:21" ht="30" customHeight="1" x14ac:dyDescent="0.25">
      <c r="A35" s="58" t="s">
        <v>342</v>
      </c>
      <c r="B35" s="11">
        <v>12477</v>
      </c>
      <c r="C35" s="43" t="s">
        <v>1297</v>
      </c>
      <c r="D35" s="11" t="s">
        <v>8</v>
      </c>
      <c r="E35" s="61" t="s">
        <v>67</v>
      </c>
      <c r="F35" s="11" t="s">
        <v>1244</v>
      </c>
      <c r="G35" s="10">
        <v>67</v>
      </c>
      <c r="H35" s="11">
        <v>0</v>
      </c>
      <c r="I35" s="11" t="s">
        <v>1245</v>
      </c>
      <c r="J35" s="11" t="s">
        <v>1246</v>
      </c>
      <c r="K35" s="72" t="s">
        <v>9</v>
      </c>
      <c r="L35" s="11" t="s">
        <v>1178</v>
      </c>
      <c r="M35" s="11" t="s">
        <v>94</v>
      </c>
      <c r="N35" s="60" t="s">
        <v>98</v>
      </c>
      <c r="O35" s="49" t="s">
        <v>2</v>
      </c>
      <c r="P35" s="11">
        <v>4</v>
      </c>
      <c r="Q35" s="11" t="s">
        <v>1298</v>
      </c>
      <c r="R35" s="11" t="s">
        <v>1248</v>
      </c>
      <c r="S35" t="str">
        <f>IFERROR(HYPERLINK("#Main!A"&amp;MATCH(A35,Main!A:A,0),"Open"),HYPERLINK("#Main!A1","Open"))</f>
        <v>Open</v>
      </c>
      <c r="T35" t="str">
        <f>IFERROR(HYPERLINK("#Technical!A"&amp;MATCH(A35,Technical!A:A,0),"Open"),HYPERLINK("#Technical!A1","Open"))</f>
        <v>Open</v>
      </c>
    </row>
    <row r="36" spans="1:21" ht="30" customHeight="1" x14ac:dyDescent="0.25">
      <c r="A36" s="59" t="s">
        <v>350</v>
      </c>
      <c r="B36" s="8">
        <v>21958</v>
      </c>
      <c r="C36" s="43" t="s">
        <v>1299</v>
      </c>
      <c r="D36" s="8" t="s">
        <v>8</v>
      </c>
      <c r="E36" s="61" t="s">
        <v>67</v>
      </c>
      <c r="F36" s="8" t="s">
        <v>1244</v>
      </c>
      <c r="G36" s="36">
        <v>67</v>
      </c>
      <c r="H36" s="8">
        <v>0</v>
      </c>
      <c r="I36" s="8" t="s">
        <v>1245</v>
      </c>
      <c r="J36" s="8" t="s">
        <v>1246</v>
      </c>
      <c r="K36" s="71" t="s">
        <v>9</v>
      </c>
      <c r="L36" s="8" t="s">
        <v>1178</v>
      </c>
      <c r="M36" s="8" t="s">
        <v>94</v>
      </c>
      <c r="N36" s="60" t="s">
        <v>98</v>
      </c>
      <c r="O36" s="49" t="s">
        <v>2</v>
      </c>
      <c r="P36" s="8">
        <v>4</v>
      </c>
      <c r="Q36" s="8" t="s">
        <v>1300</v>
      </c>
      <c r="R36" s="8" t="s">
        <v>1248</v>
      </c>
      <c r="S36" s="9" t="str">
        <f>IFERROR(HYPERLINK("#Main!A"&amp;MATCH(A36,Main!A:A,0),"Open"),HYPERLINK("#Main!A1","Open"))</f>
        <v>Open</v>
      </c>
      <c r="T36" s="9" t="str">
        <f>IFERROR(HYPERLINK("#Technical!A"&amp;MATCH(A36,Technical!A:A,0),"Open"),HYPERLINK("#Technical!A1","Open"))</f>
        <v>Open</v>
      </c>
      <c r="U36" s="9"/>
    </row>
    <row r="37" spans="1:21" ht="30" customHeight="1" x14ac:dyDescent="0.25">
      <c r="A37" s="58" t="s">
        <v>358</v>
      </c>
      <c r="B37" s="11">
        <v>21984</v>
      </c>
      <c r="C37" s="43" t="s">
        <v>1301</v>
      </c>
      <c r="D37" s="11" t="s">
        <v>8</v>
      </c>
      <c r="E37" s="61" t="s">
        <v>67</v>
      </c>
      <c r="F37" s="11" t="s">
        <v>1244</v>
      </c>
      <c r="G37" s="10">
        <v>67</v>
      </c>
      <c r="H37" s="11">
        <v>0</v>
      </c>
      <c r="I37" s="11" t="s">
        <v>1245</v>
      </c>
      <c r="J37" s="11" t="s">
        <v>1246</v>
      </c>
      <c r="K37" s="72" t="s">
        <v>9</v>
      </c>
      <c r="L37" s="11" t="s">
        <v>1178</v>
      </c>
      <c r="M37" s="11" t="s">
        <v>94</v>
      </c>
      <c r="N37" s="60" t="s">
        <v>98</v>
      </c>
      <c r="O37" s="49" t="s">
        <v>2</v>
      </c>
      <c r="P37" s="11">
        <v>4</v>
      </c>
      <c r="Q37" s="11" t="s">
        <v>1302</v>
      </c>
      <c r="R37" s="11" t="s">
        <v>1248</v>
      </c>
      <c r="S37" t="str">
        <f>IFERROR(HYPERLINK("#Main!A"&amp;MATCH(A37,Main!A:A,0),"Open"),HYPERLINK("#Main!A1","Open"))</f>
        <v>Open</v>
      </c>
      <c r="T37" t="str">
        <f>IFERROR(HYPERLINK("#Technical!A"&amp;MATCH(A37,Technical!A:A,0),"Open"),HYPERLINK("#Technical!A1","Open"))</f>
        <v>Open</v>
      </c>
    </row>
    <row r="38" spans="1:21" ht="30" customHeight="1" x14ac:dyDescent="0.25">
      <c r="A38" s="59" t="s">
        <v>366</v>
      </c>
      <c r="B38" s="8">
        <v>33131</v>
      </c>
      <c r="C38" s="43" t="s">
        <v>1303</v>
      </c>
      <c r="D38" s="8" t="s">
        <v>8</v>
      </c>
      <c r="E38" s="61" t="s">
        <v>67</v>
      </c>
      <c r="F38" s="8" t="s">
        <v>1244</v>
      </c>
      <c r="G38" s="36">
        <v>67</v>
      </c>
      <c r="H38" s="8">
        <v>0</v>
      </c>
      <c r="I38" s="8" t="s">
        <v>1245</v>
      </c>
      <c r="J38" s="8" t="s">
        <v>1246</v>
      </c>
      <c r="K38" s="71" t="s">
        <v>9</v>
      </c>
      <c r="L38" s="8" t="s">
        <v>1178</v>
      </c>
      <c r="M38" s="8" t="s">
        <v>94</v>
      </c>
      <c r="N38" s="60" t="s">
        <v>98</v>
      </c>
      <c r="O38" s="49" t="s">
        <v>2</v>
      </c>
      <c r="P38" s="8">
        <v>4</v>
      </c>
      <c r="Q38" s="8" t="s">
        <v>1304</v>
      </c>
      <c r="R38" s="8" t="s">
        <v>1248</v>
      </c>
      <c r="S38" s="9" t="str">
        <f>IFERROR(HYPERLINK("#Main!A"&amp;MATCH(A38,Main!A:A,0),"Open"),HYPERLINK("#Main!A1","Open"))</f>
        <v>Open</v>
      </c>
      <c r="T38" s="9" t="str">
        <f>IFERROR(HYPERLINK("#Technical!A"&amp;MATCH(A38,Technical!A:A,0),"Open"),HYPERLINK("#Technical!A1","Open"))</f>
        <v>Open</v>
      </c>
      <c r="U38" s="9"/>
    </row>
    <row r="39" spans="1:21" ht="30" customHeight="1" x14ac:dyDescent="0.25">
      <c r="A39" s="58" t="s">
        <v>374</v>
      </c>
      <c r="B39" s="11">
        <v>21958</v>
      </c>
      <c r="C39" s="43" t="s">
        <v>1299</v>
      </c>
      <c r="D39" s="11" t="s">
        <v>8</v>
      </c>
      <c r="E39" s="61" t="s">
        <v>67</v>
      </c>
      <c r="F39" s="11" t="s">
        <v>1244</v>
      </c>
      <c r="G39" s="10">
        <v>67</v>
      </c>
      <c r="H39" s="11">
        <v>0</v>
      </c>
      <c r="I39" s="11" t="s">
        <v>1245</v>
      </c>
      <c r="J39" s="11" t="s">
        <v>1246</v>
      </c>
      <c r="K39" s="72" t="s">
        <v>9</v>
      </c>
      <c r="L39" s="11" t="s">
        <v>1178</v>
      </c>
      <c r="M39" s="11" t="s">
        <v>94</v>
      </c>
      <c r="N39" s="60" t="s">
        <v>98</v>
      </c>
      <c r="O39" s="49" t="s">
        <v>2</v>
      </c>
      <c r="P39" s="11">
        <v>4</v>
      </c>
      <c r="Q39" s="11" t="s">
        <v>1305</v>
      </c>
      <c r="R39" s="11" t="s">
        <v>1248</v>
      </c>
      <c r="S39" t="str">
        <f>IFERROR(HYPERLINK("#Main!A"&amp;MATCH(A39,Main!A:A,0),"Open"),HYPERLINK("#Main!A1","Open"))</f>
        <v>Open</v>
      </c>
      <c r="T39" t="str">
        <f>IFERROR(HYPERLINK("#Technical!A"&amp;MATCH(A39,Technical!A:A,0),"Open"),HYPERLINK("#Technical!A1","Open"))</f>
        <v>Open</v>
      </c>
    </row>
    <row r="40" spans="1:21" ht="45" customHeight="1" x14ac:dyDescent="0.25">
      <c r="A40" s="59" t="s">
        <v>377</v>
      </c>
      <c r="B40" s="8">
        <v>25857</v>
      </c>
      <c r="C40" s="43" t="s">
        <v>1306</v>
      </c>
      <c r="D40" s="8" t="s">
        <v>8</v>
      </c>
      <c r="E40" s="61" t="s">
        <v>67</v>
      </c>
      <c r="F40" s="8" t="s">
        <v>1244</v>
      </c>
      <c r="G40" s="36">
        <v>67</v>
      </c>
      <c r="H40" s="8">
        <v>0</v>
      </c>
      <c r="I40" s="8" t="s">
        <v>1245</v>
      </c>
      <c r="J40" s="8" t="s">
        <v>1246</v>
      </c>
      <c r="K40" s="71" t="s">
        <v>9</v>
      </c>
      <c r="L40" s="8" t="s">
        <v>1178</v>
      </c>
      <c r="M40" s="8" t="s">
        <v>94</v>
      </c>
      <c r="N40" s="60" t="s">
        <v>98</v>
      </c>
      <c r="O40" s="49" t="s">
        <v>2</v>
      </c>
      <c r="P40" s="8">
        <v>4</v>
      </c>
      <c r="Q40" s="8" t="s">
        <v>1307</v>
      </c>
      <c r="R40" s="8" t="s">
        <v>1248</v>
      </c>
      <c r="S40" s="9" t="str">
        <f>IFERROR(HYPERLINK("#Main!A"&amp;MATCH(A40,Main!A:A,0),"Open"),HYPERLINK("#Main!A1","Open"))</f>
        <v>Open</v>
      </c>
      <c r="T40" s="9" t="str">
        <f>IFERROR(HYPERLINK("#Technical!A"&amp;MATCH(A40,Technical!A:A,0),"Open"),HYPERLINK("#Technical!A1","Open"))</f>
        <v>Open</v>
      </c>
      <c r="U40" s="9"/>
    </row>
    <row r="41" spans="1:21" ht="30" customHeight="1" x14ac:dyDescent="0.25">
      <c r="A41" s="58" t="s">
        <v>385</v>
      </c>
      <c r="B41" s="11">
        <v>25788</v>
      </c>
      <c r="C41" s="43" t="s">
        <v>1308</v>
      </c>
      <c r="D41" s="11" t="s">
        <v>8</v>
      </c>
      <c r="E41" s="61" t="s">
        <v>67</v>
      </c>
      <c r="F41" s="11" t="s">
        <v>1244</v>
      </c>
      <c r="G41" s="10">
        <v>67</v>
      </c>
      <c r="H41" s="11">
        <v>0</v>
      </c>
      <c r="I41" s="11" t="s">
        <v>1245</v>
      </c>
      <c r="J41" s="11" t="s">
        <v>1246</v>
      </c>
      <c r="K41" s="72" t="s">
        <v>9</v>
      </c>
      <c r="L41" s="11" t="s">
        <v>1178</v>
      </c>
      <c r="M41" s="11" t="s">
        <v>94</v>
      </c>
      <c r="N41" s="60" t="s">
        <v>98</v>
      </c>
      <c r="O41" s="49" t="s">
        <v>2</v>
      </c>
      <c r="P41" s="11">
        <v>4</v>
      </c>
      <c r="Q41" s="11" t="s">
        <v>1309</v>
      </c>
      <c r="R41" s="11" t="s">
        <v>1248</v>
      </c>
      <c r="S41" t="str">
        <f>IFERROR(HYPERLINK("#Main!A"&amp;MATCH(A41,Main!A:A,0),"Open"),HYPERLINK("#Main!A1","Open"))</f>
        <v>Open</v>
      </c>
      <c r="T41" t="str">
        <f>IFERROR(HYPERLINK("#Technical!A"&amp;MATCH(A41,Technical!A:A,0),"Open"),HYPERLINK("#Technical!A1","Open"))</f>
        <v>Open</v>
      </c>
    </row>
    <row r="42" spans="1:21" ht="30" customHeight="1" x14ac:dyDescent="0.25">
      <c r="A42" s="59" t="s">
        <v>393</v>
      </c>
      <c r="B42" s="8">
        <v>26290</v>
      </c>
      <c r="C42" s="43" t="s">
        <v>1310</v>
      </c>
      <c r="D42" s="8" t="s">
        <v>8</v>
      </c>
      <c r="E42" s="61" t="s">
        <v>67</v>
      </c>
      <c r="F42" s="8" t="s">
        <v>1244</v>
      </c>
      <c r="G42" s="36">
        <v>67</v>
      </c>
      <c r="H42" s="8">
        <v>0</v>
      </c>
      <c r="I42" s="8" t="s">
        <v>1245</v>
      </c>
      <c r="J42" s="8" t="s">
        <v>1246</v>
      </c>
      <c r="K42" s="71" t="s">
        <v>9</v>
      </c>
      <c r="L42" s="8" t="s">
        <v>1178</v>
      </c>
      <c r="M42" s="8" t="s">
        <v>94</v>
      </c>
      <c r="N42" s="60" t="s">
        <v>98</v>
      </c>
      <c r="O42" s="49" t="s">
        <v>2</v>
      </c>
      <c r="P42" s="8">
        <v>4</v>
      </c>
      <c r="Q42" s="8" t="s">
        <v>1311</v>
      </c>
      <c r="R42" s="8" t="s">
        <v>1248</v>
      </c>
      <c r="S42" s="9" t="str">
        <f>IFERROR(HYPERLINK("#Main!A"&amp;MATCH(A42,Main!A:A,0),"Open"),HYPERLINK("#Main!A1","Open"))</f>
        <v>Open</v>
      </c>
      <c r="T42" s="9" t="str">
        <f>IFERROR(HYPERLINK("#Technical!A"&amp;MATCH(A42,Technical!A:A,0),"Open"),HYPERLINK("#Technical!A1","Open"))</f>
        <v>Open</v>
      </c>
      <c r="U42" s="9"/>
    </row>
    <row r="43" spans="1:21" ht="30" customHeight="1" x14ac:dyDescent="0.25">
      <c r="A43" s="58" t="s">
        <v>401</v>
      </c>
      <c r="B43" s="11">
        <v>24882</v>
      </c>
      <c r="C43" s="43" t="s">
        <v>1312</v>
      </c>
      <c r="D43" s="11" t="s">
        <v>8</v>
      </c>
      <c r="E43" s="61" t="s">
        <v>67</v>
      </c>
      <c r="F43" s="11" t="s">
        <v>1244</v>
      </c>
      <c r="G43" s="10">
        <v>67</v>
      </c>
      <c r="H43" s="11">
        <v>0</v>
      </c>
      <c r="I43" s="11" t="s">
        <v>1245</v>
      </c>
      <c r="J43" s="11" t="s">
        <v>1246</v>
      </c>
      <c r="K43" s="72" t="s">
        <v>9</v>
      </c>
      <c r="L43" s="11" t="s">
        <v>1178</v>
      </c>
      <c r="M43" s="11" t="s">
        <v>94</v>
      </c>
      <c r="N43" s="60" t="s">
        <v>98</v>
      </c>
      <c r="O43" s="49" t="s">
        <v>2</v>
      </c>
      <c r="P43" s="11">
        <v>4</v>
      </c>
      <c r="Q43" s="11" t="s">
        <v>1313</v>
      </c>
      <c r="R43" s="11" t="s">
        <v>1248</v>
      </c>
      <c r="S43" t="str">
        <f>IFERROR(HYPERLINK("#Main!A"&amp;MATCH(A43,Main!A:A,0),"Open"),HYPERLINK("#Main!A1","Open"))</f>
        <v>Open</v>
      </c>
      <c r="T43" t="str">
        <f>IFERROR(HYPERLINK("#Technical!A"&amp;MATCH(A43,Technical!A:A,0),"Open"),HYPERLINK("#Technical!A1","Open"))</f>
        <v>Open</v>
      </c>
    </row>
    <row r="44" spans="1:21" ht="45" customHeight="1" x14ac:dyDescent="0.25">
      <c r="A44" s="59" t="s">
        <v>409</v>
      </c>
      <c r="B44" s="8">
        <v>22595</v>
      </c>
      <c r="C44" s="43" t="s">
        <v>1314</v>
      </c>
      <c r="D44" s="8" t="s">
        <v>8</v>
      </c>
      <c r="E44" s="61" t="s">
        <v>67</v>
      </c>
      <c r="F44" s="8" t="s">
        <v>1244</v>
      </c>
      <c r="G44" s="36">
        <v>67</v>
      </c>
      <c r="H44" s="8">
        <v>0</v>
      </c>
      <c r="I44" s="8" t="s">
        <v>1245</v>
      </c>
      <c r="J44" s="8" t="s">
        <v>1246</v>
      </c>
      <c r="K44" s="71" t="s">
        <v>9</v>
      </c>
      <c r="L44" s="8" t="s">
        <v>1178</v>
      </c>
      <c r="M44" s="8" t="s">
        <v>94</v>
      </c>
      <c r="N44" s="60" t="s">
        <v>98</v>
      </c>
      <c r="O44" s="49" t="s">
        <v>2</v>
      </c>
      <c r="P44" s="8">
        <v>4</v>
      </c>
      <c r="Q44" s="8" t="s">
        <v>1315</v>
      </c>
      <c r="R44" s="8" t="s">
        <v>1248</v>
      </c>
      <c r="S44" s="9" t="str">
        <f>IFERROR(HYPERLINK("#Main!A"&amp;MATCH(A44,Main!A:A,0),"Open"),HYPERLINK("#Main!A1","Open"))</f>
        <v>Open</v>
      </c>
      <c r="T44" s="9" t="str">
        <f>IFERROR(HYPERLINK("#Technical!A"&amp;MATCH(A44,Technical!A:A,0),"Open"),HYPERLINK("#Technical!A1","Open"))</f>
        <v>Open</v>
      </c>
      <c r="U44" s="9"/>
    </row>
    <row r="45" spans="1:21" ht="30" customHeight="1" x14ac:dyDescent="0.25">
      <c r="A45" s="58" t="s">
        <v>417</v>
      </c>
      <c r="B45" s="11">
        <v>29496</v>
      </c>
      <c r="C45" s="43" t="s">
        <v>1316</v>
      </c>
      <c r="D45" s="11" t="s">
        <v>8</v>
      </c>
      <c r="E45" s="61" t="s">
        <v>67</v>
      </c>
      <c r="F45" s="11" t="s">
        <v>1244</v>
      </c>
      <c r="G45" s="10">
        <v>67</v>
      </c>
      <c r="H45" s="11">
        <v>0</v>
      </c>
      <c r="I45" s="11" t="s">
        <v>1245</v>
      </c>
      <c r="J45" s="11" t="s">
        <v>1246</v>
      </c>
      <c r="K45" s="72" t="s">
        <v>9</v>
      </c>
      <c r="L45" s="11" t="s">
        <v>1178</v>
      </c>
      <c r="M45" s="11" t="s">
        <v>94</v>
      </c>
      <c r="N45" s="60" t="s">
        <v>98</v>
      </c>
      <c r="O45" s="49" t="s">
        <v>2</v>
      </c>
      <c r="P45" s="11">
        <v>4</v>
      </c>
      <c r="Q45" s="11" t="s">
        <v>1317</v>
      </c>
      <c r="R45" s="11" t="s">
        <v>1248</v>
      </c>
      <c r="S45" t="str">
        <f>IFERROR(HYPERLINK("#Main!A"&amp;MATCH(A45,Main!A:A,0),"Open"),HYPERLINK("#Main!A1","Open"))</f>
        <v>Open</v>
      </c>
      <c r="T45" t="str">
        <f>IFERROR(HYPERLINK("#Technical!A"&amp;MATCH(A45,Technical!A:A,0),"Open"),HYPERLINK("#Technical!A1","Open"))</f>
        <v>Open</v>
      </c>
    </row>
    <row r="46" spans="1:21" ht="30" customHeight="1" x14ac:dyDescent="0.25">
      <c r="A46" s="59" t="s">
        <v>425</v>
      </c>
      <c r="B46" s="8">
        <v>16104</v>
      </c>
      <c r="C46" s="43" t="s">
        <v>1318</v>
      </c>
      <c r="D46" s="8" t="s">
        <v>8</v>
      </c>
      <c r="E46" s="61" t="s">
        <v>67</v>
      </c>
      <c r="F46" s="8" t="s">
        <v>1244</v>
      </c>
      <c r="G46" s="36">
        <v>67</v>
      </c>
      <c r="H46" s="8">
        <v>0</v>
      </c>
      <c r="I46" s="8" t="s">
        <v>1245</v>
      </c>
      <c r="J46" s="8" t="s">
        <v>1246</v>
      </c>
      <c r="K46" s="71" t="s">
        <v>9</v>
      </c>
      <c r="L46" s="8" t="s">
        <v>1178</v>
      </c>
      <c r="M46" s="8" t="s">
        <v>94</v>
      </c>
      <c r="N46" s="60" t="s">
        <v>98</v>
      </c>
      <c r="O46" s="49" t="s">
        <v>2</v>
      </c>
      <c r="P46" s="8">
        <v>4</v>
      </c>
      <c r="Q46" s="8" t="s">
        <v>1319</v>
      </c>
      <c r="R46" s="8" t="s">
        <v>1248</v>
      </c>
      <c r="S46" s="9" t="str">
        <f>IFERROR(HYPERLINK("#Main!A"&amp;MATCH(A46,Main!A:A,0),"Open"),HYPERLINK("#Main!A1","Open"))</f>
        <v>Open</v>
      </c>
      <c r="T46" s="9" t="str">
        <f>IFERROR(HYPERLINK("#Technical!A"&amp;MATCH(A46,Technical!A:A,0),"Open"),HYPERLINK("#Technical!A1","Open"))</f>
        <v>Open</v>
      </c>
      <c r="U46" s="9"/>
    </row>
    <row r="47" spans="1:21" ht="30" customHeight="1" x14ac:dyDescent="0.25">
      <c r="A47" s="58" t="s">
        <v>433</v>
      </c>
      <c r="B47" s="11"/>
      <c r="C47" s="11"/>
      <c r="D47" s="11" t="s">
        <v>8</v>
      </c>
      <c r="E47" s="61" t="s">
        <v>67</v>
      </c>
      <c r="F47" s="11" t="s">
        <v>1244</v>
      </c>
      <c r="G47" s="10">
        <v>67</v>
      </c>
      <c r="H47" s="11">
        <v>0</v>
      </c>
      <c r="I47" s="11" t="s">
        <v>1245</v>
      </c>
      <c r="J47" s="11" t="s">
        <v>1246</v>
      </c>
      <c r="K47" s="72" t="s">
        <v>9</v>
      </c>
      <c r="L47" s="11" t="s">
        <v>1178</v>
      </c>
      <c r="M47" s="11" t="s">
        <v>94</v>
      </c>
      <c r="N47" s="60" t="s">
        <v>98</v>
      </c>
      <c r="O47" s="49" t="s">
        <v>2</v>
      </c>
      <c r="P47" s="11">
        <v>4</v>
      </c>
      <c r="Q47" s="11" t="s">
        <v>1320</v>
      </c>
      <c r="R47" s="11" t="s">
        <v>1248</v>
      </c>
      <c r="S47" t="str">
        <f>IFERROR(HYPERLINK("#Main!A"&amp;MATCH(A47,Main!A:A,0),"Open"),HYPERLINK("#Main!A1","Open"))</f>
        <v>Open</v>
      </c>
      <c r="T47" t="str">
        <f>IFERROR(HYPERLINK("#Technical!A"&amp;MATCH(A47,Technical!A:A,0),"Open"),HYPERLINK("#Technical!A1","Open"))</f>
        <v>Open</v>
      </c>
    </row>
    <row r="48" spans="1:21" ht="30" customHeight="1" x14ac:dyDescent="0.25">
      <c r="A48" s="59" t="s">
        <v>436</v>
      </c>
      <c r="B48" s="8">
        <v>23021</v>
      </c>
      <c r="C48" s="43" t="s">
        <v>1321</v>
      </c>
      <c r="D48" s="8" t="s">
        <v>8</v>
      </c>
      <c r="E48" s="61" t="s">
        <v>67</v>
      </c>
      <c r="F48" s="8" t="s">
        <v>1244</v>
      </c>
      <c r="G48" s="36">
        <v>67</v>
      </c>
      <c r="H48" s="8">
        <v>0</v>
      </c>
      <c r="I48" s="8" t="s">
        <v>1245</v>
      </c>
      <c r="J48" s="8" t="s">
        <v>1246</v>
      </c>
      <c r="K48" s="71" t="s">
        <v>9</v>
      </c>
      <c r="L48" s="8" t="s">
        <v>1178</v>
      </c>
      <c r="M48" s="8" t="s">
        <v>94</v>
      </c>
      <c r="N48" s="60" t="s">
        <v>98</v>
      </c>
      <c r="O48" s="49" t="s">
        <v>2</v>
      </c>
      <c r="P48" s="8">
        <v>4</v>
      </c>
      <c r="Q48" s="8" t="s">
        <v>1322</v>
      </c>
      <c r="R48" s="8" t="s">
        <v>1248</v>
      </c>
      <c r="S48" s="9" t="str">
        <f>IFERROR(HYPERLINK("#Main!A"&amp;MATCH(A48,Main!A:A,0),"Open"),HYPERLINK("#Main!A1","Open"))</f>
        <v>Open</v>
      </c>
      <c r="T48" s="9" t="str">
        <f>IFERROR(HYPERLINK("#Technical!A"&amp;MATCH(A48,Technical!A:A,0),"Open"),HYPERLINK("#Technical!A1","Open"))</f>
        <v>Open</v>
      </c>
      <c r="U48" s="9"/>
    </row>
    <row r="49" spans="1:21" ht="30" customHeight="1" x14ac:dyDescent="0.25">
      <c r="A49" s="58" t="s">
        <v>444</v>
      </c>
      <c r="B49" s="11">
        <v>6816</v>
      </c>
      <c r="C49" s="43" t="s">
        <v>1239</v>
      </c>
      <c r="D49" s="11" t="s">
        <v>8</v>
      </c>
      <c r="E49" s="61" t="s">
        <v>67</v>
      </c>
      <c r="F49" s="11" t="s">
        <v>1244</v>
      </c>
      <c r="G49" s="10">
        <v>67</v>
      </c>
      <c r="H49" s="11">
        <v>0</v>
      </c>
      <c r="I49" s="11" t="s">
        <v>1245</v>
      </c>
      <c r="J49" s="11" t="s">
        <v>1246</v>
      </c>
      <c r="K49" s="72" t="s">
        <v>9</v>
      </c>
      <c r="L49" s="11" t="s">
        <v>1178</v>
      </c>
      <c r="M49" s="11" t="s">
        <v>94</v>
      </c>
      <c r="N49" s="60" t="s">
        <v>98</v>
      </c>
      <c r="O49" s="49" t="s">
        <v>2</v>
      </c>
      <c r="P49" s="11">
        <v>4</v>
      </c>
      <c r="Q49" s="11" t="s">
        <v>1323</v>
      </c>
      <c r="R49" s="11" t="s">
        <v>1248</v>
      </c>
      <c r="S49" t="str">
        <f>IFERROR(HYPERLINK("#Main!A"&amp;MATCH(A49,Main!A:A,0),"Open"),HYPERLINK("#Main!A1","Open"))</f>
        <v>Open</v>
      </c>
      <c r="T49" t="str">
        <f>IFERROR(HYPERLINK("#Technical!A"&amp;MATCH(A49,Technical!A:A,0),"Open"),HYPERLINK("#Technical!A1","Open"))</f>
        <v>Open</v>
      </c>
    </row>
    <row r="50" spans="1:21" ht="30" customHeight="1" x14ac:dyDescent="0.25">
      <c r="A50" s="59" t="s">
        <v>449</v>
      </c>
      <c r="B50" s="8">
        <v>6822</v>
      </c>
      <c r="C50" s="43" t="s">
        <v>1324</v>
      </c>
      <c r="D50" s="8" t="s">
        <v>8</v>
      </c>
      <c r="E50" s="61" t="s">
        <v>67</v>
      </c>
      <c r="F50" s="8" t="s">
        <v>1244</v>
      </c>
      <c r="G50" s="36">
        <v>67</v>
      </c>
      <c r="H50" s="8">
        <v>0</v>
      </c>
      <c r="I50" s="8" t="s">
        <v>1245</v>
      </c>
      <c r="J50" s="8" t="s">
        <v>1246</v>
      </c>
      <c r="K50" s="71" t="s">
        <v>9</v>
      </c>
      <c r="L50" s="8" t="s">
        <v>1178</v>
      </c>
      <c r="M50" s="8" t="s">
        <v>94</v>
      </c>
      <c r="N50" s="60" t="s">
        <v>98</v>
      </c>
      <c r="O50" s="49" t="s">
        <v>2</v>
      </c>
      <c r="P50" s="8">
        <v>4</v>
      </c>
      <c r="Q50" s="8" t="s">
        <v>1325</v>
      </c>
      <c r="R50" s="8" t="s">
        <v>1248</v>
      </c>
      <c r="S50" s="9" t="str">
        <f>IFERROR(HYPERLINK("#Main!A"&amp;MATCH(A50,Main!A:A,0),"Open"),HYPERLINK("#Main!A1","Open"))</f>
        <v>Open</v>
      </c>
      <c r="T50" s="9" t="str">
        <f>IFERROR(HYPERLINK("#Technical!A"&amp;MATCH(A50,Technical!A:A,0),"Open"),HYPERLINK("#Technical!A1","Open"))</f>
        <v>Open</v>
      </c>
      <c r="U50" s="9"/>
    </row>
    <row r="51" spans="1:21" ht="30" customHeight="1" x14ac:dyDescent="0.25">
      <c r="A51" s="58" t="s">
        <v>457</v>
      </c>
      <c r="B51" s="11">
        <v>6553</v>
      </c>
      <c r="C51" s="43" t="s">
        <v>1326</v>
      </c>
      <c r="D51" s="11" t="s">
        <v>8</v>
      </c>
      <c r="E51" s="61" t="s">
        <v>67</v>
      </c>
      <c r="F51" s="11" t="s">
        <v>1244</v>
      </c>
      <c r="G51" s="10">
        <v>67</v>
      </c>
      <c r="H51" s="11">
        <v>0</v>
      </c>
      <c r="I51" s="11" t="s">
        <v>1245</v>
      </c>
      <c r="J51" s="11" t="s">
        <v>1246</v>
      </c>
      <c r="K51" s="72" t="s">
        <v>9</v>
      </c>
      <c r="L51" s="11" t="s">
        <v>1178</v>
      </c>
      <c r="M51" s="11" t="s">
        <v>94</v>
      </c>
      <c r="N51" s="60" t="s">
        <v>98</v>
      </c>
      <c r="O51" s="49" t="s">
        <v>2</v>
      </c>
      <c r="P51" s="11">
        <v>4</v>
      </c>
      <c r="Q51" s="11" t="s">
        <v>1327</v>
      </c>
      <c r="R51" s="11" t="s">
        <v>1248</v>
      </c>
      <c r="S51" t="str">
        <f>IFERROR(HYPERLINK("#Main!A"&amp;MATCH(A51,Main!A:A,0),"Open"),HYPERLINK("#Main!A1","Open"))</f>
        <v>Open</v>
      </c>
      <c r="T51" t="str">
        <f>IFERROR(HYPERLINK("#Technical!A"&amp;MATCH(A51,Technical!A:A,0),"Open"),HYPERLINK("#Technical!A1","Open"))</f>
        <v>Open</v>
      </c>
    </row>
    <row r="52" spans="1:21" ht="30" customHeight="1" x14ac:dyDescent="0.25">
      <c r="A52" s="59" t="s">
        <v>465</v>
      </c>
      <c r="B52" s="8">
        <v>4492</v>
      </c>
      <c r="C52" s="43" t="s">
        <v>1328</v>
      </c>
      <c r="D52" s="8" t="s">
        <v>8</v>
      </c>
      <c r="E52" s="61" t="s">
        <v>67</v>
      </c>
      <c r="F52" s="8" t="s">
        <v>1244</v>
      </c>
      <c r="G52" s="36">
        <v>67</v>
      </c>
      <c r="H52" s="8">
        <v>0</v>
      </c>
      <c r="I52" s="8" t="s">
        <v>1245</v>
      </c>
      <c r="J52" s="8" t="s">
        <v>1246</v>
      </c>
      <c r="K52" s="71" t="s">
        <v>9</v>
      </c>
      <c r="L52" s="8" t="s">
        <v>1178</v>
      </c>
      <c r="M52" s="8" t="s">
        <v>94</v>
      </c>
      <c r="N52" s="60" t="s">
        <v>98</v>
      </c>
      <c r="O52" s="49" t="s">
        <v>2</v>
      </c>
      <c r="P52" s="8">
        <v>4</v>
      </c>
      <c r="Q52" s="8" t="s">
        <v>1329</v>
      </c>
      <c r="R52" s="8" t="s">
        <v>1248</v>
      </c>
      <c r="S52" s="9" t="str">
        <f>IFERROR(HYPERLINK("#Main!A"&amp;MATCH(A52,Main!A:A,0),"Open"),HYPERLINK("#Main!A1","Open"))</f>
        <v>Open</v>
      </c>
      <c r="T52" s="9" t="str">
        <f>IFERROR(HYPERLINK("#Technical!A"&amp;MATCH(A52,Technical!A:A,0),"Open"),HYPERLINK("#Technical!A1","Open"))</f>
        <v>Open</v>
      </c>
      <c r="U52" s="9"/>
    </row>
    <row r="53" spans="1:21" ht="30" customHeight="1" x14ac:dyDescent="0.25">
      <c r="A53" s="58" t="s">
        <v>473</v>
      </c>
      <c r="B53" s="11">
        <v>23001</v>
      </c>
      <c r="C53" s="43" t="s">
        <v>1330</v>
      </c>
      <c r="D53" s="11" t="s">
        <v>8</v>
      </c>
      <c r="E53" s="61" t="s">
        <v>67</v>
      </c>
      <c r="F53" s="11" t="s">
        <v>1244</v>
      </c>
      <c r="G53" s="10">
        <v>67</v>
      </c>
      <c r="H53" s="11">
        <v>0</v>
      </c>
      <c r="I53" s="11" t="s">
        <v>1245</v>
      </c>
      <c r="J53" s="11" t="s">
        <v>1246</v>
      </c>
      <c r="K53" s="72" t="s">
        <v>9</v>
      </c>
      <c r="L53" s="11" t="s">
        <v>1178</v>
      </c>
      <c r="M53" s="11" t="s">
        <v>94</v>
      </c>
      <c r="N53" s="60" t="s">
        <v>98</v>
      </c>
      <c r="O53" s="49" t="s">
        <v>2</v>
      </c>
      <c r="P53" s="11">
        <v>4</v>
      </c>
      <c r="Q53" s="11" t="s">
        <v>1331</v>
      </c>
      <c r="R53" s="11" t="s">
        <v>1248</v>
      </c>
      <c r="S53" t="str">
        <f>IFERROR(HYPERLINK("#Main!A"&amp;MATCH(A53,Main!A:A,0),"Open"),HYPERLINK("#Main!A1","Open"))</f>
        <v>Open</v>
      </c>
      <c r="T53" t="str">
        <f>IFERROR(HYPERLINK("#Technical!A"&amp;MATCH(A53,Technical!A:A,0),"Open"),HYPERLINK("#Technical!A1","Open"))</f>
        <v>Open</v>
      </c>
    </row>
    <row r="54" spans="1:21" ht="30" customHeight="1" x14ac:dyDescent="0.25">
      <c r="A54" s="59" t="s">
        <v>481</v>
      </c>
      <c r="B54" s="8">
        <v>21952</v>
      </c>
      <c r="C54" s="43" t="s">
        <v>1332</v>
      </c>
      <c r="D54" s="8" t="s">
        <v>8</v>
      </c>
      <c r="E54" s="61" t="s">
        <v>67</v>
      </c>
      <c r="F54" s="8" t="s">
        <v>1244</v>
      </c>
      <c r="G54" s="36">
        <v>67</v>
      </c>
      <c r="H54" s="8">
        <v>0</v>
      </c>
      <c r="I54" s="8" t="s">
        <v>1245</v>
      </c>
      <c r="J54" s="8" t="s">
        <v>1246</v>
      </c>
      <c r="K54" s="71" t="s">
        <v>9</v>
      </c>
      <c r="L54" s="8" t="s">
        <v>1178</v>
      </c>
      <c r="M54" s="8" t="s">
        <v>94</v>
      </c>
      <c r="N54" s="60" t="s">
        <v>98</v>
      </c>
      <c r="O54" s="49" t="s">
        <v>2</v>
      </c>
      <c r="P54" s="8">
        <v>4</v>
      </c>
      <c r="Q54" s="8" t="s">
        <v>1333</v>
      </c>
      <c r="R54" s="8" t="s">
        <v>1248</v>
      </c>
      <c r="S54" s="9" t="str">
        <f>IFERROR(HYPERLINK("#Main!A"&amp;MATCH(A54,Main!A:A,0),"Open"),HYPERLINK("#Main!A1","Open"))</f>
        <v>Open</v>
      </c>
      <c r="T54" s="9" t="str">
        <f>IFERROR(HYPERLINK("#Technical!A"&amp;MATCH(A54,Technical!A:A,0),"Open"),HYPERLINK("#Technical!A1","Open"))</f>
        <v>Open</v>
      </c>
      <c r="U54" s="9"/>
    </row>
    <row r="55" spans="1:21" ht="30" customHeight="1" x14ac:dyDescent="0.25">
      <c r="A55" s="58" t="s">
        <v>489</v>
      </c>
      <c r="B55" s="11">
        <v>22679</v>
      </c>
      <c r="C55" s="43" t="s">
        <v>1334</v>
      </c>
      <c r="D55" s="11" t="s">
        <v>8</v>
      </c>
      <c r="E55" s="61" t="s">
        <v>67</v>
      </c>
      <c r="F55" s="11" t="s">
        <v>1244</v>
      </c>
      <c r="G55" s="10">
        <v>67</v>
      </c>
      <c r="H55" s="11">
        <v>0</v>
      </c>
      <c r="I55" s="11" t="s">
        <v>1245</v>
      </c>
      <c r="J55" s="11" t="s">
        <v>1246</v>
      </c>
      <c r="K55" s="72" t="s">
        <v>9</v>
      </c>
      <c r="L55" s="11" t="s">
        <v>1178</v>
      </c>
      <c r="M55" s="11" t="s">
        <v>94</v>
      </c>
      <c r="N55" s="60" t="s">
        <v>98</v>
      </c>
      <c r="O55" s="49" t="s">
        <v>2</v>
      </c>
      <c r="P55" s="11">
        <v>4</v>
      </c>
      <c r="Q55" s="11" t="s">
        <v>1335</v>
      </c>
      <c r="R55" s="11" t="s">
        <v>1248</v>
      </c>
      <c r="S55" t="str">
        <f>IFERROR(HYPERLINK("#Main!A"&amp;MATCH(A55,Main!A:A,0),"Open"),HYPERLINK("#Main!A1","Open"))</f>
        <v>Open</v>
      </c>
      <c r="T55" t="str">
        <f>IFERROR(HYPERLINK("#Technical!A"&amp;MATCH(A55,Technical!A:A,0),"Open"),HYPERLINK("#Technical!A1","Open"))</f>
        <v>Open</v>
      </c>
    </row>
    <row r="56" spans="1:21" ht="30" customHeight="1" x14ac:dyDescent="0.25">
      <c r="A56" s="59" t="s">
        <v>497</v>
      </c>
      <c r="B56" s="8">
        <v>32554</v>
      </c>
      <c r="C56" s="43" t="s">
        <v>1336</v>
      </c>
      <c r="D56" s="8" t="s">
        <v>8</v>
      </c>
      <c r="E56" s="61" t="s">
        <v>67</v>
      </c>
      <c r="F56" s="8" t="s">
        <v>1244</v>
      </c>
      <c r="G56" s="36">
        <v>67</v>
      </c>
      <c r="H56" s="8">
        <v>0</v>
      </c>
      <c r="I56" s="8" t="s">
        <v>1245</v>
      </c>
      <c r="J56" s="8" t="s">
        <v>1246</v>
      </c>
      <c r="K56" s="71" t="s">
        <v>9</v>
      </c>
      <c r="L56" s="8" t="s">
        <v>1178</v>
      </c>
      <c r="M56" s="8" t="s">
        <v>94</v>
      </c>
      <c r="N56" s="60" t="s">
        <v>98</v>
      </c>
      <c r="O56" s="49" t="s">
        <v>2</v>
      </c>
      <c r="P56" s="8">
        <v>4</v>
      </c>
      <c r="Q56" s="8" t="s">
        <v>1337</v>
      </c>
      <c r="R56" s="8" t="s">
        <v>1248</v>
      </c>
      <c r="S56" s="9" t="str">
        <f>IFERROR(HYPERLINK("#Main!A"&amp;MATCH(A56,Main!A:A,0),"Open"),HYPERLINK("#Main!A1","Open"))</f>
        <v>Open</v>
      </c>
      <c r="T56" s="9" t="str">
        <f>IFERROR(HYPERLINK("#Technical!A"&amp;MATCH(A56,Technical!A:A,0),"Open"),HYPERLINK("#Technical!A1","Open"))</f>
        <v>Open</v>
      </c>
      <c r="U56" s="9"/>
    </row>
    <row r="57" spans="1:21" ht="30" customHeight="1" x14ac:dyDescent="0.25">
      <c r="A57" s="58" t="s">
        <v>505</v>
      </c>
      <c r="B57" s="11">
        <v>34552</v>
      </c>
      <c r="C57" s="43" t="s">
        <v>1338</v>
      </c>
      <c r="D57" s="11" t="s">
        <v>8</v>
      </c>
      <c r="E57" s="61" t="s">
        <v>67</v>
      </c>
      <c r="F57" s="11" t="s">
        <v>1244</v>
      </c>
      <c r="G57" s="10">
        <v>67</v>
      </c>
      <c r="H57" s="11">
        <v>0</v>
      </c>
      <c r="I57" s="11" t="s">
        <v>1245</v>
      </c>
      <c r="J57" s="11" t="s">
        <v>1246</v>
      </c>
      <c r="K57" s="72" t="s">
        <v>9</v>
      </c>
      <c r="L57" s="11" t="s">
        <v>1178</v>
      </c>
      <c r="M57" s="11" t="s">
        <v>94</v>
      </c>
      <c r="N57" s="60" t="s">
        <v>98</v>
      </c>
      <c r="O57" s="49" t="s">
        <v>2</v>
      </c>
      <c r="P57" s="11">
        <v>4</v>
      </c>
      <c r="Q57" s="11" t="s">
        <v>1339</v>
      </c>
      <c r="R57" s="11" t="s">
        <v>1248</v>
      </c>
      <c r="S57" t="str">
        <f>IFERROR(HYPERLINK("#Main!A"&amp;MATCH(A57,Main!A:A,0),"Open"),HYPERLINK("#Main!A1","Open"))</f>
        <v>Open</v>
      </c>
      <c r="T57" t="str">
        <f>IFERROR(HYPERLINK("#Technical!A"&amp;MATCH(A57,Technical!A:A,0),"Open"),HYPERLINK("#Technical!A1","Open"))</f>
        <v>Open</v>
      </c>
    </row>
    <row r="58" spans="1:21" ht="30" customHeight="1" x14ac:dyDescent="0.25">
      <c r="A58" s="59" t="s">
        <v>512</v>
      </c>
      <c r="B58" s="8">
        <v>34622</v>
      </c>
      <c r="C58" s="43" t="s">
        <v>1340</v>
      </c>
      <c r="D58" s="8" t="s">
        <v>8</v>
      </c>
      <c r="E58" s="61" t="s">
        <v>67</v>
      </c>
      <c r="F58" s="8" t="s">
        <v>1244</v>
      </c>
      <c r="G58" s="36">
        <v>67</v>
      </c>
      <c r="H58" s="8">
        <v>0</v>
      </c>
      <c r="I58" s="8" t="s">
        <v>1245</v>
      </c>
      <c r="J58" s="8" t="s">
        <v>1246</v>
      </c>
      <c r="K58" s="71" t="s">
        <v>9</v>
      </c>
      <c r="L58" s="8" t="s">
        <v>1178</v>
      </c>
      <c r="M58" s="8" t="s">
        <v>94</v>
      </c>
      <c r="N58" s="60" t="s">
        <v>98</v>
      </c>
      <c r="O58" s="49" t="s">
        <v>2</v>
      </c>
      <c r="P58" s="8">
        <v>4</v>
      </c>
      <c r="Q58" s="8" t="s">
        <v>1341</v>
      </c>
      <c r="R58" s="8" t="s">
        <v>1248</v>
      </c>
      <c r="S58" s="9" t="str">
        <f>IFERROR(HYPERLINK("#Main!A"&amp;MATCH(A58,Main!A:A,0),"Open"),HYPERLINK("#Main!A1","Open"))</f>
        <v>Open</v>
      </c>
      <c r="T58" s="9" t="str">
        <f>IFERROR(HYPERLINK("#Technical!A"&amp;MATCH(A58,Technical!A:A,0),"Open"),HYPERLINK("#Technical!A1","Open"))</f>
        <v>Open</v>
      </c>
      <c r="U58" s="9"/>
    </row>
    <row r="59" spans="1:21" ht="30" customHeight="1" x14ac:dyDescent="0.25">
      <c r="A59" s="58" t="s">
        <v>519</v>
      </c>
      <c r="B59" s="11">
        <v>28742</v>
      </c>
      <c r="C59" s="43" t="s">
        <v>1342</v>
      </c>
      <c r="D59" s="11" t="s">
        <v>8</v>
      </c>
      <c r="E59" s="61" t="s">
        <v>67</v>
      </c>
      <c r="F59" s="11" t="s">
        <v>1244</v>
      </c>
      <c r="G59" s="10">
        <v>67</v>
      </c>
      <c r="H59" s="11">
        <v>0</v>
      </c>
      <c r="I59" s="11" t="s">
        <v>1245</v>
      </c>
      <c r="J59" s="11" t="s">
        <v>1246</v>
      </c>
      <c r="K59" s="72" t="s">
        <v>9</v>
      </c>
      <c r="L59" s="11" t="s">
        <v>1178</v>
      </c>
      <c r="M59" s="11" t="s">
        <v>94</v>
      </c>
      <c r="N59" s="60" t="s">
        <v>98</v>
      </c>
      <c r="O59" s="49" t="s">
        <v>2</v>
      </c>
      <c r="P59" s="11">
        <v>4</v>
      </c>
      <c r="Q59" s="11" t="s">
        <v>1343</v>
      </c>
      <c r="R59" s="11" t="s">
        <v>1248</v>
      </c>
      <c r="S59" t="str">
        <f>IFERROR(HYPERLINK("#Main!A"&amp;MATCH(A59,Main!A:A,0),"Open"),HYPERLINK("#Main!A1","Open"))</f>
        <v>Open</v>
      </c>
      <c r="T59" t="str">
        <f>IFERROR(HYPERLINK("#Technical!A"&amp;MATCH(A59,Technical!A:A,0),"Open"),HYPERLINK("#Technical!A1","Open"))</f>
        <v>Open</v>
      </c>
    </row>
    <row r="60" spans="1:21" ht="30" customHeight="1" x14ac:dyDescent="0.25">
      <c r="A60" s="59" t="s">
        <v>527</v>
      </c>
      <c r="B60" s="8">
        <v>20001</v>
      </c>
      <c r="C60" s="43" t="s">
        <v>1344</v>
      </c>
      <c r="D60" s="8" t="s">
        <v>8</v>
      </c>
      <c r="E60" s="61" t="s">
        <v>67</v>
      </c>
      <c r="F60" s="8" t="s">
        <v>1244</v>
      </c>
      <c r="G60" s="36">
        <v>67</v>
      </c>
      <c r="H60" s="8">
        <v>0</v>
      </c>
      <c r="I60" s="8" t="s">
        <v>1245</v>
      </c>
      <c r="J60" s="8" t="s">
        <v>1246</v>
      </c>
      <c r="K60" s="71" t="s">
        <v>9</v>
      </c>
      <c r="L60" s="8" t="s">
        <v>1178</v>
      </c>
      <c r="M60" s="8" t="s">
        <v>94</v>
      </c>
      <c r="N60" s="60" t="s">
        <v>98</v>
      </c>
      <c r="O60" s="49" t="s">
        <v>2</v>
      </c>
      <c r="P60" s="8">
        <v>4</v>
      </c>
      <c r="Q60" s="8" t="s">
        <v>1345</v>
      </c>
      <c r="R60" s="8" t="s">
        <v>1248</v>
      </c>
      <c r="S60" s="9" t="str">
        <f>IFERROR(HYPERLINK("#Main!A"&amp;MATCH(A60,Main!A:A,0),"Open"),HYPERLINK("#Main!A1","Open"))</f>
        <v>Open</v>
      </c>
      <c r="T60" s="9" t="str">
        <f>IFERROR(HYPERLINK("#Technical!A"&amp;MATCH(A60,Technical!A:A,0),"Open"),HYPERLINK("#Technical!A1","Open"))</f>
        <v>Open</v>
      </c>
      <c r="U60" s="9"/>
    </row>
    <row r="61" spans="1:21" ht="30" customHeight="1" x14ac:dyDescent="0.25">
      <c r="A61" s="58" t="s">
        <v>535</v>
      </c>
      <c r="B61" s="11">
        <v>19980</v>
      </c>
      <c r="C61" s="43" t="s">
        <v>1346</v>
      </c>
      <c r="D61" s="11" t="s">
        <v>8</v>
      </c>
      <c r="E61" s="61" t="s">
        <v>67</v>
      </c>
      <c r="F61" s="11" t="s">
        <v>1244</v>
      </c>
      <c r="G61" s="10">
        <v>67</v>
      </c>
      <c r="H61" s="11">
        <v>0</v>
      </c>
      <c r="I61" s="11" t="s">
        <v>1245</v>
      </c>
      <c r="J61" s="11" t="s">
        <v>1246</v>
      </c>
      <c r="K61" s="72" t="s">
        <v>9</v>
      </c>
      <c r="L61" s="11" t="s">
        <v>1178</v>
      </c>
      <c r="M61" s="11" t="s">
        <v>94</v>
      </c>
      <c r="N61" s="60" t="s">
        <v>98</v>
      </c>
      <c r="O61" s="49" t="s">
        <v>2</v>
      </c>
      <c r="P61" s="11">
        <v>4</v>
      </c>
      <c r="Q61" s="11" t="s">
        <v>1347</v>
      </c>
      <c r="R61" s="11" t="s">
        <v>1248</v>
      </c>
      <c r="S61" t="str">
        <f>IFERROR(HYPERLINK("#Main!A"&amp;MATCH(A61,Main!A:A,0),"Open"),HYPERLINK("#Main!A1","Open"))</f>
        <v>Open</v>
      </c>
      <c r="T61" t="str">
        <f>IFERROR(HYPERLINK("#Technical!A"&amp;MATCH(A61,Technical!A:A,0),"Open"),HYPERLINK("#Technical!A1","Open"))</f>
        <v>Open</v>
      </c>
    </row>
    <row r="62" spans="1:21" ht="30" customHeight="1" x14ac:dyDescent="0.25">
      <c r="A62" s="59" t="s">
        <v>543</v>
      </c>
      <c r="B62" s="8">
        <v>10823</v>
      </c>
      <c r="C62" s="43" t="s">
        <v>1348</v>
      </c>
      <c r="D62" s="8" t="s">
        <v>8</v>
      </c>
      <c r="E62" s="61" t="s">
        <v>67</v>
      </c>
      <c r="F62" s="8" t="s">
        <v>1244</v>
      </c>
      <c r="G62" s="36">
        <v>67</v>
      </c>
      <c r="H62" s="8">
        <v>0</v>
      </c>
      <c r="I62" s="8" t="s">
        <v>1245</v>
      </c>
      <c r="J62" s="8" t="s">
        <v>1246</v>
      </c>
      <c r="K62" s="71" t="s">
        <v>9</v>
      </c>
      <c r="L62" s="8" t="s">
        <v>1178</v>
      </c>
      <c r="M62" s="8" t="s">
        <v>94</v>
      </c>
      <c r="N62" s="60" t="s">
        <v>98</v>
      </c>
      <c r="O62" s="49" t="s">
        <v>2</v>
      </c>
      <c r="P62" s="8">
        <v>4</v>
      </c>
      <c r="Q62" s="8" t="s">
        <v>1349</v>
      </c>
      <c r="R62" s="8" t="s">
        <v>1248</v>
      </c>
      <c r="S62" s="9" t="str">
        <f>IFERROR(HYPERLINK("#Main!A"&amp;MATCH(A62,Main!A:A,0),"Open"),HYPERLINK("#Main!A1","Open"))</f>
        <v>Open</v>
      </c>
      <c r="T62" s="9" t="str">
        <f>IFERROR(HYPERLINK("#Technical!A"&amp;MATCH(A62,Technical!A:A,0),"Open"),HYPERLINK("#Technical!A1","Open"))</f>
        <v>Open</v>
      </c>
      <c r="U62" s="9"/>
    </row>
    <row r="63" spans="1:21" ht="30" customHeight="1" x14ac:dyDescent="0.25">
      <c r="A63" s="58" t="s">
        <v>551</v>
      </c>
      <c r="B63" s="11">
        <v>9075</v>
      </c>
      <c r="C63" s="43" t="s">
        <v>1350</v>
      </c>
      <c r="D63" s="11" t="s">
        <v>8</v>
      </c>
      <c r="E63" s="61" t="s">
        <v>67</v>
      </c>
      <c r="F63" s="11" t="s">
        <v>1244</v>
      </c>
      <c r="G63" s="10">
        <v>67</v>
      </c>
      <c r="H63" s="11">
        <v>0</v>
      </c>
      <c r="I63" s="11" t="s">
        <v>1245</v>
      </c>
      <c r="J63" s="11" t="s">
        <v>1246</v>
      </c>
      <c r="K63" s="72" t="s">
        <v>9</v>
      </c>
      <c r="L63" s="11" t="s">
        <v>1178</v>
      </c>
      <c r="M63" s="11" t="s">
        <v>94</v>
      </c>
      <c r="N63" s="60" t="s">
        <v>98</v>
      </c>
      <c r="O63" s="49" t="s">
        <v>2</v>
      </c>
      <c r="P63" s="11">
        <v>4</v>
      </c>
      <c r="Q63" s="11" t="s">
        <v>1351</v>
      </c>
      <c r="R63" s="11" t="s">
        <v>1248</v>
      </c>
      <c r="S63" t="str">
        <f>IFERROR(HYPERLINK("#Main!A"&amp;MATCH(A63,Main!A:A,0),"Open"),HYPERLINK("#Main!A1","Open"))</f>
        <v>Open</v>
      </c>
      <c r="T63" t="str">
        <f>IFERROR(HYPERLINK("#Technical!A"&amp;MATCH(A63,Technical!A:A,0),"Open"),HYPERLINK("#Technical!A1","Open"))</f>
        <v>Open</v>
      </c>
    </row>
    <row r="64" spans="1:21" ht="30" customHeight="1" x14ac:dyDescent="0.25">
      <c r="A64" s="59" t="s">
        <v>559</v>
      </c>
      <c r="B64" s="8">
        <v>17908</v>
      </c>
      <c r="C64" s="43" t="s">
        <v>1352</v>
      </c>
      <c r="D64" s="8" t="s">
        <v>8</v>
      </c>
      <c r="E64" s="61" t="s">
        <v>67</v>
      </c>
      <c r="F64" s="8" t="s">
        <v>1244</v>
      </c>
      <c r="G64" s="36">
        <v>67</v>
      </c>
      <c r="H64" s="8">
        <v>0</v>
      </c>
      <c r="I64" s="8" t="s">
        <v>1245</v>
      </c>
      <c r="J64" s="8" t="s">
        <v>1246</v>
      </c>
      <c r="K64" s="71" t="s">
        <v>9</v>
      </c>
      <c r="L64" s="8" t="s">
        <v>1178</v>
      </c>
      <c r="M64" s="8" t="s">
        <v>94</v>
      </c>
      <c r="N64" s="60" t="s">
        <v>98</v>
      </c>
      <c r="O64" s="49" t="s">
        <v>2</v>
      </c>
      <c r="P64" s="8">
        <v>4</v>
      </c>
      <c r="Q64" s="8" t="s">
        <v>1353</v>
      </c>
      <c r="R64" s="8" t="s">
        <v>1248</v>
      </c>
      <c r="S64" s="9" t="str">
        <f>IFERROR(HYPERLINK("#Main!A"&amp;MATCH(A64,Main!A:A,0),"Open"),HYPERLINK("#Main!A1","Open"))</f>
        <v>Open</v>
      </c>
      <c r="T64" s="9" t="str">
        <f>IFERROR(HYPERLINK("#Technical!A"&amp;MATCH(A64,Technical!A:A,0),"Open"),HYPERLINK("#Technical!A1","Open"))</f>
        <v>Open</v>
      </c>
      <c r="U64" s="9"/>
    </row>
    <row r="65" spans="1:21" ht="30" customHeight="1" x14ac:dyDescent="0.25">
      <c r="A65" s="58" t="s">
        <v>566</v>
      </c>
      <c r="B65" s="11">
        <v>24640</v>
      </c>
      <c r="C65" s="43" t="s">
        <v>1354</v>
      </c>
      <c r="D65" s="11" t="s">
        <v>8</v>
      </c>
      <c r="E65" s="61" t="s">
        <v>67</v>
      </c>
      <c r="F65" s="11" t="s">
        <v>1244</v>
      </c>
      <c r="G65" s="10">
        <v>67</v>
      </c>
      <c r="H65" s="11">
        <v>0</v>
      </c>
      <c r="I65" s="11" t="s">
        <v>1245</v>
      </c>
      <c r="J65" s="11" t="s">
        <v>1246</v>
      </c>
      <c r="K65" s="72" t="s">
        <v>9</v>
      </c>
      <c r="L65" s="11" t="s">
        <v>1178</v>
      </c>
      <c r="M65" s="11" t="s">
        <v>94</v>
      </c>
      <c r="N65" s="60" t="s">
        <v>98</v>
      </c>
      <c r="O65" s="49" t="s">
        <v>2</v>
      </c>
      <c r="P65" s="11">
        <v>4</v>
      </c>
      <c r="Q65" s="11" t="s">
        <v>1355</v>
      </c>
      <c r="R65" s="11" t="s">
        <v>1248</v>
      </c>
      <c r="S65" t="str">
        <f>IFERROR(HYPERLINK("#Main!A"&amp;MATCH(A65,Main!A:A,0),"Open"),HYPERLINK("#Main!A1","Open"))</f>
        <v>Open</v>
      </c>
      <c r="T65" t="str">
        <f>IFERROR(HYPERLINK("#Technical!A"&amp;MATCH(A65,Technical!A:A,0),"Open"),HYPERLINK("#Technical!A1","Open"))</f>
        <v>Open</v>
      </c>
    </row>
    <row r="66" spans="1:21" ht="30" customHeight="1" x14ac:dyDescent="0.25">
      <c r="A66" s="59" t="s">
        <v>574</v>
      </c>
      <c r="B66" s="8">
        <v>16472</v>
      </c>
      <c r="C66" s="43" t="s">
        <v>1356</v>
      </c>
      <c r="D66" s="8" t="s">
        <v>8</v>
      </c>
      <c r="E66" s="61" t="s">
        <v>67</v>
      </c>
      <c r="F66" s="8" t="s">
        <v>1244</v>
      </c>
      <c r="G66" s="36">
        <v>67</v>
      </c>
      <c r="H66" s="8">
        <v>0</v>
      </c>
      <c r="I66" s="8" t="s">
        <v>1245</v>
      </c>
      <c r="J66" s="8" t="s">
        <v>1246</v>
      </c>
      <c r="K66" s="71" t="s">
        <v>9</v>
      </c>
      <c r="L66" s="8" t="s">
        <v>1178</v>
      </c>
      <c r="M66" s="8" t="s">
        <v>94</v>
      </c>
      <c r="N66" s="60" t="s">
        <v>98</v>
      </c>
      <c r="O66" s="49" t="s">
        <v>2</v>
      </c>
      <c r="P66" s="8">
        <v>4</v>
      </c>
      <c r="Q66" s="8" t="s">
        <v>1357</v>
      </c>
      <c r="R66" s="8" t="s">
        <v>1248</v>
      </c>
      <c r="S66" s="9" t="str">
        <f>IFERROR(HYPERLINK("#Main!A"&amp;MATCH(A66,Main!A:A,0),"Open"),HYPERLINK("#Main!A1","Open"))</f>
        <v>Open</v>
      </c>
      <c r="T66" s="9" t="str">
        <f>IFERROR(HYPERLINK("#Technical!A"&amp;MATCH(A66,Technical!A:A,0),"Open"),HYPERLINK("#Technical!A1","Open"))</f>
        <v>Open</v>
      </c>
      <c r="U66" s="9"/>
    </row>
    <row r="67" spans="1:21" ht="30" customHeight="1" x14ac:dyDescent="0.25">
      <c r="A67" s="58" t="s">
        <v>582</v>
      </c>
      <c r="B67" s="11">
        <v>92</v>
      </c>
      <c r="C67" s="43" t="s">
        <v>1358</v>
      </c>
      <c r="D67" s="11" t="s">
        <v>8</v>
      </c>
      <c r="E67" s="61" t="s">
        <v>67</v>
      </c>
      <c r="F67" s="11" t="s">
        <v>1244</v>
      </c>
      <c r="G67" s="10">
        <v>67</v>
      </c>
      <c r="H67" s="11">
        <v>0</v>
      </c>
      <c r="I67" s="11" t="s">
        <v>1245</v>
      </c>
      <c r="J67" s="11" t="s">
        <v>1246</v>
      </c>
      <c r="K67" s="72" t="s">
        <v>9</v>
      </c>
      <c r="L67" s="11" t="s">
        <v>1178</v>
      </c>
      <c r="M67" s="11" t="s">
        <v>94</v>
      </c>
      <c r="N67" s="60" t="s">
        <v>98</v>
      </c>
      <c r="O67" s="49" t="s">
        <v>2</v>
      </c>
      <c r="P67" s="11">
        <v>4</v>
      </c>
      <c r="Q67" s="11" t="s">
        <v>1359</v>
      </c>
      <c r="R67" s="11" t="s">
        <v>1248</v>
      </c>
      <c r="S67" t="str">
        <f>IFERROR(HYPERLINK("#Main!A"&amp;MATCH(A67,Main!A:A,0),"Open"),HYPERLINK("#Main!A1","Open"))</f>
        <v>Open</v>
      </c>
      <c r="T67" t="str">
        <f>IFERROR(HYPERLINK("#Technical!A"&amp;MATCH(A67,Technical!A:A,0),"Open"),HYPERLINK("#Technical!A1","Open"))</f>
        <v>Open</v>
      </c>
    </row>
    <row r="68" spans="1:21" ht="30" customHeight="1" x14ac:dyDescent="0.25">
      <c r="A68" s="59" t="s">
        <v>590</v>
      </c>
      <c r="B68" s="8">
        <v>18478</v>
      </c>
      <c r="C68" s="43" t="s">
        <v>1360</v>
      </c>
      <c r="D68" s="8" t="s">
        <v>8</v>
      </c>
      <c r="E68" s="61" t="s">
        <v>67</v>
      </c>
      <c r="F68" s="8" t="s">
        <v>1244</v>
      </c>
      <c r="G68" s="36">
        <v>67</v>
      </c>
      <c r="H68" s="8">
        <v>0</v>
      </c>
      <c r="I68" s="8" t="s">
        <v>1245</v>
      </c>
      <c r="J68" s="8" t="s">
        <v>1246</v>
      </c>
      <c r="K68" s="71" t="s">
        <v>9</v>
      </c>
      <c r="L68" s="8" t="s">
        <v>1178</v>
      </c>
      <c r="M68" s="8" t="s">
        <v>94</v>
      </c>
      <c r="N68" s="60" t="s">
        <v>98</v>
      </c>
      <c r="O68" s="49" t="s">
        <v>2</v>
      </c>
      <c r="P68" s="8">
        <v>4</v>
      </c>
      <c r="Q68" s="8" t="s">
        <v>1361</v>
      </c>
      <c r="R68" s="8" t="s">
        <v>1248</v>
      </c>
      <c r="S68" s="9" t="str">
        <f>IFERROR(HYPERLINK("#Main!A"&amp;MATCH(A68,Main!A:A,0),"Open"),HYPERLINK("#Main!A1","Open"))</f>
        <v>Open</v>
      </c>
      <c r="T68" s="9" t="str">
        <f>IFERROR(HYPERLINK("#Technical!A"&amp;MATCH(A68,Technical!A:A,0),"Open"),HYPERLINK("#Technical!A1","Open"))</f>
        <v>Open</v>
      </c>
      <c r="U68" s="9"/>
    </row>
    <row r="69" spans="1:21" ht="30" customHeight="1" x14ac:dyDescent="0.25">
      <c r="A69" s="58" t="s">
        <v>598</v>
      </c>
      <c r="B69" s="11">
        <v>19172</v>
      </c>
      <c r="C69" s="43" t="s">
        <v>1362</v>
      </c>
      <c r="D69" s="11" t="s">
        <v>8</v>
      </c>
      <c r="E69" s="61" t="s">
        <v>67</v>
      </c>
      <c r="F69" s="11" t="s">
        <v>1244</v>
      </c>
      <c r="G69" s="10">
        <v>67</v>
      </c>
      <c r="H69" s="11">
        <v>0</v>
      </c>
      <c r="I69" s="11" t="s">
        <v>1245</v>
      </c>
      <c r="J69" s="11" t="s">
        <v>1246</v>
      </c>
      <c r="K69" s="72" t="s">
        <v>9</v>
      </c>
      <c r="L69" s="11" t="s">
        <v>1178</v>
      </c>
      <c r="M69" s="11" t="s">
        <v>94</v>
      </c>
      <c r="N69" s="60" t="s">
        <v>98</v>
      </c>
      <c r="O69" s="49" t="s">
        <v>2</v>
      </c>
      <c r="P69" s="11">
        <v>4</v>
      </c>
      <c r="Q69" s="11" t="s">
        <v>1363</v>
      </c>
      <c r="R69" s="11" t="s">
        <v>1248</v>
      </c>
      <c r="S69" t="str">
        <f>IFERROR(HYPERLINK("#Main!A"&amp;MATCH(A69,Main!A:A,0),"Open"),HYPERLINK("#Main!A1","Open"))</f>
        <v>Open</v>
      </c>
      <c r="T69" t="str">
        <f>IFERROR(HYPERLINK("#Technical!A"&amp;MATCH(A69,Technical!A:A,0),"Open"),HYPERLINK("#Technical!A1","Open"))</f>
        <v>Open</v>
      </c>
    </row>
    <row r="70" spans="1:21" ht="30" customHeight="1" x14ac:dyDescent="0.25">
      <c r="A70" s="59" t="s">
        <v>606</v>
      </c>
      <c r="B70" s="8">
        <v>88</v>
      </c>
      <c r="C70" s="43" t="s">
        <v>1364</v>
      </c>
      <c r="D70" s="8" t="s">
        <v>8</v>
      </c>
      <c r="E70" s="61" t="s">
        <v>67</v>
      </c>
      <c r="F70" s="8" t="s">
        <v>1244</v>
      </c>
      <c r="G70" s="36">
        <v>67</v>
      </c>
      <c r="H70" s="8">
        <v>0</v>
      </c>
      <c r="I70" s="8" t="s">
        <v>1245</v>
      </c>
      <c r="J70" s="8" t="s">
        <v>1246</v>
      </c>
      <c r="K70" s="71" t="s">
        <v>9</v>
      </c>
      <c r="L70" s="8" t="s">
        <v>1178</v>
      </c>
      <c r="M70" s="8" t="s">
        <v>94</v>
      </c>
      <c r="N70" s="60" t="s">
        <v>98</v>
      </c>
      <c r="O70" s="49" t="s">
        <v>2</v>
      </c>
      <c r="P70" s="8">
        <v>4</v>
      </c>
      <c r="Q70" s="8" t="s">
        <v>1365</v>
      </c>
      <c r="R70" s="8" t="s">
        <v>1248</v>
      </c>
      <c r="S70" s="9" t="str">
        <f>IFERROR(HYPERLINK("#Main!A"&amp;MATCH(A70,Main!A:A,0),"Open"),HYPERLINK("#Main!A1","Open"))</f>
        <v>Open</v>
      </c>
      <c r="T70" s="9" t="str">
        <f>IFERROR(HYPERLINK("#Technical!A"&amp;MATCH(A70,Technical!A:A,0),"Open"),HYPERLINK("#Technical!A1","Open"))</f>
        <v>Open</v>
      </c>
      <c r="U70" s="9"/>
    </row>
    <row r="71" spans="1:21" ht="30" customHeight="1" x14ac:dyDescent="0.25">
      <c r="A71" s="58" t="s">
        <v>614</v>
      </c>
      <c r="B71" s="11">
        <v>16548</v>
      </c>
      <c r="C71" s="43" t="s">
        <v>1366</v>
      </c>
      <c r="D71" s="11" t="s">
        <v>8</v>
      </c>
      <c r="E71" s="61" t="s">
        <v>67</v>
      </c>
      <c r="F71" s="11" t="s">
        <v>1244</v>
      </c>
      <c r="G71" s="10">
        <v>67</v>
      </c>
      <c r="H71" s="11">
        <v>0</v>
      </c>
      <c r="I71" s="11" t="s">
        <v>1245</v>
      </c>
      <c r="J71" s="11" t="s">
        <v>1246</v>
      </c>
      <c r="K71" s="72" t="s">
        <v>9</v>
      </c>
      <c r="L71" s="11" t="s">
        <v>1178</v>
      </c>
      <c r="M71" s="11" t="s">
        <v>94</v>
      </c>
      <c r="N71" s="60" t="s">
        <v>98</v>
      </c>
      <c r="O71" s="49" t="s">
        <v>2</v>
      </c>
      <c r="P71" s="11">
        <v>4</v>
      </c>
      <c r="Q71" s="11" t="s">
        <v>1367</v>
      </c>
      <c r="R71" s="11" t="s">
        <v>1248</v>
      </c>
      <c r="S71" t="str">
        <f>IFERROR(HYPERLINK("#Main!A"&amp;MATCH(A71,Main!A:A,0),"Open"),HYPERLINK("#Main!A1","Open"))</f>
        <v>Open</v>
      </c>
      <c r="T71" t="str">
        <f>IFERROR(HYPERLINK("#Technical!A"&amp;MATCH(A71,Technical!A:A,0),"Open"),HYPERLINK("#Technical!A1","Open"))</f>
        <v>Open</v>
      </c>
    </row>
    <row r="72" spans="1:21" ht="30" customHeight="1" x14ac:dyDescent="0.25">
      <c r="A72" s="59" t="s">
        <v>622</v>
      </c>
      <c r="B72" s="8">
        <v>20341</v>
      </c>
      <c r="C72" s="43" t="s">
        <v>1241</v>
      </c>
      <c r="D72" s="8" t="s">
        <v>8</v>
      </c>
      <c r="E72" s="61" t="s">
        <v>67</v>
      </c>
      <c r="F72" s="8" t="s">
        <v>1244</v>
      </c>
      <c r="G72" s="36">
        <v>67</v>
      </c>
      <c r="H72" s="8">
        <v>0</v>
      </c>
      <c r="I72" s="8" t="s">
        <v>1245</v>
      </c>
      <c r="J72" s="8" t="s">
        <v>1246</v>
      </c>
      <c r="K72" s="71" t="s">
        <v>9</v>
      </c>
      <c r="L72" s="8" t="s">
        <v>1178</v>
      </c>
      <c r="M72" s="8" t="s">
        <v>94</v>
      </c>
      <c r="N72" s="60" t="s">
        <v>98</v>
      </c>
      <c r="O72" s="49" t="s">
        <v>2</v>
      </c>
      <c r="P72" s="8">
        <v>4</v>
      </c>
      <c r="Q72" s="8" t="s">
        <v>1368</v>
      </c>
      <c r="R72" s="8" t="s">
        <v>1248</v>
      </c>
      <c r="S72" s="9" t="str">
        <f>IFERROR(HYPERLINK("#Main!A"&amp;MATCH(A72,Main!A:A,0),"Open"),HYPERLINK("#Main!A1","Open"))</f>
        <v>Open</v>
      </c>
      <c r="T72" s="9" t="str">
        <f>IFERROR(HYPERLINK("#Technical!A"&amp;MATCH(A72,Technical!A:A,0),"Open"),HYPERLINK("#Technical!A1","Open"))</f>
        <v>Open</v>
      </c>
      <c r="U72" s="9"/>
    </row>
    <row r="73" spans="1:21" ht="30" customHeight="1" x14ac:dyDescent="0.25">
      <c r="A73" s="58" t="s">
        <v>627</v>
      </c>
      <c r="B73" s="11">
        <v>31820</v>
      </c>
      <c r="C73" s="43" t="s">
        <v>1369</v>
      </c>
      <c r="D73" s="11" t="s">
        <v>8</v>
      </c>
      <c r="E73" s="61" t="s">
        <v>67</v>
      </c>
      <c r="F73" s="11" t="s">
        <v>1244</v>
      </c>
      <c r="G73" s="10">
        <v>67</v>
      </c>
      <c r="H73" s="11">
        <v>0</v>
      </c>
      <c r="I73" s="11" t="s">
        <v>1245</v>
      </c>
      <c r="J73" s="11" t="s">
        <v>1246</v>
      </c>
      <c r="K73" s="72" t="s">
        <v>9</v>
      </c>
      <c r="L73" s="11" t="s">
        <v>1178</v>
      </c>
      <c r="M73" s="11" t="s">
        <v>94</v>
      </c>
      <c r="N73" s="60" t="s">
        <v>98</v>
      </c>
      <c r="O73" s="49" t="s">
        <v>2</v>
      </c>
      <c r="P73" s="11">
        <v>4</v>
      </c>
      <c r="Q73" s="11" t="s">
        <v>1370</v>
      </c>
      <c r="R73" s="11" t="s">
        <v>1248</v>
      </c>
      <c r="S73" t="str">
        <f>IFERROR(HYPERLINK("#Main!A"&amp;MATCH(A73,Main!A:A,0),"Open"),HYPERLINK("#Main!A1","Open"))</f>
        <v>Open</v>
      </c>
      <c r="T73" t="str">
        <f>IFERROR(HYPERLINK("#Technical!A"&amp;MATCH(A73,Technical!A:A,0),"Open"),HYPERLINK("#Technical!A1","Open"))</f>
        <v>Open</v>
      </c>
    </row>
    <row r="74" spans="1:21" ht="30" customHeight="1" x14ac:dyDescent="0.25">
      <c r="A74" s="59" t="s">
        <v>635</v>
      </c>
      <c r="B74" s="8">
        <v>5597</v>
      </c>
      <c r="C74" s="43" t="s">
        <v>1371</v>
      </c>
      <c r="D74" s="8" t="s">
        <v>8</v>
      </c>
      <c r="E74" s="61" t="s">
        <v>67</v>
      </c>
      <c r="F74" s="8" t="s">
        <v>1244</v>
      </c>
      <c r="G74" s="36">
        <v>67</v>
      </c>
      <c r="H74" s="8">
        <v>0</v>
      </c>
      <c r="I74" s="8" t="s">
        <v>1245</v>
      </c>
      <c r="J74" s="8" t="s">
        <v>1246</v>
      </c>
      <c r="K74" s="71" t="s">
        <v>9</v>
      </c>
      <c r="L74" s="8" t="s">
        <v>1178</v>
      </c>
      <c r="M74" s="8" t="s">
        <v>94</v>
      </c>
      <c r="N74" s="60" t="s">
        <v>98</v>
      </c>
      <c r="O74" s="49" t="s">
        <v>2</v>
      </c>
      <c r="P74" s="8">
        <v>4</v>
      </c>
      <c r="Q74" s="8" t="s">
        <v>1372</v>
      </c>
      <c r="R74" s="8" t="s">
        <v>1248</v>
      </c>
      <c r="S74" s="9" t="str">
        <f>IFERROR(HYPERLINK("#Main!A"&amp;MATCH(A74,Main!A:A,0),"Open"),HYPERLINK("#Main!A1","Open"))</f>
        <v>Open</v>
      </c>
      <c r="T74" s="9" t="str">
        <f>IFERROR(HYPERLINK("#Technical!A"&amp;MATCH(A74,Technical!A:A,0),"Open"),HYPERLINK("#Technical!A1","Open"))</f>
        <v>Open</v>
      </c>
      <c r="U74" s="9"/>
    </row>
    <row r="75" spans="1:21" ht="30" customHeight="1" x14ac:dyDescent="0.25">
      <c r="A75" s="58" t="s">
        <v>642</v>
      </c>
      <c r="B75" s="11">
        <v>33050</v>
      </c>
      <c r="C75" s="43" t="s">
        <v>1373</v>
      </c>
      <c r="D75" s="11" t="s">
        <v>8</v>
      </c>
      <c r="E75" s="61" t="s">
        <v>67</v>
      </c>
      <c r="F75" s="11" t="s">
        <v>1244</v>
      </c>
      <c r="G75" s="10">
        <v>67</v>
      </c>
      <c r="H75" s="11">
        <v>0</v>
      </c>
      <c r="I75" s="11" t="s">
        <v>1245</v>
      </c>
      <c r="J75" s="11" t="s">
        <v>1246</v>
      </c>
      <c r="K75" s="72" t="s">
        <v>9</v>
      </c>
      <c r="L75" s="11" t="s">
        <v>1178</v>
      </c>
      <c r="M75" s="11" t="s">
        <v>94</v>
      </c>
      <c r="N75" s="60" t="s">
        <v>98</v>
      </c>
      <c r="O75" s="49" t="s">
        <v>2</v>
      </c>
      <c r="P75" s="11">
        <v>4</v>
      </c>
      <c r="Q75" s="11" t="s">
        <v>1374</v>
      </c>
      <c r="R75" s="11" t="s">
        <v>1248</v>
      </c>
      <c r="S75" t="str">
        <f>IFERROR(HYPERLINK("#Main!A"&amp;MATCH(A75,Main!A:A,0),"Open"),HYPERLINK("#Main!A1","Open"))</f>
        <v>Open</v>
      </c>
      <c r="T75" t="str">
        <f>IFERROR(HYPERLINK("#Technical!A"&amp;MATCH(A75,Technical!A:A,0),"Open"),HYPERLINK("#Technical!A1","Open"))</f>
        <v>Open</v>
      </c>
    </row>
    <row r="76" spans="1:21" ht="30" customHeight="1" x14ac:dyDescent="0.25">
      <c r="A76" s="59" t="s">
        <v>650</v>
      </c>
      <c r="B76" s="8">
        <v>86</v>
      </c>
      <c r="C76" s="43" t="s">
        <v>1375</v>
      </c>
      <c r="D76" s="8" t="s">
        <v>8</v>
      </c>
      <c r="E76" s="61" t="s">
        <v>67</v>
      </c>
      <c r="F76" s="8" t="s">
        <v>1244</v>
      </c>
      <c r="G76" s="36">
        <v>67</v>
      </c>
      <c r="H76" s="8">
        <v>0</v>
      </c>
      <c r="I76" s="8" t="s">
        <v>1245</v>
      </c>
      <c r="J76" s="8" t="s">
        <v>1246</v>
      </c>
      <c r="K76" s="71" t="s">
        <v>9</v>
      </c>
      <c r="L76" s="8" t="s">
        <v>1178</v>
      </c>
      <c r="M76" s="8" t="s">
        <v>94</v>
      </c>
      <c r="N76" s="60" t="s">
        <v>98</v>
      </c>
      <c r="O76" s="49" t="s">
        <v>2</v>
      </c>
      <c r="P76" s="8">
        <v>4</v>
      </c>
      <c r="Q76" s="8" t="s">
        <v>1376</v>
      </c>
      <c r="R76" s="8" t="s">
        <v>1248</v>
      </c>
      <c r="S76" s="9" t="str">
        <f>IFERROR(HYPERLINK("#Main!A"&amp;MATCH(A76,Main!A:A,0),"Open"),HYPERLINK("#Main!A1","Open"))</f>
        <v>Open</v>
      </c>
      <c r="T76" s="9" t="str">
        <f>IFERROR(HYPERLINK("#Technical!A"&amp;MATCH(A76,Technical!A:A,0),"Open"),HYPERLINK("#Technical!A1","Open"))</f>
        <v>Open</v>
      </c>
      <c r="U76" s="9"/>
    </row>
    <row r="77" spans="1:21" ht="30" customHeight="1" x14ac:dyDescent="0.25">
      <c r="A77" s="58" t="s">
        <v>658</v>
      </c>
      <c r="B77" s="11">
        <v>2196</v>
      </c>
      <c r="C77" s="43" t="s">
        <v>1377</v>
      </c>
      <c r="D77" s="11" t="s">
        <v>8</v>
      </c>
      <c r="E77" s="61" t="s">
        <v>67</v>
      </c>
      <c r="F77" s="11" t="s">
        <v>1244</v>
      </c>
      <c r="G77" s="10">
        <v>67</v>
      </c>
      <c r="H77" s="11">
        <v>0</v>
      </c>
      <c r="I77" s="11" t="s">
        <v>1245</v>
      </c>
      <c r="J77" s="11" t="s">
        <v>1246</v>
      </c>
      <c r="K77" s="72" t="s">
        <v>9</v>
      </c>
      <c r="L77" s="11" t="s">
        <v>1178</v>
      </c>
      <c r="M77" s="11" t="s">
        <v>94</v>
      </c>
      <c r="N77" s="60" t="s">
        <v>98</v>
      </c>
      <c r="O77" s="49" t="s">
        <v>2</v>
      </c>
      <c r="P77" s="11">
        <v>4</v>
      </c>
      <c r="Q77" s="11" t="s">
        <v>1378</v>
      </c>
      <c r="R77" s="11" t="s">
        <v>1248</v>
      </c>
      <c r="S77" t="str">
        <f>IFERROR(HYPERLINK("#Main!A"&amp;MATCH(A77,Main!A:A,0),"Open"),HYPERLINK("#Main!A1","Open"))</f>
        <v>Open</v>
      </c>
      <c r="T77" t="str">
        <f>IFERROR(HYPERLINK("#Technical!A"&amp;MATCH(A77,Technical!A:A,0),"Open"),HYPERLINK("#Technical!A1","Open"))</f>
        <v>Open</v>
      </c>
    </row>
    <row r="78" spans="1:21" ht="30" customHeight="1" x14ac:dyDescent="0.25">
      <c r="A78" s="59" t="s">
        <v>666</v>
      </c>
      <c r="B78" s="8">
        <v>3</v>
      </c>
      <c r="C78" s="43" t="s">
        <v>1379</v>
      </c>
      <c r="D78" s="8" t="s">
        <v>8</v>
      </c>
      <c r="E78" s="61" t="s">
        <v>67</v>
      </c>
      <c r="F78" s="8" t="s">
        <v>1244</v>
      </c>
      <c r="G78" s="36">
        <v>67</v>
      </c>
      <c r="H78" s="8">
        <v>0</v>
      </c>
      <c r="I78" s="8" t="s">
        <v>1245</v>
      </c>
      <c r="J78" s="8" t="s">
        <v>1246</v>
      </c>
      <c r="K78" s="71" t="s">
        <v>9</v>
      </c>
      <c r="L78" s="8" t="s">
        <v>1178</v>
      </c>
      <c r="M78" s="8" t="s">
        <v>94</v>
      </c>
      <c r="N78" s="60" t="s">
        <v>98</v>
      </c>
      <c r="O78" s="49" t="s">
        <v>2</v>
      </c>
      <c r="P78" s="8">
        <v>4</v>
      </c>
      <c r="Q78" s="8" t="s">
        <v>1380</v>
      </c>
      <c r="R78" s="8" t="s">
        <v>1248</v>
      </c>
      <c r="S78" s="9" t="str">
        <f>IFERROR(HYPERLINK("#Main!A"&amp;MATCH(A78,Main!A:A,0),"Open"),HYPERLINK("#Main!A1","Open"))</f>
        <v>Open</v>
      </c>
      <c r="T78" s="9" t="str">
        <f>IFERROR(HYPERLINK("#Technical!A"&amp;MATCH(A78,Technical!A:A,0),"Open"),HYPERLINK("#Technical!A1","Open"))</f>
        <v>Open</v>
      </c>
      <c r="U78" s="9"/>
    </row>
    <row r="79" spans="1:21" ht="30" customHeight="1" x14ac:dyDescent="0.25">
      <c r="A79" s="58" t="s">
        <v>674</v>
      </c>
      <c r="B79" s="11">
        <v>9047</v>
      </c>
      <c r="C79" s="43" t="s">
        <v>1381</v>
      </c>
      <c r="D79" s="11" t="s">
        <v>8</v>
      </c>
      <c r="E79" s="61" t="s">
        <v>67</v>
      </c>
      <c r="F79" s="11" t="s">
        <v>1244</v>
      </c>
      <c r="G79" s="10">
        <v>67</v>
      </c>
      <c r="H79" s="11">
        <v>0</v>
      </c>
      <c r="I79" s="11" t="s">
        <v>1245</v>
      </c>
      <c r="J79" s="11" t="s">
        <v>1246</v>
      </c>
      <c r="K79" s="72" t="s">
        <v>9</v>
      </c>
      <c r="L79" s="11" t="s">
        <v>1178</v>
      </c>
      <c r="M79" s="11" t="s">
        <v>94</v>
      </c>
      <c r="N79" s="60" t="s">
        <v>98</v>
      </c>
      <c r="O79" s="49" t="s">
        <v>2</v>
      </c>
      <c r="P79" s="11">
        <v>4</v>
      </c>
      <c r="Q79" s="11" t="s">
        <v>1382</v>
      </c>
      <c r="R79" s="11" t="s">
        <v>1248</v>
      </c>
      <c r="S79" t="str">
        <f>IFERROR(HYPERLINK("#Main!A"&amp;MATCH(A79,Main!A:A,0),"Open"),HYPERLINK("#Main!A1","Open"))</f>
        <v>Open</v>
      </c>
      <c r="T79" t="str">
        <f>IFERROR(HYPERLINK("#Technical!A"&amp;MATCH(A79,Technical!A:A,0),"Open"),HYPERLINK("#Technical!A1","Open"))</f>
        <v>Open</v>
      </c>
    </row>
    <row r="80" spans="1:21" ht="30" customHeight="1" x14ac:dyDescent="0.25">
      <c r="A80" s="59" t="s">
        <v>682</v>
      </c>
      <c r="B80" s="8">
        <v>3686</v>
      </c>
      <c r="C80" s="43" t="s">
        <v>1383</v>
      </c>
      <c r="D80" s="8" t="s">
        <v>8</v>
      </c>
      <c r="E80" s="61" t="s">
        <v>67</v>
      </c>
      <c r="F80" s="8" t="s">
        <v>1244</v>
      </c>
      <c r="G80" s="36">
        <v>67</v>
      </c>
      <c r="H80" s="8">
        <v>0</v>
      </c>
      <c r="I80" s="8" t="s">
        <v>1245</v>
      </c>
      <c r="J80" s="8" t="s">
        <v>1246</v>
      </c>
      <c r="K80" s="71" t="s">
        <v>9</v>
      </c>
      <c r="L80" s="8" t="s">
        <v>1178</v>
      </c>
      <c r="M80" s="8" t="s">
        <v>94</v>
      </c>
      <c r="N80" s="60" t="s">
        <v>98</v>
      </c>
      <c r="O80" s="49" t="s">
        <v>2</v>
      </c>
      <c r="P80" s="8">
        <v>4</v>
      </c>
      <c r="Q80" s="8" t="s">
        <v>1384</v>
      </c>
      <c r="R80" s="8" t="s">
        <v>1248</v>
      </c>
      <c r="S80" s="9" t="str">
        <f>IFERROR(HYPERLINK("#Main!A"&amp;MATCH(A80,Main!A:A,0),"Open"),HYPERLINK("#Main!A1","Open"))</f>
        <v>Open</v>
      </c>
      <c r="T80" s="9" t="str">
        <f>IFERROR(HYPERLINK("#Technical!A"&amp;MATCH(A80,Technical!A:A,0),"Open"),HYPERLINK("#Technical!A1","Open"))</f>
        <v>Open</v>
      </c>
      <c r="U80" s="9"/>
    </row>
    <row r="81" spans="1:21" ht="30" customHeight="1" x14ac:dyDescent="0.25">
      <c r="A81" s="58" t="s">
        <v>690</v>
      </c>
      <c r="B81" s="11">
        <v>21962</v>
      </c>
      <c r="C81" s="43" t="s">
        <v>1385</v>
      </c>
      <c r="D81" s="11" t="s">
        <v>8</v>
      </c>
      <c r="E81" s="61" t="s">
        <v>67</v>
      </c>
      <c r="F81" s="11" t="s">
        <v>1244</v>
      </c>
      <c r="G81" s="10">
        <v>67</v>
      </c>
      <c r="H81" s="11">
        <v>0</v>
      </c>
      <c r="I81" s="11" t="s">
        <v>1245</v>
      </c>
      <c r="J81" s="11" t="s">
        <v>1246</v>
      </c>
      <c r="K81" s="72" t="s">
        <v>9</v>
      </c>
      <c r="L81" s="11" t="s">
        <v>1178</v>
      </c>
      <c r="M81" s="11" t="s">
        <v>94</v>
      </c>
      <c r="N81" s="60" t="s">
        <v>98</v>
      </c>
      <c r="O81" s="49" t="s">
        <v>2</v>
      </c>
      <c r="P81" s="11">
        <v>4</v>
      </c>
      <c r="Q81" s="11" t="s">
        <v>1386</v>
      </c>
      <c r="R81" s="11" t="s">
        <v>1248</v>
      </c>
      <c r="S81" t="str">
        <f>IFERROR(HYPERLINK("#Main!A"&amp;MATCH(A81,Main!A:A,0),"Open"),HYPERLINK("#Main!A1","Open"))</f>
        <v>Open</v>
      </c>
      <c r="T81" t="str">
        <f>IFERROR(HYPERLINK("#Technical!A"&amp;MATCH(A81,Technical!A:A,0),"Open"),HYPERLINK("#Technical!A1","Open"))</f>
        <v>Open</v>
      </c>
    </row>
    <row r="82" spans="1:21" ht="30" customHeight="1" x14ac:dyDescent="0.25">
      <c r="A82" s="59" t="s">
        <v>698</v>
      </c>
      <c r="B82" s="8">
        <v>3252</v>
      </c>
      <c r="C82" s="43" t="s">
        <v>1387</v>
      </c>
      <c r="D82" s="8" t="s">
        <v>8</v>
      </c>
      <c r="E82" s="61" t="s">
        <v>67</v>
      </c>
      <c r="F82" s="8" t="s">
        <v>1244</v>
      </c>
      <c r="G82" s="36">
        <v>67</v>
      </c>
      <c r="H82" s="8">
        <v>0</v>
      </c>
      <c r="I82" s="8" t="s">
        <v>1245</v>
      </c>
      <c r="J82" s="8" t="s">
        <v>1246</v>
      </c>
      <c r="K82" s="71" t="s">
        <v>9</v>
      </c>
      <c r="L82" s="8" t="s">
        <v>1178</v>
      </c>
      <c r="M82" s="8" t="s">
        <v>94</v>
      </c>
      <c r="N82" s="60" t="s">
        <v>98</v>
      </c>
      <c r="O82" s="49" t="s">
        <v>2</v>
      </c>
      <c r="P82" s="8">
        <v>4</v>
      </c>
      <c r="Q82" s="8" t="s">
        <v>1388</v>
      </c>
      <c r="R82" s="8" t="s">
        <v>1248</v>
      </c>
      <c r="S82" s="9" t="str">
        <f>IFERROR(HYPERLINK("#Main!A"&amp;MATCH(A82,Main!A:A,0),"Open"),HYPERLINK("#Main!A1","Open"))</f>
        <v>Open</v>
      </c>
      <c r="T82" s="9" t="str">
        <f>IFERROR(HYPERLINK("#Technical!A"&amp;MATCH(A82,Technical!A:A,0),"Open"),HYPERLINK("#Technical!A1","Open"))</f>
        <v>Open</v>
      </c>
      <c r="U82" s="9"/>
    </row>
    <row r="83" spans="1:21" ht="30" customHeight="1" x14ac:dyDescent="0.25">
      <c r="A83" s="58" t="s">
        <v>704</v>
      </c>
      <c r="B83" s="11">
        <v>3634</v>
      </c>
      <c r="C83" s="43" t="s">
        <v>1389</v>
      </c>
      <c r="D83" s="11" t="s">
        <v>8</v>
      </c>
      <c r="E83" s="61" t="s">
        <v>67</v>
      </c>
      <c r="F83" s="11" t="s">
        <v>1244</v>
      </c>
      <c r="G83" s="10">
        <v>67</v>
      </c>
      <c r="H83" s="11">
        <v>0</v>
      </c>
      <c r="I83" s="11" t="s">
        <v>1245</v>
      </c>
      <c r="J83" s="11" t="s">
        <v>1246</v>
      </c>
      <c r="K83" s="72" t="s">
        <v>9</v>
      </c>
      <c r="L83" s="11" t="s">
        <v>1178</v>
      </c>
      <c r="M83" s="11" t="s">
        <v>94</v>
      </c>
      <c r="N83" s="60" t="s">
        <v>98</v>
      </c>
      <c r="O83" s="49" t="s">
        <v>2</v>
      </c>
      <c r="P83" s="11">
        <v>4</v>
      </c>
      <c r="Q83" s="11" t="s">
        <v>1390</v>
      </c>
      <c r="R83" s="11" t="s">
        <v>1248</v>
      </c>
      <c r="S83" t="str">
        <f>IFERROR(HYPERLINK("#Main!A"&amp;MATCH(A83,Main!A:A,0),"Open"),HYPERLINK("#Main!A1","Open"))</f>
        <v>Open</v>
      </c>
      <c r="T83" t="str">
        <f>IFERROR(HYPERLINK("#Technical!A"&amp;MATCH(A83,Technical!A:A,0),"Open"),HYPERLINK("#Technical!A1","Open"))</f>
        <v>Open</v>
      </c>
    </row>
    <row r="84" spans="1:21" ht="30" customHeight="1" x14ac:dyDescent="0.25">
      <c r="A84" s="59" t="s">
        <v>712</v>
      </c>
      <c r="B84" s="8">
        <v>7781</v>
      </c>
      <c r="C84" s="43" t="s">
        <v>1391</v>
      </c>
      <c r="D84" s="8" t="s">
        <v>8</v>
      </c>
      <c r="E84" s="61" t="s">
        <v>67</v>
      </c>
      <c r="F84" s="8" t="s">
        <v>1244</v>
      </c>
      <c r="G84" s="36">
        <v>67</v>
      </c>
      <c r="H84" s="8">
        <v>0</v>
      </c>
      <c r="I84" s="8" t="s">
        <v>1245</v>
      </c>
      <c r="J84" s="8" t="s">
        <v>1246</v>
      </c>
      <c r="K84" s="71" t="s">
        <v>9</v>
      </c>
      <c r="L84" s="8" t="s">
        <v>1178</v>
      </c>
      <c r="M84" s="8" t="s">
        <v>94</v>
      </c>
      <c r="N84" s="60" t="s">
        <v>98</v>
      </c>
      <c r="O84" s="49" t="s">
        <v>2</v>
      </c>
      <c r="P84" s="8">
        <v>4</v>
      </c>
      <c r="Q84" s="8" t="s">
        <v>1392</v>
      </c>
      <c r="R84" s="8" t="s">
        <v>1248</v>
      </c>
      <c r="S84" s="9" t="str">
        <f>IFERROR(HYPERLINK("#Main!A"&amp;MATCH(A84,Main!A:A,0),"Open"),HYPERLINK("#Main!A1","Open"))</f>
        <v>Open</v>
      </c>
      <c r="T84" s="9" t="str">
        <f>IFERROR(HYPERLINK("#Technical!A"&amp;MATCH(A84,Technical!A:A,0),"Open"),HYPERLINK("#Technical!A1","Open"))</f>
        <v>Open</v>
      </c>
      <c r="U84" s="9"/>
    </row>
    <row r="85" spans="1:21" ht="30" customHeight="1" x14ac:dyDescent="0.25">
      <c r="A85" s="58" t="s">
        <v>720</v>
      </c>
      <c r="B85" s="11">
        <v>5490</v>
      </c>
      <c r="C85" s="43" t="s">
        <v>1393</v>
      </c>
      <c r="D85" s="11" t="s">
        <v>8</v>
      </c>
      <c r="E85" s="61" t="s">
        <v>67</v>
      </c>
      <c r="F85" s="11" t="s">
        <v>1244</v>
      </c>
      <c r="G85" s="10">
        <v>67</v>
      </c>
      <c r="H85" s="11">
        <v>0</v>
      </c>
      <c r="I85" s="11" t="s">
        <v>1245</v>
      </c>
      <c r="J85" s="11" t="s">
        <v>1246</v>
      </c>
      <c r="K85" s="72" t="s">
        <v>9</v>
      </c>
      <c r="L85" s="11" t="s">
        <v>1178</v>
      </c>
      <c r="M85" s="11" t="s">
        <v>94</v>
      </c>
      <c r="N85" s="60" t="s">
        <v>98</v>
      </c>
      <c r="O85" s="49" t="s">
        <v>2</v>
      </c>
      <c r="P85" s="11">
        <v>4</v>
      </c>
      <c r="Q85" s="11" t="s">
        <v>1394</v>
      </c>
      <c r="R85" s="11" t="s">
        <v>1248</v>
      </c>
      <c r="S85" t="str">
        <f>IFERROR(HYPERLINK("#Main!A"&amp;MATCH(A85,Main!A:A,0),"Open"),HYPERLINK("#Main!A1","Open"))</f>
        <v>Open</v>
      </c>
      <c r="T85" t="str">
        <f>IFERROR(HYPERLINK("#Technical!A"&amp;MATCH(A85,Technical!A:A,0),"Open"),HYPERLINK("#Technical!A1","Open"))</f>
        <v>Open</v>
      </c>
    </row>
    <row r="86" spans="1:21" ht="30" customHeight="1" x14ac:dyDescent="0.25">
      <c r="A86" s="59" t="s">
        <v>727</v>
      </c>
      <c r="B86" s="8">
        <v>27352</v>
      </c>
      <c r="C86" s="43" t="s">
        <v>1395</v>
      </c>
      <c r="D86" s="8" t="s">
        <v>8</v>
      </c>
      <c r="E86" s="61" t="s">
        <v>67</v>
      </c>
      <c r="F86" s="8" t="s">
        <v>1244</v>
      </c>
      <c r="G86" s="36">
        <v>67</v>
      </c>
      <c r="H86" s="8">
        <v>0</v>
      </c>
      <c r="I86" s="8" t="s">
        <v>1245</v>
      </c>
      <c r="J86" s="8" t="s">
        <v>1246</v>
      </c>
      <c r="K86" s="71" t="s">
        <v>9</v>
      </c>
      <c r="L86" s="8" t="s">
        <v>1178</v>
      </c>
      <c r="M86" s="8" t="s">
        <v>94</v>
      </c>
      <c r="N86" s="60" t="s">
        <v>98</v>
      </c>
      <c r="O86" s="49" t="s">
        <v>2</v>
      </c>
      <c r="P86" s="8">
        <v>4</v>
      </c>
      <c r="Q86" s="8" t="s">
        <v>1396</v>
      </c>
      <c r="R86" s="8" t="s">
        <v>1248</v>
      </c>
      <c r="S86" s="9" t="str">
        <f>IFERROR(HYPERLINK("#Main!A"&amp;MATCH(A86,Main!A:A,0),"Open"),HYPERLINK("#Main!A1","Open"))</f>
        <v>Open</v>
      </c>
      <c r="T86" s="9" t="str">
        <f>IFERROR(HYPERLINK("#Technical!A"&amp;MATCH(A86,Technical!A:A,0),"Open"),HYPERLINK("#Technical!A1","Open"))</f>
        <v>Open</v>
      </c>
      <c r="U86" s="9"/>
    </row>
    <row r="87" spans="1:21" ht="30" customHeight="1" x14ac:dyDescent="0.25">
      <c r="A87" s="58" t="s">
        <v>735</v>
      </c>
      <c r="B87" s="11">
        <v>21591</v>
      </c>
      <c r="C87" s="43" t="s">
        <v>1397</v>
      </c>
      <c r="D87" s="11" t="s">
        <v>8</v>
      </c>
      <c r="E87" s="61" t="s">
        <v>67</v>
      </c>
      <c r="F87" s="11" t="s">
        <v>1244</v>
      </c>
      <c r="G87" s="10">
        <v>67</v>
      </c>
      <c r="H87" s="11">
        <v>0</v>
      </c>
      <c r="I87" s="11" t="s">
        <v>1245</v>
      </c>
      <c r="J87" s="11" t="s">
        <v>1246</v>
      </c>
      <c r="K87" s="72" t="s">
        <v>9</v>
      </c>
      <c r="L87" s="11" t="s">
        <v>1178</v>
      </c>
      <c r="M87" s="11" t="s">
        <v>94</v>
      </c>
      <c r="N87" s="60" t="s">
        <v>98</v>
      </c>
      <c r="O87" s="49" t="s">
        <v>2</v>
      </c>
      <c r="P87" s="11">
        <v>4</v>
      </c>
      <c r="Q87" s="11" t="s">
        <v>1398</v>
      </c>
      <c r="R87" s="11" t="s">
        <v>1248</v>
      </c>
      <c r="S87" t="str">
        <f>IFERROR(HYPERLINK("#Main!A"&amp;MATCH(A87,Main!A:A,0),"Open"),HYPERLINK("#Main!A1","Open"))</f>
        <v>Open</v>
      </c>
      <c r="T87" t="str">
        <f>IFERROR(HYPERLINK("#Technical!A"&amp;MATCH(A87,Technical!A:A,0),"Open"),HYPERLINK("#Technical!A1","Open"))</f>
        <v>Open</v>
      </c>
    </row>
    <row r="88" spans="1:21" ht="30" customHeight="1" x14ac:dyDescent="0.25">
      <c r="A88" s="59" t="s">
        <v>743</v>
      </c>
      <c r="B88" s="8">
        <v>17195</v>
      </c>
      <c r="C88" s="43" t="s">
        <v>1399</v>
      </c>
      <c r="D88" s="8" t="s">
        <v>8</v>
      </c>
      <c r="E88" s="61" t="s">
        <v>67</v>
      </c>
      <c r="F88" s="8" t="s">
        <v>1244</v>
      </c>
      <c r="G88" s="36">
        <v>67</v>
      </c>
      <c r="H88" s="8">
        <v>0</v>
      </c>
      <c r="I88" s="8" t="s">
        <v>1245</v>
      </c>
      <c r="J88" s="8" t="s">
        <v>1246</v>
      </c>
      <c r="K88" s="71" t="s">
        <v>9</v>
      </c>
      <c r="L88" s="8" t="s">
        <v>1178</v>
      </c>
      <c r="M88" s="8" t="s">
        <v>94</v>
      </c>
      <c r="N88" s="60" t="s">
        <v>98</v>
      </c>
      <c r="O88" s="49" t="s">
        <v>2</v>
      </c>
      <c r="P88" s="8">
        <v>4</v>
      </c>
      <c r="Q88" s="8" t="s">
        <v>1400</v>
      </c>
      <c r="R88" s="8" t="s">
        <v>1248</v>
      </c>
      <c r="S88" s="9" t="str">
        <f>IFERROR(HYPERLINK("#Main!A"&amp;MATCH(A88,Main!A:A,0),"Open"),HYPERLINK("#Main!A1","Open"))</f>
        <v>Open</v>
      </c>
      <c r="T88" s="9" t="str">
        <f>IFERROR(HYPERLINK("#Technical!A"&amp;MATCH(A88,Technical!A:A,0),"Open"),HYPERLINK("#Technical!A1","Open"))</f>
        <v>Open</v>
      </c>
      <c r="U88" s="9"/>
    </row>
    <row r="89" spans="1:21" ht="30" customHeight="1" x14ac:dyDescent="0.25">
      <c r="A89" s="58" t="s">
        <v>750</v>
      </c>
      <c r="B89" s="11">
        <v>7916</v>
      </c>
      <c r="C89" s="43" t="s">
        <v>1401</v>
      </c>
      <c r="D89" s="11" t="s">
        <v>8</v>
      </c>
      <c r="E89" s="61" t="s">
        <v>67</v>
      </c>
      <c r="F89" s="11" t="s">
        <v>1244</v>
      </c>
      <c r="G89" s="10">
        <v>67</v>
      </c>
      <c r="H89" s="11">
        <v>0</v>
      </c>
      <c r="I89" s="11" t="s">
        <v>1245</v>
      </c>
      <c r="J89" s="11" t="s">
        <v>1246</v>
      </c>
      <c r="K89" s="72" t="s">
        <v>9</v>
      </c>
      <c r="L89" s="11" t="s">
        <v>1178</v>
      </c>
      <c r="M89" s="11" t="s">
        <v>94</v>
      </c>
      <c r="N89" s="60" t="s">
        <v>98</v>
      </c>
      <c r="O89" s="49" t="s">
        <v>2</v>
      </c>
      <c r="P89" s="11">
        <v>4</v>
      </c>
      <c r="Q89" s="11" t="s">
        <v>1402</v>
      </c>
      <c r="R89" s="11" t="s">
        <v>1248</v>
      </c>
      <c r="S89" t="str">
        <f>IFERROR(HYPERLINK("#Main!A"&amp;MATCH(A89,Main!A:A,0),"Open"),HYPERLINK("#Main!A1","Open"))</f>
        <v>Open</v>
      </c>
      <c r="T89" t="str">
        <f>IFERROR(HYPERLINK("#Technical!A"&amp;MATCH(A89,Technical!A:A,0),"Open"),HYPERLINK("#Technical!A1","Open"))</f>
        <v>Open</v>
      </c>
    </row>
    <row r="90" spans="1:21" ht="30" customHeight="1" x14ac:dyDescent="0.25">
      <c r="A90" s="59" t="s">
        <v>758</v>
      </c>
      <c r="B90" s="8">
        <v>17000</v>
      </c>
      <c r="C90" s="43" t="s">
        <v>1403</v>
      </c>
      <c r="D90" s="8" t="s">
        <v>8</v>
      </c>
      <c r="E90" s="61" t="s">
        <v>67</v>
      </c>
      <c r="F90" s="8" t="s">
        <v>1244</v>
      </c>
      <c r="G90" s="36">
        <v>67</v>
      </c>
      <c r="H90" s="8">
        <v>0</v>
      </c>
      <c r="I90" s="8" t="s">
        <v>1245</v>
      </c>
      <c r="J90" s="8" t="s">
        <v>1246</v>
      </c>
      <c r="K90" s="71" t="s">
        <v>9</v>
      </c>
      <c r="L90" s="8" t="s">
        <v>1178</v>
      </c>
      <c r="M90" s="8" t="s">
        <v>94</v>
      </c>
      <c r="N90" s="60" t="s">
        <v>98</v>
      </c>
      <c r="O90" s="49" t="s">
        <v>2</v>
      </c>
      <c r="P90" s="8">
        <v>4</v>
      </c>
      <c r="Q90" s="8" t="s">
        <v>1404</v>
      </c>
      <c r="R90" s="8" t="s">
        <v>1248</v>
      </c>
      <c r="S90" s="9" t="str">
        <f>IFERROR(HYPERLINK("#Main!A"&amp;MATCH(A90,Main!A:A,0),"Open"),HYPERLINK("#Main!A1","Open"))</f>
        <v>Open</v>
      </c>
      <c r="T90" s="9" t="str">
        <f>IFERROR(HYPERLINK("#Technical!A"&amp;MATCH(A90,Technical!A:A,0),"Open"),HYPERLINK("#Technical!A1","Open"))</f>
        <v>Open</v>
      </c>
      <c r="U90" s="9"/>
    </row>
    <row r="91" spans="1:21" ht="30" customHeight="1" x14ac:dyDescent="0.25">
      <c r="A91" s="58" t="s">
        <v>766</v>
      </c>
      <c r="B91" s="11">
        <v>17196</v>
      </c>
      <c r="C91" s="43" t="s">
        <v>1405</v>
      </c>
      <c r="D91" s="11" t="s">
        <v>8</v>
      </c>
      <c r="E91" s="61" t="s">
        <v>67</v>
      </c>
      <c r="F91" s="11" t="s">
        <v>1244</v>
      </c>
      <c r="G91" s="10">
        <v>67</v>
      </c>
      <c r="H91" s="11">
        <v>0</v>
      </c>
      <c r="I91" s="11" t="s">
        <v>1245</v>
      </c>
      <c r="J91" s="11" t="s">
        <v>1246</v>
      </c>
      <c r="K91" s="72" t="s">
        <v>9</v>
      </c>
      <c r="L91" s="11" t="s">
        <v>1178</v>
      </c>
      <c r="M91" s="11" t="s">
        <v>94</v>
      </c>
      <c r="N91" s="60" t="s">
        <v>98</v>
      </c>
      <c r="O91" s="49" t="s">
        <v>2</v>
      </c>
      <c r="P91" s="11">
        <v>4</v>
      </c>
      <c r="Q91" s="11" t="s">
        <v>1406</v>
      </c>
      <c r="R91" s="11" t="s">
        <v>1248</v>
      </c>
      <c r="S91" t="str">
        <f>IFERROR(HYPERLINK("#Main!A"&amp;MATCH(A91,Main!A:A,0),"Open"),HYPERLINK("#Main!A1","Open"))</f>
        <v>Open</v>
      </c>
      <c r="T91" t="str">
        <f>IFERROR(HYPERLINK("#Technical!A"&amp;MATCH(A91,Technical!A:A,0),"Open"),HYPERLINK("#Technical!A1","Open"))</f>
        <v>Open</v>
      </c>
    </row>
    <row r="92" spans="1:21" ht="30" customHeight="1" x14ac:dyDescent="0.25">
      <c r="A92" s="59" t="s">
        <v>774</v>
      </c>
      <c r="B92" s="8">
        <v>4909</v>
      </c>
      <c r="C92" s="43" t="s">
        <v>1407</v>
      </c>
      <c r="D92" s="8" t="s">
        <v>8</v>
      </c>
      <c r="E92" s="61" t="s">
        <v>67</v>
      </c>
      <c r="F92" s="8" t="s">
        <v>1244</v>
      </c>
      <c r="G92" s="36">
        <v>67</v>
      </c>
      <c r="H92" s="8">
        <v>0</v>
      </c>
      <c r="I92" s="8" t="s">
        <v>1245</v>
      </c>
      <c r="J92" s="8" t="s">
        <v>1246</v>
      </c>
      <c r="K92" s="71" t="s">
        <v>9</v>
      </c>
      <c r="L92" s="8" t="s">
        <v>1178</v>
      </c>
      <c r="M92" s="8" t="s">
        <v>94</v>
      </c>
      <c r="N92" s="60" t="s">
        <v>98</v>
      </c>
      <c r="O92" s="49" t="s">
        <v>2</v>
      </c>
      <c r="P92" s="8">
        <v>4</v>
      </c>
      <c r="Q92" s="8" t="s">
        <v>1408</v>
      </c>
      <c r="R92" s="8" t="s">
        <v>1248</v>
      </c>
      <c r="S92" s="9" t="str">
        <f>IFERROR(HYPERLINK("#Main!A"&amp;MATCH(A92,Main!A:A,0),"Open"),HYPERLINK("#Main!A1","Open"))</f>
        <v>Open</v>
      </c>
      <c r="T92" s="9" t="str">
        <f>IFERROR(HYPERLINK("#Technical!A"&amp;MATCH(A92,Technical!A:A,0),"Open"),HYPERLINK("#Technical!A1","Open"))</f>
        <v>Open</v>
      </c>
      <c r="U92" s="9"/>
    </row>
    <row r="93" spans="1:21" ht="30" customHeight="1" x14ac:dyDescent="0.25">
      <c r="A93" s="58" t="s">
        <v>782</v>
      </c>
      <c r="B93" s="11">
        <v>5290</v>
      </c>
      <c r="C93" s="43" t="s">
        <v>1409</v>
      </c>
      <c r="D93" s="11" t="s">
        <v>8</v>
      </c>
      <c r="E93" s="61" t="s">
        <v>67</v>
      </c>
      <c r="F93" s="11" t="s">
        <v>1244</v>
      </c>
      <c r="G93" s="10">
        <v>67</v>
      </c>
      <c r="H93" s="11">
        <v>0</v>
      </c>
      <c r="I93" s="11" t="s">
        <v>1245</v>
      </c>
      <c r="J93" s="11" t="s">
        <v>1246</v>
      </c>
      <c r="K93" s="72" t="s">
        <v>9</v>
      </c>
      <c r="L93" s="11" t="s">
        <v>1178</v>
      </c>
      <c r="M93" s="11" t="s">
        <v>94</v>
      </c>
      <c r="N93" s="60" t="s">
        <v>98</v>
      </c>
      <c r="O93" s="49" t="s">
        <v>2</v>
      </c>
      <c r="P93" s="11">
        <v>4</v>
      </c>
      <c r="Q93" s="11" t="s">
        <v>1410</v>
      </c>
      <c r="R93" s="11" t="s">
        <v>1248</v>
      </c>
      <c r="S93" t="str">
        <f>IFERROR(HYPERLINK("#Main!A"&amp;MATCH(A93,Main!A:A,0),"Open"),HYPERLINK("#Main!A1","Open"))</f>
        <v>Open</v>
      </c>
      <c r="T93" t="str">
        <f>IFERROR(HYPERLINK("#Technical!A"&amp;MATCH(A93,Technical!A:A,0),"Open"),HYPERLINK("#Technical!A1","Open"))</f>
        <v>Open</v>
      </c>
    </row>
    <row r="94" spans="1:21" ht="30" customHeight="1" x14ac:dyDescent="0.25">
      <c r="A94" s="59" t="s">
        <v>140</v>
      </c>
      <c r="B94" s="8">
        <v>8</v>
      </c>
      <c r="C94" s="43" t="s">
        <v>1243</v>
      </c>
      <c r="D94" s="8" t="s">
        <v>1411</v>
      </c>
      <c r="E94" s="61" t="s">
        <v>67</v>
      </c>
      <c r="F94" s="8" t="s">
        <v>1412</v>
      </c>
      <c r="G94" s="36">
        <v>67</v>
      </c>
      <c r="H94" s="8">
        <v>35</v>
      </c>
      <c r="I94" s="8" t="s">
        <v>1413</v>
      </c>
      <c r="J94" s="8" t="s">
        <v>1414</v>
      </c>
      <c r="K94" s="71" t="s">
        <v>8</v>
      </c>
      <c r="L94" s="8" t="s">
        <v>1164</v>
      </c>
      <c r="M94" s="8" t="s">
        <v>94</v>
      </c>
      <c r="N94" s="60" t="s">
        <v>98</v>
      </c>
      <c r="O94" s="49" t="s">
        <v>2</v>
      </c>
      <c r="P94" s="8">
        <v>4</v>
      </c>
      <c r="Q94" s="8" t="s">
        <v>1415</v>
      </c>
      <c r="R94" s="8" t="s">
        <v>1416</v>
      </c>
      <c r="S94" s="9" t="str">
        <f>IFERROR(HYPERLINK("#Main!A"&amp;MATCH(A94,Main!A:A,0),"Open"),HYPERLINK("#Main!A1","Open"))</f>
        <v>Open</v>
      </c>
      <c r="T94" s="9" t="str">
        <f>IFERROR(HYPERLINK("#Technical!A"&amp;MATCH(A94,Technical!A:A,0),"Open"),HYPERLINK("#Technical!A1","Open"))</f>
        <v>Open</v>
      </c>
      <c r="U94" s="9"/>
    </row>
    <row r="95" spans="1:21" ht="30" customHeight="1" x14ac:dyDescent="0.25">
      <c r="A95" s="58" t="s">
        <v>148</v>
      </c>
      <c r="B95" s="11">
        <v>84</v>
      </c>
      <c r="C95" s="43" t="s">
        <v>1249</v>
      </c>
      <c r="D95" s="11" t="s">
        <v>1411</v>
      </c>
      <c r="E95" s="61" t="s">
        <v>67</v>
      </c>
      <c r="F95" s="11" t="s">
        <v>1412</v>
      </c>
      <c r="G95" s="10">
        <v>67</v>
      </c>
      <c r="H95" s="11">
        <v>219</v>
      </c>
      <c r="I95" s="11" t="s">
        <v>1413</v>
      </c>
      <c r="J95" s="11" t="s">
        <v>1414</v>
      </c>
      <c r="K95" s="72" t="s">
        <v>8</v>
      </c>
      <c r="L95" s="11" t="s">
        <v>1164</v>
      </c>
      <c r="M95" s="11" t="s">
        <v>94</v>
      </c>
      <c r="N95" s="60" t="s">
        <v>98</v>
      </c>
      <c r="O95" s="49" t="s">
        <v>2</v>
      </c>
      <c r="P95" s="11">
        <v>4</v>
      </c>
      <c r="Q95" s="11" t="s">
        <v>1417</v>
      </c>
      <c r="R95" s="11" t="s">
        <v>1416</v>
      </c>
      <c r="S95" t="str">
        <f>IFERROR(HYPERLINK("#Main!A"&amp;MATCH(A95,Main!A:A,0),"Open"),HYPERLINK("#Main!A1","Open"))</f>
        <v>Open</v>
      </c>
      <c r="T95" t="str">
        <f>IFERROR(HYPERLINK("#Technical!A"&amp;MATCH(A95,Technical!A:A,0),"Open"),HYPERLINK("#Technical!A1","Open"))</f>
        <v>Open</v>
      </c>
    </row>
    <row r="96" spans="1:21" ht="30" customHeight="1" x14ac:dyDescent="0.25">
      <c r="A96" s="59" t="s">
        <v>172</v>
      </c>
      <c r="B96" s="8">
        <v>5619</v>
      </c>
      <c r="C96" s="43" t="s">
        <v>1255</v>
      </c>
      <c r="D96" s="8" t="s">
        <v>1411</v>
      </c>
      <c r="E96" s="61" t="s">
        <v>67</v>
      </c>
      <c r="F96" s="8" t="s">
        <v>1418</v>
      </c>
      <c r="G96" s="36">
        <v>67</v>
      </c>
      <c r="H96" s="8">
        <v>0</v>
      </c>
      <c r="I96" s="8" t="s">
        <v>1419</v>
      </c>
      <c r="J96" s="8" t="s">
        <v>1420</v>
      </c>
      <c r="K96" s="71" t="s">
        <v>8</v>
      </c>
      <c r="L96" s="8" t="s">
        <v>1168</v>
      </c>
      <c r="M96" s="8" t="s">
        <v>94</v>
      </c>
      <c r="N96" s="60" t="s">
        <v>98</v>
      </c>
      <c r="O96" s="49" t="s">
        <v>2</v>
      </c>
      <c r="P96" s="8">
        <v>4</v>
      </c>
      <c r="Q96" s="8" t="s">
        <v>1421</v>
      </c>
      <c r="R96" s="8" t="s">
        <v>1422</v>
      </c>
      <c r="S96" s="9" t="str">
        <f>IFERROR(HYPERLINK("#Main!A"&amp;MATCH(A96,Main!A:A,0),"Open"),HYPERLINK("#Main!A1","Open"))</f>
        <v>Open</v>
      </c>
      <c r="T96" s="9" t="str">
        <f>IFERROR(HYPERLINK("#Technical!A"&amp;MATCH(A96,Technical!A:A,0),"Open"),HYPERLINK("#Technical!A1","Open"))</f>
        <v>Open</v>
      </c>
      <c r="U96" s="9"/>
    </row>
    <row r="97" spans="1:21" ht="30" customHeight="1" x14ac:dyDescent="0.25">
      <c r="A97" s="58" t="s">
        <v>172</v>
      </c>
      <c r="B97" s="11">
        <v>5619</v>
      </c>
      <c r="C97" s="43" t="s">
        <v>1255</v>
      </c>
      <c r="D97" s="11" t="s">
        <v>1411</v>
      </c>
      <c r="E97" s="61" t="s">
        <v>67</v>
      </c>
      <c r="F97" s="11" t="s">
        <v>1412</v>
      </c>
      <c r="G97" s="10">
        <v>67</v>
      </c>
      <c r="H97" s="11">
        <v>100</v>
      </c>
      <c r="I97" s="11" t="s">
        <v>1413</v>
      </c>
      <c r="J97" s="11" t="s">
        <v>1414</v>
      </c>
      <c r="K97" s="72" t="s">
        <v>8</v>
      </c>
      <c r="L97" s="11" t="s">
        <v>1164</v>
      </c>
      <c r="M97" s="11" t="s">
        <v>94</v>
      </c>
      <c r="N97" s="60" t="s">
        <v>98</v>
      </c>
      <c r="O97" s="49" t="s">
        <v>2</v>
      </c>
      <c r="P97" s="11">
        <v>4</v>
      </c>
      <c r="Q97" s="11" t="s">
        <v>1423</v>
      </c>
      <c r="R97" s="11" t="s">
        <v>1416</v>
      </c>
      <c r="S97" t="str">
        <f>IFERROR(HYPERLINK("#Main!A"&amp;MATCH(A97,Main!A:A,0),"Open"),HYPERLINK("#Main!A1","Open"))</f>
        <v>Open</v>
      </c>
      <c r="T97" t="str">
        <f>IFERROR(HYPERLINK("#Technical!A"&amp;MATCH(A97,Technical!A:A,0),"Open"),HYPERLINK("#Technical!A1","Open"))</f>
        <v>Open</v>
      </c>
    </row>
    <row r="98" spans="1:21" ht="30" customHeight="1" x14ac:dyDescent="0.25">
      <c r="A98" s="59" t="s">
        <v>180</v>
      </c>
      <c r="B98" s="8">
        <v>4941</v>
      </c>
      <c r="C98" s="43" t="s">
        <v>1257</v>
      </c>
      <c r="D98" s="8" t="s">
        <v>1411</v>
      </c>
      <c r="E98" s="61" t="s">
        <v>67</v>
      </c>
      <c r="F98" s="8" t="s">
        <v>1418</v>
      </c>
      <c r="G98" s="36">
        <v>67</v>
      </c>
      <c r="H98" s="8">
        <v>0</v>
      </c>
      <c r="I98" s="8" t="s">
        <v>1419</v>
      </c>
      <c r="J98" s="8" t="s">
        <v>1420</v>
      </c>
      <c r="K98" s="71" t="s">
        <v>8</v>
      </c>
      <c r="L98" s="8" t="s">
        <v>1168</v>
      </c>
      <c r="M98" s="8" t="s">
        <v>94</v>
      </c>
      <c r="N98" s="60" t="s">
        <v>98</v>
      </c>
      <c r="O98" s="49" t="s">
        <v>2</v>
      </c>
      <c r="P98" s="8">
        <v>4</v>
      </c>
      <c r="Q98" s="8" t="s">
        <v>1424</v>
      </c>
      <c r="R98" s="8" t="s">
        <v>1422</v>
      </c>
      <c r="S98" s="9" t="str">
        <f>IFERROR(HYPERLINK("#Main!A"&amp;MATCH(A98,Main!A:A,0),"Open"),HYPERLINK("#Main!A1","Open"))</f>
        <v>Open</v>
      </c>
      <c r="T98" s="9" t="str">
        <f>IFERROR(HYPERLINK("#Technical!A"&amp;MATCH(A98,Technical!A:A,0),"Open"),HYPERLINK("#Technical!A1","Open"))</f>
        <v>Open</v>
      </c>
      <c r="U98" s="9"/>
    </row>
    <row r="99" spans="1:21" ht="30" customHeight="1" x14ac:dyDescent="0.25">
      <c r="A99" s="58" t="s">
        <v>188</v>
      </c>
      <c r="B99" s="11">
        <v>4494</v>
      </c>
      <c r="C99" s="43" t="s">
        <v>1259</v>
      </c>
      <c r="D99" s="11" t="s">
        <v>1411</v>
      </c>
      <c r="E99" s="61" t="s">
        <v>67</v>
      </c>
      <c r="F99" s="11" t="s">
        <v>1418</v>
      </c>
      <c r="G99" s="10">
        <v>67</v>
      </c>
      <c r="H99" s="11">
        <v>0</v>
      </c>
      <c r="I99" s="11" t="s">
        <v>1419</v>
      </c>
      <c r="J99" s="11" t="s">
        <v>1420</v>
      </c>
      <c r="K99" s="72" t="s">
        <v>8</v>
      </c>
      <c r="L99" s="11" t="s">
        <v>1168</v>
      </c>
      <c r="M99" s="11" t="s">
        <v>94</v>
      </c>
      <c r="N99" s="60" t="s">
        <v>98</v>
      </c>
      <c r="O99" s="49" t="s">
        <v>2</v>
      </c>
      <c r="P99" s="11">
        <v>4</v>
      </c>
      <c r="Q99" s="11" t="s">
        <v>1425</v>
      </c>
      <c r="R99" s="11" t="s">
        <v>1422</v>
      </c>
      <c r="S99" t="str">
        <f>IFERROR(HYPERLINK("#Main!A"&amp;MATCH(A99,Main!A:A,0),"Open"),HYPERLINK("#Main!A1","Open"))</f>
        <v>Open</v>
      </c>
      <c r="T99" t="str">
        <f>IFERROR(HYPERLINK("#Technical!A"&amp;MATCH(A99,Technical!A:A,0),"Open"),HYPERLINK("#Technical!A1","Open"))</f>
        <v>Open</v>
      </c>
    </row>
    <row r="100" spans="1:21" ht="30" customHeight="1" x14ac:dyDescent="0.25">
      <c r="A100" s="59" t="s">
        <v>188</v>
      </c>
      <c r="B100" s="8">
        <v>4494</v>
      </c>
      <c r="C100" s="43" t="s">
        <v>1259</v>
      </c>
      <c r="D100" s="8" t="s">
        <v>1411</v>
      </c>
      <c r="E100" s="61" t="s">
        <v>67</v>
      </c>
      <c r="F100" s="8" t="s">
        <v>1412</v>
      </c>
      <c r="G100" s="36">
        <v>67</v>
      </c>
      <c r="H100" s="8">
        <v>32</v>
      </c>
      <c r="I100" s="8" t="s">
        <v>1413</v>
      </c>
      <c r="J100" s="8" t="s">
        <v>1414</v>
      </c>
      <c r="K100" s="71" t="s">
        <v>8</v>
      </c>
      <c r="L100" s="8" t="s">
        <v>1164</v>
      </c>
      <c r="M100" s="8" t="s">
        <v>94</v>
      </c>
      <c r="N100" s="60" t="s">
        <v>98</v>
      </c>
      <c r="O100" s="49" t="s">
        <v>2</v>
      </c>
      <c r="P100" s="8">
        <v>4</v>
      </c>
      <c r="Q100" s="8" t="s">
        <v>1426</v>
      </c>
      <c r="R100" s="8" t="s">
        <v>1416</v>
      </c>
      <c r="S100" s="9" t="str">
        <f>IFERROR(HYPERLINK("#Main!A"&amp;MATCH(A100,Main!A:A,0),"Open"),HYPERLINK("#Main!A1","Open"))</f>
        <v>Open</v>
      </c>
      <c r="T100" s="9" t="str">
        <f>IFERROR(HYPERLINK("#Technical!A"&amp;MATCH(A100,Technical!A:A,0),"Open"),HYPERLINK("#Technical!A1","Open"))</f>
        <v>Open</v>
      </c>
      <c r="U100" s="9"/>
    </row>
    <row r="101" spans="1:21" ht="30" customHeight="1" x14ac:dyDescent="0.25">
      <c r="A101" s="58" t="s">
        <v>99</v>
      </c>
      <c r="B101" s="11">
        <v>13164</v>
      </c>
      <c r="C101" s="43" t="s">
        <v>1230</v>
      </c>
      <c r="D101" s="11" t="s">
        <v>1411</v>
      </c>
      <c r="E101" s="61" t="s">
        <v>67</v>
      </c>
      <c r="F101" s="11" t="s">
        <v>1418</v>
      </c>
      <c r="G101" s="10">
        <v>67</v>
      </c>
      <c r="H101" s="11">
        <v>0</v>
      </c>
      <c r="I101" s="11" t="s">
        <v>1419</v>
      </c>
      <c r="J101" s="11" t="s">
        <v>1420</v>
      </c>
      <c r="K101" s="72" t="s">
        <v>8</v>
      </c>
      <c r="L101" s="11" t="s">
        <v>1168</v>
      </c>
      <c r="M101" s="11" t="s">
        <v>94</v>
      </c>
      <c r="N101" s="60" t="s">
        <v>98</v>
      </c>
      <c r="O101" s="49" t="s">
        <v>2</v>
      </c>
      <c r="P101" s="11">
        <v>4</v>
      </c>
      <c r="Q101" s="11" t="s">
        <v>1427</v>
      </c>
      <c r="R101" s="11" t="s">
        <v>1422</v>
      </c>
      <c r="S101" t="str">
        <f>IFERROR(HYPERLINK("#Main!A"&amp;MATCH(A101,Main!A:A,0),"Open"),HYPERLINK("#Main!A1","Open"))</f>
        <v>Open</v>
      </c>
      <c r="T101" t="str">
        <f>IFERROR(HYPERLINK("#Technical!A"&amp;MATCH(A101,Technical!A:A,0),"Open"),HYPERLINK("#Technical!A1","Open"))</f>
        <v>Open</v>
      </c>
    </row>
    <row r="102" spans="1:21" ht="30" customHeight="1" x14ac:dyDescent="0.25">
      <c r="A102" s="59" t="s">
        <v>99</v>
      </c>
      <c r="B102" s="8">
        <v>13164</v>
      </c>
      <c r="C102" s="43" t="s">
        <v>1230</v>
      </c>
      <c r="D102" s="8" t="s">
        <v>1411</v>
      </c>
      <c r="E102" s="61" t="s">
        <v>67</v>
      </c>
      <c r="F102" s="8" t="s">
        <v>1412</v>
      </c>
      <c r="G102" s="36">
        <v>67</v>
      </c>
      <c r="H102" s="8">
        <v>15</v>
      </c>
      <c r="I102" s="8" t="s">
        <v>1413</v>
      </c>
      <c r="J102" s="8" t="s">
        <v>1414</v>
      </c>
      <c r="K102" s="71" t="s">
        <v>8</v>
      </c>
      <c r="L102" s="8" t="s">
        <v>1164</v>
      </c>
      <c r="M102" s="8" t="s">
        <v>94</v>
      </c>
      <c r="N102" s="60" t="s">
        <v>98</v>
      </c>
      <c r="O102" s="49" t="s">
        <v>2</v>
      </c>
      <c r="P102" s="8">
        <v>4</v>
      </c>
      <c r="Q102" s="8" t="s">
        <v>1428</v>
      </c>
      <c r="R102" s="8" t="s">
        <v>1416</v>
      </c>
      <c r="S102" s="9" t="str">
        <f>IFERROR(HYPERLINK("#Main!A"&amp;MATCH(A102,Main!A:A,0),"Open"),HYPERLINK("#Main!A1","Open"))</f>
        <v>Open</v>
      </c>
      <c r="T102" s="9" t="str">
        <f>IFERROR(HYPERLINK("#Technical!A"&amp;MATCH(A102,Technical!A:A,0),"Open"),HYPERLINK("#Technical!A1","Open"))</f>
        <v>Open</v>
      </c>
      <c r="U102" s="9"/>
    </row>
    <row r="103" spans="1:21" ht="30" customHeight="1" x14ac:dyDescent="0.25">
      <c r="A103" s="58" t="s">
        <v>218</v>
      </c>
      <c r="B103" s="11">
        <v>12497</v>
      </c>
      <c r="C103" s="43" t="s">
        <v>1266</v>
      </c>
      <c r="D103" s="11" t="s">
        <v>1411</v>
      </c>
      <c r="E103" s="61" t="s">
        <v>67</v>
      </c>
      <c r="F103" s="11" t="s">
        <v>1418</v>
      </c>
      <c r="G103" s="10">
        <v>67</v>
      </c>
      <c r="H103" s="11">
        <v>0</v>
      </c>
      <c r="I103" s="11" t="s">
        <v>1419</v>
      </c>
      <c r="J103" s="11" t="s">
        <v>1420</v>
      </c>
      <c r="K103" s="72" t="s">
        <v>8</v>
      </c>
      <c r="L103" s="11" t="s">
        <v>1168</v>
      </c>
      <c r="M103" s="11" t="s">
        <v>94</v>
      </c>
      <c r="N103" s="60" t="s">
        <v>98</v>
      </c>
      <c r="O103" s="49" t="s">
        <v>2</v>
      </c>
      <c r="P103" s="11">
        <v>4</v>
      </c>
      <c r="Q103" s="11" t="s">
        <v>1429</v>
      </c>
      <c r="R103" s="11" t="s">
        <v>1422</v>
      </c>
      <c r="S103" t="str">
        <f>IFERROR(HYPERLINK("#Main!A"&amp;MATCH(A103,Main!A:A,0),"Open"),HYPERLINK("#Main!A1","Open"))</f>
        <v>Open</v>
      </c>
      <c r="T103" t="str">
        <f>IFERROR(HYPERLINK("#Technical!A"&amp;MATCH(A103,Technical!A:A,0),"Open"),HYPERLINK("#Technical!A1","Open"))</f>
        <v>Open</v>
      </c>
    </row>
    <row r="104" spans="1:21" ht="30" customHeight="1" x14ac:dyDescent="0.25">
      <c r="A104" s="59" t="s">
        <v>218</v>
      </c>
      <c r="B104" s="8">
        <v>12497</v>
      </c>
      <c r="C104" s="43" t="s">
        <v>1266</v>
      </c>
      <c r="D104" s="8" t="s">
        <v>1411</v>
      </c>
      <c r="E104" s="61" t="s">
        <v>67</v>
      </c>
      <c r="F104" s="8" t="s">
        <v>1412</v>
      </c>
      <c r="G104" s="36">
        <v>67</v>
      </c>
      <c r="H104" s="8">
        <v>81</v>
      </c>
      <c r="I104" s="8" t="s">
        <v>1413</v>
      </c>
      <c r="J104" s="8" t="s">
        <v>1414</v>
      </c>
      <c r="K104" s="71" t="s">
        <v>8</v>
      </c>
      <c r="L104" s="8" t="s">
        <v>1164</v>
      </c>
      <c r="M104" s="8" t="s">
        <v>94</v>
      </c>
      <c r="N104" s="60" t="s">
        <v>98</v>
      </c>
      <c r="O104" s="49" t="s">
        <v>2</v>
      </c>
      <c r="P104" s="8">
        <v>4</v>
      </c>
      <c r="Q104" s="8" t="s">
        <v>1430</v>
      </c>
      <c r="R104" s="8" t="s">
        <v>1416</v>
      </c>
      <c r="S104" s="9" t="str">
        <f>IFERROR(HYPERLINK("#Main!A"&amp;MATCH(A104,Main!A:A,0),"Open"),HYPERLINK("#Main!A1","Open"))</f>
        <v>Open</v>
      </c>
      <c r="T104" s="9" t="str">
        <f>IFERROR(HYPERLINK("#Technical!A"&amp;MATCH(A104,Technical!A:A,0),"Open"),HYPERLINK("#Technical!A1","Open"))</f>
        <v>Open</v>
      </c>
      <c r="U104" s="9"/>
    </row>
    <row r="105" spans="1:21" ht="30" customHeight="1" x14ac:dyDescent="0.25">
      <c r="A105" s="58" t="s">
        <v>226</v>
      </c>
      <c r="B105" s="11">
        <v>12407</v>
      </c>
      <c r="C105" s="43" t="s">
        <v>1268</v>
      </c>
      <c r="D105" s="11" t="s">
        <v>1411</v>
      </c>
      <c r="E105" s="61" t="s">
        <v>67</v>
      </c>
      <c r="F105" s="11" t="s">
        <v>1412</v>
      </c>
      <c r="G105" s="10">
        <v>67</v>
      </c>
      <c r="H105" s="11">
        <v>179</v>
      </c>
      <c r="I105" s="11" t="s">
        <v>1413</v>
      </c>
      <c r="J105" s="11" t="s">
        <v>1414</v>
      </c>
      <c r="K105" s="72" t="s">
        <v>8</v>
      </c>
      <c r="L105" s="11" t="s">
        <v>1164</v>
      </c>
      <c r="M105" s="11" t="s">
        <v>94</v>
      </c>
      <c r="N105" s="60" t="s">
        <v>98</v>
      </c>
      <c r="O105" s="49" t="s">
        <v>2</v>
      </c>
      <c r="P105" s="11">
        <v>4</v>
      </c>
      <c r="Q105" s="11" t="s">
        <v>1431</v>
      </c>
      <c r="R105" s="11" t="s">
        <v>1416</v>
      </c>
      <c r="S105" t="str">
        <f>IFERROR(HYPERLINK("#Main!A"&amp;MATCH(A105,Main!A:A,0),"Open"),HYPERLINK("#Main!A1","Open"))</f>
        <v>Open</v>
      </c>
      <c r="T105" t="str">
        <f>IFERROR(HYPERLINK("#Technical!A"&amp;MATCH(A105,Technical!A:A,0),"Open"),HYPERLINK("#Technical!A1","Open"))</f>
        <v>Open</v>
      </c>
    </row>
    <row r="106" spans="1:21" ht="30" customHeight="1" x14ac:dyDescent="0.25">
      <c r="A106" s="59" t="s">
        <v>234</v>
      </c>
      <c r="B106" s="8">
        <v>13098</v>
      </c>
      <c r="C106" s="43" t="s">
        <v>1270</v>
      </c>
      <c r="D106" s="8" t="s">
        <v>1411</v>
      </c>
      <c r="E106" s="61" t="s">
        <v>67</v>
      </c>
      <c r="F106" s="8" t="s">
        <v>1412</v>
      </c>
      <c r="G106" s="36">
        <v>67</v>
      </c>
      <c r="H106" s="8">
        <v>95</v>
      </c>
      <c r="I106" s="8" t="s">
        <v>1413</v>
      </c>
      <c r="J106" s="8" t="s">
        <v>1414</v>
      </c>
      <c r="K106" s="71" t="s">
        <v>8</v>
      </c>
      <c r="L106" s="8" t="s">
        <v>1164</v>
      </c>
      <c r="M106" s="8" t="s">
        <v>94</v>
      </c>
      <c r="N106" s="60" t="s">
        <v>98</v>
      </c>
      <c r="O106" s="49" t="s">
        <v>2</v>
      </c>
      <c r="P106" s="8">
        <v>4</v>
      </c>
      <c r="Q106" s="8" t="s">
        <v>1432</v>
      </c>
      <c r="R106" s="8" t="s">
        <v>1416</v>
      </c>
      <c r="S106" s="9" t="str">
        <f>IFERROR(HYPERLINK("#Main!A"&amp;MATCH(A106,Main!A:A,0),"Open"),HYPERLINK("#Main!A1","Open"))</f>
        <v>Open</v>
      </c>
      <c r="T106" s="9" t="str">
        <f>IFERROR(HYPERLINK("#Technical!A"&amp;MATCH(A106,Technical!A:A,0),"Open"),HYPERLINK("#Technical!A1","Open"))</f>
        <v>Open</v>
      </c>
      <c r="U106" s="9"/>
    </row>
    <row r="107" spans="1:21" ht="30" customHeight="1" x14ac:dyDescent="0.25">
      <c r="A107" s="58" t="s">
        <v>242</v>
      </c>
      <c r="B107" s="11">
        <v>13549</v>
      </c>
      <c r="C107" s="43" t="s">
        <v>1272</v>
      </c>
      <c r="D107" s="11" t="s">
        <v>1411</v>
      </c>
      <c r="E107" s="61" t="s">
        <v>67</v>
      </c>
      <c r="F107" s="11" t="s">
        <v>1412</v>
      </c>
      <c r="G107" s="10">
        <v>67</v>
      </c>
      <c r="H107" s="11">
        <v>30</v>
      </c>
      <c r="I107" s="11" t="s">
        <v>1413</v>
      </c>
      <c r="J107" s="11" t="s">
        <v>1414</v>
      </c>
      <c r="K107" s="72" t="s">
        <v>8</v>
      </c>
      <c r="L107" s="11" t="s">
        <v>1164</v>
      </c>
      <c r="M107" s="11" t="s">
        <v>94</v>
      </c>
      <c r="N107" s="60" t="s">
        <v>98</v>
      </c>
      <c r="O107" s="49" t="s">
        <v>2</v>
      </c>
      <c r="P107" s="11">
        <v>4</v>
      </c>
      <c r="Q107" s="11" t="s">
        <v>1433</v>
      </c>
      <c r="R107" s="11" t="s">
        <v>1416</v>
      </c>
      <c r="S107" t="str">
        <f>IFERROR(HYPERLINK("#Main!A"&amp;MATCH(A107,Main!A:A,0),"Open"),HYPERLINK("#Main!A1","Open"))</f>
        <v>Open</v>
      </c>
      <c r="T107" t="str">
        <f>IFERROR(HYPERLINK("#Technical!A"&amp;MATCH(A107,Technical!A:A,0),"Open"),HYPERLINK("#Technical!A1","Open"))</f>
        <v>Open</v>
      </c>
    </row>
    <row r="108" spans="1:21" ht="30" customHeight="1" x14ac:dyDescent="0.25">
      <c r="A108" s="59" t="s">
        <v>250</v>
      </c>
      <c r="B108" s="8">
        <v>13282</v>
      </c>
      <c r="C108" s="43" t="s">
        <v>1274</v>
      </c>
      <c r="D108" s="8" t="s">
        <v>1411</v>
      </c>
      <c r="E108" s="61" t="s">
        <v>67</v>
      </c>
      <c r="F108" s="8" t="s">
        <v>1412</v>
      </c>
      <c r="G108" s="36">
        <v>67</v>
      </c>
      <c r="H108" s="8">
        <v>20</v>
      </c>
      <c r="I108" s="8" t="s">
        <v>1413</v>
      </c>
      <c r="J108" s="8" t="s">
        <v>1414</v>
      </c>
      <c r="K108" s="71" t="s">
        <v>8</v>
      </c>
      <c r="L108" s="8" t="s">
        <v>1164</v>
      </c>
      <c r="M108" s="8" t="s">
        <v>94</v>
      </c>
      <c r="N108" s="60" t="s">
        <v>98</v>
      </c>
      <c r="O108" s="49" t="s">
        <v>2</v>
      </c>
      <c r="P108" s="8">
        <v>4</v>
      </c>
      <c r="Q108" s="8" t="s">
        <v>1434</v>
      </c>
      <c r="R108" s="8" t="s">
        <v>1416</v>
      </c>
      <c r="S108" s="9" t="str">
        <f>IFERROR(HYPERLINK("#Main!A"&amp;MATCH(A108,Main!A:A,0),"Open"),HYPERLINK("#Main!A1","Open"))</f>
        <v>Open</v>
      </c>
      <c r="T108" s="9" t="str">
        <f>IFERROR(HYPERLINK("#Technical!A"&amp;MATCH(A108,Technical!A:A,0),"Open"),HYPERLINK("#Technical!A1","Open"))</f>
        <v>Open</v>
      </c>
      <c r="U108" s="9"/>
    </row>
    <row r="109" spans="1:21" ht="30" customHeight="1" x14ac:dyDescent="0.25">
      <c r="A109" s="58" t="s">
        <v>282</v>
      </c>
      <c r="B109" s="11">
        <v>18318</v>
      </c>
      <c r="C109" s="43" t="s">
        <v>1282</v>
      </c>
      <c r="D109" s="11" t="s">
        <v>1411</v>
      </c>
      <c r="E109" s="61" t="s">
        <v>67</v>
      </c>
      <c r="F109" s="11" t="s">
        <v>1412</v>
      </c>
      <c r="G109" s="10">
        <v>67</v>
      </c>
      <c r="H109" s="11">
        <v>110</v>
      </c>
      <c r="I109" s="11" t="s">
        <v>1413</v>
      </c>
      <c r="J109" s="11" t="s">
        <v>1414</v>
      </c>
      <c r="K109" s="72" t="s">
        <v>8</v>
      </c>
      <c r="L109" s="11" t="s">
        <v>1164</v>
      </c>
      <c r="M109" s="11" t="s">
        <v>94</v>
      </c>
      <c r="N109" s="60" t="s">
        <v>98</v>
      </c>
      <c r="O109" s="49" t="s">
        <v>2</v>
      </c>
      <c r="P109" s="11">
        <v>4</v>
      </c>
      <c r="Q109" s="11" t="s">
        <v>1435</v>
      </c>
      <c r="R109" s="11" t="s">
        <v>1416</v>
      </c>
      <c r="S109" t="str">
        <f>IFERROR(HYPERLINK("#Main!A"&amp;MATCH(A109,Main!A:A,0),"Open"),HYPERLINK("#Main!A1","Open"))</f>
        <v>Open</v>
      </c>
      <c r="T109" t="str">
        <f>IFERROR(HYPERLINK("#Technical!A"&amp;MATCH(A109,Technical!A:A,0),"Open"),HYPERLINK("#Technical!A1","Open"))</f>
        <v>Open</v>
      </c>
    </row>
    <row r="110" spans="1:21" ht="30" customHeight="1" x14ac:dyDescent="0.25">
      <c r="A110" s="59" t="s">
        <v>306</v>
      </c>
      <c r="B110" s="8">
        <v>33280</v>
      </c>
      <c r="C110" s="43" t="s">
        <v>1288</v>
      </c>
      <c r="D110" s="8" t="s">
        <v>1411</v>
      </c>
      <c r="E110" s="61" t="s">
        <v>67</v>
      </c>
      <c r="F110" s="8" t="s">
        <v>1412</v>
      </c>
      <c r="G110" s="36">
        <v>67</v>
      </c>
      <c r="H110" s="8">
        <v>178</v>
      </c>
      <c r="I110" s="8" t="s">
        <v>1413</v>
      </c>
      <c r="J110" s="8" t="s">
        <v>1414</v>
      </c>
      <c r="K110" s="71" t="s">
        <v>8</v>
      </c>
      <c r="L110" s="8" t="s">
        <v>1164</v>
      </c>
      <c r="M110" s="8" t="s">
        <v>94</v>
      </c>
      <c r="N110" s="60" t="s">
        <v>98</v>
      </c>
      <c r="O110" s="49" t="s">
        <v>2</v>
      </c>
      <c r="P110" s="8">
        <v>4</v>
      </c>
      <c r="Q110" s="8" t="s">
        <v>1436</v>
      </c>
      <c r="R110" s="8" t="s">
        <v>1416</v>
      </c>
      <c r="S110" s="9" t="str">
        <f>IFERROR(HYPERLINK("#Main!A"&amp;MATCH(A110,Main!A:A,0),"Open"),HYPERLINK("#Main!A1","Open"))</f>
        <v>Open</v>
      </c>
      <c r="T110" s="9" t="str">
        <f>IFERROR(HYPERLINK("#Technical!A"&amp;MATCH(A110,Technical!A:A,0),"Open"),HYPERLINK("#Technical!A1","Open"))</f>
        <v>Open</v>
      </c>
      <c r="U110" s="9"/>
    </row>
    <row r="111" spans="1:21" ht="30" customHeight="1" x14ac:dyDescent="0.25">
      <c r="A111" s="58" t="s">
        <v>314</v>
      </c>
      <c r="B111" s="11">
        <v>22778</v>
      </c>
      <c r="C111" s="43" t="s">
        <v>1290</v>
      </c>
      <c r="D111" s="11" t="s">
        <v>1411</v>
      </c>
      <c r="E111" s="61" t="s">
        <v>67</v>
      </c>
      <c r="F111" s="11" t="s">
        <v>1412</v>
      </c>
      <c r="G111" s="10">
        <v>67</v>
      </c>
      <c r="H111" s="11">
        <v>161</v>
      </c>
      <c r="I111" s="11" t="s">
        <v>1413</v>
      </c>
      <c r="J111" s="11" t="s">
        <v>1414</v>
      </c>
      <c r="K111" s="72" t="s">
        <v>8</v>
      </c>
      <c r="L111" s="11" t="s">
        <v>1164</v>
      </c>
      <c r="M111" s="11" t="s">
        <v>94</v>
      </c>
      <c r="N111" s="60" t="s">
        <v>98</v>
      </c>
      <c r="O111" s="49" t="s">
        <v>2</v>
      </c>
      <c r="P111" s="11">
        <v>4</v>
      </c>
      <c r="Q111" s="11" t="s">
        <v>1437</v>
      </c>
      <c r="R111" s="11" t="s">
        <v>1416</v>
      </c>
      <c r="S111" t="str">
        <f>IFERROR(HYPERLINK("#Main!A"&amp;MATCH(A111,Main!A:A,0),"Open"),HYPERLINK("#Main!A1","Open"))</f>
        <v>Open</v>
      </c>
      <c r="T111" t="str">
        <f>IFERROR(HYPERLINK("#Technical!A"&amp;MATCH(A111,Technical!A:A,0),"Open"),HYPERLINK("#Technical!A1","Open"))</f>
        <v>Open</v>
      </c>
    </row>
    <row r="112" spans="1:21" ht="30" customHeight="1" x14ac:dyDescent="0.25">
      <c r="A112" s="59" t="s">
        <v>330</v>
      </c>
      <c r="B112" s="8">
        <v>5057</v>
      </c>
      <c r="C112" s="43" t="s">
        <v>1294</v>
      </c>
      <c r="D112" s="8" t="s">
        <v>1411</v>
      </c>
      <c r="E112" s="61" t="s">
        <v>67</v>
      </c>
      <c r="F112" s="8" t="s">
        <v>1418</v>
      </c>
      <c r="G112" s="36">
        <v>67</v>
      </c>
      <c r="H112" s="8">
        <v>0</v>
      </c>
      <c r="I112" s="8" t="s">
        <v>1419</v>
      </c>
      <c r="J112" s="8" t="s">
        <v>1420</v>
      </c>
      <c r="K112" s="71" t="s">
        <v>8</v>
      </c>
      <c r="L112" s="8" t="s">
        <v>1168</v>
      </c>
      <c r="M112" s="8" t="s">
        <v>94</v>
      </c>
      <c r="N112" s="60" t="s">
        <v>98</v>
      </c>
      <c r="O112" s="49" t="s">
        <v>2</v>
      </c>
      <c r="P112" s="8">
        <v>4</v>
      </c>
      <c r="Q112" s="8" t="s">
        <v>1438</v>
      </c>
      <c r="R112" s="8" t="s">
        <v>1422</v>
      </c>
      <c r="S112" s="9" t="str">
        <f>IFERROR(HYPERLINK("#Main!A"&amp;MATCH(A112,Main!A:A,0),"Open"),HYPERLINK("#Main!A1","Open"))</f>
        <v>Open</v>
      </c>
      <c r="T112" s="9" t="str">
        <f>IFERROR(HYPERLINK("#Technical!A"&amp;MATCH(A112,Technical!A:A,0),"Open"),HYPERLINK("#Technical!A1","Open"))</f>
        <v>Open</v>
      </c>
      <c r="U112" s="9"/>
    </row>
    <row r="113" spans="1:21" ht="30" customHeight="1" x14ac:dyDescent="0.25">
      <c r="A113" s="58" t="s">
        <v>338</v>
      </c>
      <c r="B113" s="11"/>
      <c r="C113" s="11"/>
      <c r="D113" s="11" t="s">
        <v>1411</v>
      </c>
      <c r="E113" s="61" t="s">
        <v>67</v>
      </c>
      <c r="F113" s="11" t="s">
        <v>1412</v>
      </c>
      <c r="G113" s="10">
        <v>67</v>
      </c>
      <c r="H113" s="11">
        <v>0</v>
      </c>
      <c r="I113" s="11" t="s">
        <v>1413</v>
      </c>
      <c r="J113" s="11" t="s">
        <v>1414</v>
      </c>
      <c r="K113" s="72" t="s">
        <v>8</v>
      </c>
      <c r="L113" s="11" t="s">
        <v>1164</v>
      </c>
      <c r="M113" s="11" t="s">
        <v>94</v>
      </c>
      <c r="N113" s="60" t="s">
        <v>98</v>
      </c>
      <c r="O113" s="49" t="s">
        <v>2</v>
      </c>
      <c r="P113" s="11">
        <v>4</v>
      </c>
      <c r="Q113" s="11" t="s">
        <v>1439</v>
      </c>
      <c r="R113" s="11" t="s">
        <v>1416</v>
      </c>
      <c r="S113" t="str">
        <f>IFERROR(HYPERLINK("#Main!A"&amp;MATCH(A113,Main!A:A,0),"Open"),HYPERLINK("#Main!A1","Open"))</f>
        <v>Open</v>
      </c>
      <c r="T113" t="str">
        <f>IFERROR(HYPERLINK("#Technical!A"&amp;MATCH(A113,Technical!A:A,0),"Open"),HYPERLINK("#Technical!A1","Open"))</f>
        <v>Open</v>
      </c>
    </row>
    <row r="114" spans="1:21" ht="30" customHeight="1" x14ac:dyDescent="0.25">
      <c r="A114" s="59" t="s">
        <v>358</v>
      </c>
      <c r="B114" s="8">
        <v>21984</v>
      </c>
      <c r="C114" s="43" t="s">
        <v>1301</v>
      </c>
      <c r="D114" s="8" t="s">
        <v>1411</v>
      </c>
      <c r="E114" s="61" t="s">
        <v>67</v>
      </c>
      <c r="F114" s="8" t="s">
        <v>1418</v>
      </c>
      <c r="G114" s="36">
        <v>67</v>
      </c>
      <c r="H114" s="8">
        <v>0</v>
      </c>
      <c r="I114" s="8" t="s">
        <v>1419</v>
      </c>
      <c r="J114" s="8" t="s">
        <v>1420</v>
      </c>
      <c r="K114" s="71" t="s">
        <v>8</v>
      </c>
      <c r="L114" s="8" t="s">
        <v>1168</v>
      </c>
      <c r="M114" s="8" t="s">
        <v>94</v>
      </c>
      <c r="N114" s="60" t="s">
        <v>98</v>
      </c>
      <c r="O114" s="49" t="s">
        <v>2</v>
      </c>
      <c r="P114" s="8">
        <v>4</v>
      </c>
      <c r="Q114" s="8" t="s">
        <v>1440</v>
      </c>
      <c r="R114" s="8" t="s">
        <v>1422</v>
      </c>
      <c r="S114" s="9" t="str">
        <f>IFERROR(HYPERLINK("#Main!A"&amp;MATCH(A114,Main!A:A,0),"Open"),HYPERLINK("#Main!A1","Open"))</f>
        <v>Open</v>
      </c>
      <c r="T114" s="9" t="str">
        <f>IFERROR(HYPERLINK("#Technical!A"&amp;MATCH(A114,Technical!A:A,0),"Open"),HYPERLINK("#Technical!A1","Open"))</f>
        <v>Open</v>
      </c>
      <c r="U114" s="9"/>
    </row>
    <row r="115" spans="1:21" ht="30" customHeight="1" x14ac:dyDescent="0.25">
      <c r="A115" s="58" t="s">
        <v>358</v>
      </c>
      <c r="B115" s="11">
        <v>21984</v>
      </c>
      <c r="C115" s="43" t="s">
        <v>1301</v>
      </c>
      <c r="D115" s="11" t="s">
        <v>1411</v>
      </c>
      <c r="E115" s="61" t="s">
        <v>67</v>
      </c>
      <c r="F115" s="11" t="s">
        <v>1412</v>
      </c>
      <c r="G115" s="10">
        <v>67</v>
      </c>
      <c r="H115" s="11">
        <v>36</v>
      </c>
      <c r="I115" s="11" t="s">
        <v>1413</v>
      </c>
      <c r="J115" s="11" t="s">
        <v>1414</v>
      </c>
      <c r="K115" s="72" t="s">
        <v>8</v>
      </c>
      <c r="L115" s="11" t="s">
        <v>1164</v>
      </c>
      <c r="M115" s="11" t="s">
        <v>94</v>
      </c>
      <c r="N115" s="60" t="s">
        <v>98</v>
      </c>
      <c r="O115" s="49" t="s">
        <v>2</v>
      </c>
      <c r="P115" s="11">
        <v>4</v>
      </c>
      <c r="Q115" s="11" t="s">
        <v>1441</v>
      </c>
      <c r="R115" s="11" t="s">
        <v>1416</v>
      </c>
      <c r="S115" t="str">
        <f>IFERROR(HYPERLINK("#Main!A"&amp;MATCH(A115,Main!A:A,0),"Open"),HYPERLINK("#Main!A1","Open"))</f>
        <v>Open</v>
      </c>
      <c r="T115" t="str">
        <f>IFERROR(HYPERLINK("#Technical!A"&amp;MATCH(A115,Technical!A:A,0),"Open"),HYPERLINK("#Technical!A1","Open"))</f>
        <v>Open</v>
      </c>
    </row>
    <row r="116" spans="1:21" ht="30" customHeight="1" x14ac:dyDescent="0.25">
      <c r="A116" s="59" t="s">
        <v>366</v>
      </c>
      <c r="B116" s="8">
        <v>33131</v>
      </c>
      <c r="C116" s="43" t="s">
        <v>1303</v>
      </c>
      <c r="D116" s="8" t="s">
        <v>1411</v>
      </c>
      <c r="E116" s="61" t="s">
        <v>67</v>
      </c>
      <c r="F116" s="8" t="s">
        <v>1412</v>
      </c>
      <c r="G116" s="36">
        <v>67</v>
      </c>
      <c r="H116" s="8">
        <v>174</v>
      </c>
      <c r="I116" s="8" t="s">
        <v>1413</v>
      </c>
      <c r="J116" s="8" t="s">
        <v>1414</v>
      </c>
      <c r="K116" s="71" t="s">
        <v>8</v>
      </c>
      <c r="L116" s="8" t="s">
        <v>1164</v>
      </c>
      <c r="M116" s="8" t="s">
        <v>94</v>
      </c>
      <c r="N116" s="60" t="s">
        <v>98</v>
      </c>
      <c r="O116" s="49" t="s">
        <v>2</v>
      </c>
      <c r="P116" s="8">
        <v>4</v>
      </c>
      <c r="Q116" s="8" t="s">
        <v>1442</v>
      </c>
      <c r="R116" s="8" t="s">
        <v>1416</v>
      </c>
      <c r="S116" s="9" t="str">
        <f>IFERROR(HYPERLINK("#Main!A"&amp;MATCH(A116,Main!A:A,0),"Open"),HYPERLINK("#Main!A1","Open"))</f>
        <v>Open</v>
      </c>
      <c r="T116" s="9" t="str">
        <f>IFERROR(HYPERLINK("#Technical!A"&amp;MATCH(A116,Technical!A:A,0),"Open"),HYPERLINK("#Technical!A1","Open"))</f>
        <v>Open</v>
      </c>
      <c r="U116" s="9"/>
    </row>
    <row r="117" spans="1:21" ht="45" customHeight="1" x14ac:dyDescent="0.25">
      <c r="A117" s="58" t="s">
        <v>377</v>
      </c>
      <c r="B117" s="11">
        <v>25857</v>
      </c>
      <c r="C117" s="43" t="s">
        <v>1306</v>
      </c>
      <c r="D117" s="11" t="s">
        <v>1411</v>
      </c>
      <c r="E117" s="61" t="s">
        <v>67</v>
      </c>
      <c r="F117" s="11" t="s">
        <v>1412</v>
      </c>
      <c r="G117" s="10">
        <v>67</v>
      </c>
      <c r="H117" s="11">
        <v>51</v>
      </c>
      <c r="I117" s="11" t="s">
        <v>1413</v>
      </c>
      <c r="J117" s="11" t="s">
        <v>1414</v>
      </c>
      <c r="K117" s="72" t="s">
        <v>8</v>
      </c>
      <c r="L117" s="11" t="s">
        <v>1164</v>
      </c>
      <c r="M117" s="11" t="s">
        <v>94</v>
      </c>
      <c r="N117" s="60" t="s">
        <v>98</v>
      </c>
      <c r="O117" s="49" t="s">
        <v>2</v>
      </c>
      <c r="P117" s="11">
        <v>4</v>
      </c>
      <c r="Q117" s="11" t="s">
        <v>1443</v>
      </c>
      <c r="R117" s="11" t="s">
        <v>1416</v>
      </c>
      <c r="S117" t="str">
        <f>IFERROR(HYPERLINK("#Main!A"&amp;MATCH(A117,Main!A:A,0),"Open"),HYPERLINK("#Main!A1","Open"))</f>
        <v>Open</v>
      </c>
      <c r="T117" t="str">
        <f>IFERROR(HYPERLINK("#Technical!A"&amp;MATCH(A117,Technical!A:A,0),"Open"),HYPERLINK("#Technical!A1","Open"))</f>
        <v>Open</v>
      </c>
    </row>
    <row r="118" spans="1:21" ht="30" customHeight="1" x14ac:dyDescent="0.25">
      <c r="A118" s="59" t="s">
        <v>401</v>
      </c>
      <c r="B118" s="8">
        <v>24882</v>
      </c>
      <c r="C118" s="43" t="s">
        <v>1312</v>
      </c>
      <c r="D118" s="8" t="s">
        <v>1411</v>
      </c>
      <c r="E118" s="61" t="s">
        <v>67</v>
      </c>
      <c r="F118" s="8" t="s">
        <v>1412</v>
      </c>
      <c r="G118" s="36">
        <v>67</v>
      </c>
      <c r="H118" s="8">
        <v>45</v>
      </c>
      <c r="I118" s="8" t="s">
        <v>1413</v>
      </c>
      <c r="J118" s="8" t="s">
        <v>1414</v>
      </c>
      <c r="K118" s="71" t="s">
        <v>8</v>
      </c>
      <c r="L118" s="8" t="s">
        <v>1164</v>
      </c>
      <c r="M118" s="8" t="s">
        <v>94</v>
      </c>
      <c r="N118" s="60" t="s">
        <v>98</v>
      </c>
      <c r="O118" s="49" t="s">
        <v>2</v>
      </c>
      <c r="P118" s="8">
        <v>4</v>
      </c>
      <c r="Q118" s="8" t="s">
        <v>1444</v>
      </c>
      <c r="R118" s="8" t="s">
        <v>1416</v>
      </c>
      <c r="S118" s="9" t="str">
        <f>IFERROR(HYPERLINK("#Main!A"&amp;MATCH(A118,Main!A:A,0),"Open"),HYPERLINK("#Main!A1","Open"))</f>
        <v>Open</v>
      </c>
      <c r="T118" s="9" t="str">
        <f>IFERROR(HYPERLINK("#Technical!A"&amp;MATCH(A118,Technical!A:A,0),"Open"),HYPERLINK("#Technical!A1","Open"))</f>
        <v>Open</v>
      </c>
      <c r="U118" s="9"/>
    </row>
    <row r="119" spans="1:21" ht="45" customHeight="1" x14ac:dyDescent="0.25">
      <c r="A119" s="58" t="s">
        <v>409</v>
      </c>
      <c r="B119" s="11">
        <v>22595</v>
      </c>
      <c r="C119" s="43" t="s">
        <v>1314</v>
      </c>
      <c r="D119" s="11" t="s">
        <v>1411</v>
      </c>
      <c r="E119" s="61" t="s">
        <v>67</v>
      </c>
      <c r="F119" s="11" t="s">
        <v>1412</v>
      </c>
      <c r="G119" s="10">
        <v>67</v>
      </c>
      <c r="H119" s="11">
        <v>31</v>
      </c>
      <c r="I119" s="11" t="s">
        <v>1413</v>
      </c>
      <c r="J119" s="11" t="s">
        <v>1414</v>
      </c>
      <c r="K119" s="72" t="s">
        <v>8</v>
      </c>
      <c r="L119" s="11" t="s">
        <v>1164</v>
      </c>
      <c r="M119" s="11" t="s">
        <v>94</v>
      </c>
      <c r="N119" s="60" t="s">
        <v>98</v>
      </c>
      <c r="O119" s="49" t="s">
        <v>2</v>
      </c>
      <c r="P119" s="11">
        <v>4</v>
      </c>
      <c r="Q119" s="11" t="s">
        <v>1445</v>
      </c>
      <c r="R119" s="11" t="s">
        <v>1416</v>
      </c>
      <c r="S119" t="str">
        <f>IFERROR(HYPERLINK("#Main!A"&amp;MATCH(A119,Main!A:A,0),"Open"),HYPERLINK("#Main!A1","Open"))</f>
        <v>Open</v>
      </c>
      <c r="T119" t="str">
        <f>IFERROR(HYPERLINK("#Technical!A"&amp;MATCH(A119,Technical!A:A,0),"Open"),HYPERLINK("#Technical!A1","Open"))</f>
        <v>Open</v>
      </c>
    </row>
    <row r="120" spans="1:21" ht="30" customHeight="1" x14ac:dyDescent="0.25">
      <c r="A120" s="59" t="s">
        <v>433</v>
      </c>
      <c r="B120" s="8"/>
      <c r="C120" s="8"/>
      <c r="D120" s="8" t="s">
        <v>1411</v>
      </c>
      <c r="E120" s="61" t="s">
        <v>67</v>
      </c>
      <c r="F120" s="8" t="s">
        <v>1412</v>
      </c>
      <c r="G120" s="36">
        <v>67</v>
      </c>
      <c r="H120" s="8">
        <v>0</v>
      </c>
      <c r="I120" s="8" t="s">
        <v>1413</v>
      </c>
      <c r="J120" s="8" t="s">
        <v>1414</v>
      </c>
      <c r="K120" s="71" t="s">
        <v>8</v>
      </c>
      <c r="L120" s="8" t="s">
        <v>1164</v>
      </c>
      <c r="M120" s="8" t="s">
        <v>94</v>
      </c>
      <c r="N120" s="60" t="s">
        <v>98</v>
      </c>
      <c r="O120" s="49" t="s">
        <v>2</v>
      </c>
      <c r="P120" s="8">
        <v>4</v>
      </c>
      <c r="Q120" s="8" t="s">
        <v>1446</v>
      </c>
      <c r="R120" s="8" t="s">
        <v>1416</v>
      </c>
      <c r="S120" s="9" t="str">
        <f>IFERROR(HYPERLINK("#Main!A"&amp;MATCH(A120,Main!A:A,0),"Open"),HYPERLINK("#Main!A1","Open"))</f>
        <v>Open</v>
      </c>
      <c r="T120" s="9" t="str">
        <f>IFERROR(HYPERLINK("#Technical!A"&amp;MATCH(A120,Technical!A:A,0),"Open"),HYPERLINK("#Technical!A1","Open"))</f>
        <v>Open</v>
      </c>
      <c r="U120" s="9"/>
    </row>
    <row r="121" spans="1:21" ht="30" customHeight="1" x14ac:dyDescent="0.25">
      <c r="A121" s="58" t="s">
        <v>436</v>
      </c>
      <c r="B121" s="11">
        <v>23021</v>
      </c>
      <c r="C121" s="43" t="s">
        <v>1321</v>
      </c>
      <c r="D121" s="11" t="s">
        <v>1411</v>
      </c>
      <c r="E121" s="61" t="s">
        <v>67</v>
      </c>
      <c r="F121" s="11" t="s">
        <v>1412</v>
      </c>
      <c r="G121" s="10">
        <v>67</v>
      </c>
      <c r="H121" s="11">
        <v>31</v>
      </c>
      <c r="I121" s="11" t="s">
        <v>1413</v>
      </c>
      <c r="J121" s="11" t="s">
        <v>1414</v>
      </c>
      <c r="K121" s="72" t="s">
        <v>8</v>
      </c>
      <c r="L121" s="11" t="s">
        <v>1164</v>
      </c>
      <c r="M121" s="11" t="s">
        <v>94</v>
      </c>
      <c r="N121" s="60" t="s">
        <v>98</v>
      </c>
      <c r="O121" s="49" t="s">
        <v>2</v>
      </c>
      <c r="P121" s="11">
        <v>4</v>
      </c>
      <c r="Q121" s="11" t="s">
        <v>1447</v>
      </c>
      <c r="R121" s="11" t="s">
        <v>1416</v>
      </c>
      <c r="S121" t="str">
        <f>IFERROR(HYPERLINK("#Main!A"&amp;MATCH(A121,Main!A:A,0),"Open"),HYPERLINK("#Main!A1","Open"))</f>
        <v>Open</v>
      </c>
      <c r="T121" t="str">
        <f>IFERROR(HYPERLINK("#Technical!A"&amp;MATCH(A121,Technical!A:A,0),"Open"),HYPERLINK("#Technical!A1","Open"))</f>
        <v>Open</v>
      </c>
    </row>
    <row r="122" spans="1:21" ht="30" customHeight="1" x14ac:dyDescent="0.25">
      <c r="A122" s="59" t="s">
        <v>444</v>
      </c>
      <c r="B122" s="8">
        <v>6816</v>
      </c>
      <c r="C122" s="43" t="s">
        <v>1239</v>
      </c>
      <c r="D122" s="8" t="s">
        <v>1411</v>
      </c>
      <c r="E122" s="61" t="s">
        <v>67</v>
      </c>
      <c r="F122" s="8" t="s">
        <v>1418</v>
      </c>
      <c r="G122" s="36">
        <v>67</v>
      </c>
      <c r="H122" s="8">
        <v>0</v>
      </c>
      <c r="I122" s="8" t="s">
        <v>1419</v>
      </c>
      <c r="J122" s="8" t="s">
        <v>1420</v>
      </c>
      <c r="K122" s="71" t="s">
        <v>8</v>
      </c>
      <c r="L122" s="8" t="s">
        <v>1168</v>
      </c>
      <c r="M122" s="8" t="s">
        <v>94</v>
      </c>
      <c r="N122" s="60" t="s">
        <v>98</v>
      </c>
      <c r="O122" s="49" t="s">
        <v>2</v>
      </c>
      <c r="P122" s="8">
        <v>4</v>
      </c>
      <c r="Q122" s="8" t="s">
        <v>1448</v>
      </c>
      <c r="R122" s="8" t="s">
        <v>1422</v>
      </c>
      <c r="S122" s="9" t="str">
        <f>IFERROR(HYPERLINK("#Main!A"&amp;MATCH(A122,Main!A:A,0),"Open"),HYPERLINK("#Main!A1","Open"))</f>
        <v>Open</v>
      </c>
      <c r="T122" s="9" t="str">
        <f>IFERROR(HYPERLINK("#Technical!A"&amp;MATCH(A122,Technical!A:A,0),"Open"),HYPERLINK("#Technical!A1","Open"))</f>
        <v>Open</v>
      </c>
      <c r="U122" s="9"/>
    </row>
    <row r="123" spans="1:21" ht="30" customHeight="1" x14ac:dyDescent="0.25">
      <c r="A123" s="58" t="s">
        <v>444</v>
      </c>
      <c r="B123" s="11">
        <v>6816</v>
      </c>
      <c r="C123" s="43" t="s">
        <v>1239</v>
      </c>
      <c r="D123" s="11" t="s">
        <v>1411</v>
      </c>
      <c r="E123" s="61" t="s">
        <v>67</v>
      </c>
      <c r="F123" s="11" t="s">
        <v>1412</v>
      </c>
      <c r="G123" s="10">
        <v>67</v>
      </c>
      <c r="H123" s="11">
        <v>15</v>
      </c>
      <c r="I123" s="11" t="s">
        <v>1413</v>
      </c>
      <c r="J123" s="11" t="s">
        <v>1414</v>
      </c>
      <c r="K123" s="72" t="s">
        <v>8</v>
      </c>
      <c r="L123" s="11" t="s">
        <v>1164</v>
      </c>
      <c r="M123" s="11" t="s">
        <v>94</v>
      </c>
      <c r="N123" s="60" t="s">
        <v>98</v>
      </c>
      <c r="O123" s="49" t="s">
        <v>2</v>
      </c>
      <c r="P123" s="11">
        <v>4</v>
      </c>
      <c r="Q123" s="11" t="s">
        <v>1449</v>
      </c>
      <c r="R123" s="11" t="s">
        <v>1416</v>
      </c>
      <c r="S123" t="str">
        <f>IFERROR(HYPERLINK("#Main!A"&amp;MATCH(A123,Main!A:A,0),"Open"),HYPERLINK("#Main!A1","Open"))</f>
        <v>Open</v>
      </c>
      <c r="T123" t="str">
        <f>IFERROR(HYPERLINK("#Technical!A"&amp;MATCH(A123,Technical!A:A,0),"Open"),HYPERLINK("#Technical!A1","Open"))</f>
        <v>Open</v>
      </c>
    </row>
    <row r="124" spans="1:21" ht="30" customHeight="1" x14ac:dyDescent="0.25">
      <c r="A124" s="59" t="s">
        <v>449</v>
      </c>
      <c r="B124" s="8">
        <v>6822</v>
      </c>
      <c r="C124" s="43" t="s">
        <v>1324</v>
      </c>
      <c r="D124" s="8" t="s">
        <v>1411</v>
      </c>
      <c r="E124" s="61" t="s">
        <v>67</v>
      </c>
      <c r="F124" s="8" t="s">
        <v>1418</v>
      </c>
      <c r="G124" s="36">
        <v>67</v>
      </c>
      <c r="H124" s="8">
        <v>0</v>
      </c>
      <c r="I124" s="8" t="s">
        <v>1419</v>
      </c>
      <c r="J124" s="8" t="s">
        <v>1420</v>
      </c>
      <c r="K124" s="71" t="s">
        <v>8</v>
      </c>
      <c r="L124" s="8" t="s">
        <v>1168</v>
      </c>
      <c r="M124" s="8" t="s">
        <v>94</v>
      </c>
      <c r="N124" s="60" t="s">
        <v>98</v>
      </c>
      <c r="O124" s="49" t="s">
        <v>2</v>
      </c>
      <c r="P124" s="8">
        <v>4</v>
      </c>
      <c r="Q124" s="8" t="s">
        <v>1450</v>
      </c>
      <c r="R124" s="8" t="s">
        <v>1422</v>
      </c>
      <c r="S124" s="9" t="str">
        <f>IFERROR(HYPERLINK("#Main!A"&amp;MATCH(A124,Main!A:A,0),"Open"),HYPERLINK("#Main!A1","Open"))</f>
        <v>Open</v>
      </c>
      <c r="T124" s="9" t="str">
        <f>IFERROR(HYPERLINK("#Technical!A"&amp;MATCH(A124,Technical!A:A,0),"Open"),HYPERLINK("#Technical!A1","Open"))</f>
        <v>Open</v>
      </c>
      <c r="U124" s="9"/>
    </row>
    <row r="125" spans="1:21" ht="30" customHeight="1" x14ac:dyDescent="0.25">
      <c r="A125" s="58" t="s">
        <v>449</v>
      </c>
      <c r="B125" s="11">
        <v>6822</v>
      </c>
      <c r="C125" s="43" t="s">
        <v>1324</v>
      </c>
      <c r="D125" s="11" t="s">
        <v>1411</v>
      </c>
      <c r="E125" s="61" t="s">
        <v>67</v>
      </c>
      <c r="F125" s="11" t="s">
        <v>1412</v>
      </c>
      <c r="G125" s="10">
        <v>67</v>
      </c>
      <c r="H125" s="11">
        <v>32</v>
      </c>
      <c r="I125" s="11" t="s">
        <v>1413</v>
      </c>
      <c r="J125" s="11" t="s">
        <v>1414</v>
      </c>
      <c r="K125" s="72" t="s">
        <v>8</v>
      </c>
      <c r="L125" s="11" t="s">
        <v>1164</v>
      </c>
      <c r="M125" s="11" t="s">
        <v>94</v>
      </c>
      <c r="N125" s="60" t="s">
        <v>98</v>
      </c>
      <c r="O125" s="49" t="s">
        <v>2</v>
      </c>
      <c r="P125" s="11">
        <v>4</v>
      </c>
      <c r="Q125" s="11" t="s">
        <v>1451</v>
      </c>
      <c r="R125" s="11" t="s">
        <v>1416</v>
      </c>
      <c r="S125" t="str">
        <f>IFERROR(HYPERLINK("#Main!A"&amp;MATCH(A125,Main!A:A,0),"Open"),HYPERLINK("#Main!A1","Open"))</f>
        <v>Open</v>
      </c>
      <c r="T125" t="str">
        <f>IFERROR(HYPERLINK("#Technical!A"&amp;MATCH(A125,Technical!A:A,0),"Open"),HYPERLINK("#Technical!A1","Open"))</f>
        <v>Open</v>
      </c>
    </row>
    <row r="126" spans="1:21" ht="30" customHeight="1" x14ac:dyDescent="0.25">
      <c r="A126" s="59" t="s">
        <v>457</v>
      </c>
      <c r="B126" s="8">
        <v>6553</v>
      </c>
      <c r="C126" s="43" t="s">
        <v>1326</v>
      </c>
      <c r="D126" s="8" t="s">
        <v>1411</v>
      </c>
      <c r="E126" s="61" t="s">
        <v>67</v>
      </c>
      <c r="F126" s="8" t="s">
        <v>1418</v>
      </c>
      <c r="G126" s="36">
        <v>67</v>
      </c>
      <c r="H126" s="8">
        <v>0</v>
      </c>
      <c r="I126" s="8" t="s">
        <v>1419</v>
      </c>
      <c r="J126" s="8" t="s">
        <v>1420</v>
      </c>
      <c r="K126" s="71" t="s">
        <v>8</v>
      </c>
      <c r="L126" s="8" t="s">
        <v>1168</v>
      </c>
      <c r="M126" s="8" t="s">
        <v>94</v>
      </c>
      <c r="N126" s="60" t="s">
        <v>98</v>
      </c>
      <c r="O126" s="49" t="s">
        <v>2</v>
      </c>
      <c r="P126" s="8">
        <v>4</v>
      </c>
      <c r="Q126" s="8" t="s">
        <v>1452</v>
      </c>
      <c r="R126" s="8" t="s">
        <v>1422</v>
      </c>
      <c r="S126" s="9" t="str">
        <f>IFERROR(HYPERLINK("#Main!A"&amp;MATCH(A126,Main!A:A,0),"Open"),HYPERLINK("#Main!A1","Open"))</f>
        <v>Open</v>
      </c>
      <c r="T126" s="9" t="str">
        <f>IFERROR(HYPERLINK("#Technical!A"&amp;MATCH(A126,Technical!A:A,0),"Open"),HYPERLINK("#Technical!A1","Open"))</f>
        <v>Open</v>
      </c>
      <c r="U126" s="9"/>
    </row>
    <row r="127" spans="1:21" ht="30" customHeight="1" x14ac:dyDescent="0.25">
      <c r="A127" s="58" t="s">
        <v>457</v>
      </c>
      <c r="B127" s="11">
        <v>6553</v>
      </c>
      <c r="C127" s="43" t="s">
        <v>1326</v>
      </c>
      <c r="D127" s="11" t="s">
        <v>1411</v>
      </c>
      <c r="E127" s="61" t="s">
        <v>67</v>
      </c>
      <c r="F127" s="11" t="s">
        <v>1412</v>
      </c>
      <c r="G127" s="10">
        <v>67</v>
      </c>
      <c r="H127" s="11">
        <v>214</v>
      </c>
      <c r="I127" s="11" t="s">
        <v>1413</v>
      </c>
      <c r="J127" s="11" t="s">
        <v>1414</v>
      </c>
      <c r="K127" s="72" t="s">
        <v>8</v>
      </c>
      <c r="L127" s="11" t="s">
        <v>1164</v>
      </c>
      <c r="M127" s="11" t="s">
        <v>94</v>
      </c>
      <c r="N127" s="60" t="s">
        <v>98</v>
      </c>
      <c r="O127" s="49" t="s">
        <v>2</v>
      </c>
      <c r="P127" s="11">
        <v>4</v>
      </c>
      <c r="Q127" s="11" t="s">
        <v>1453</v>
      </c>
      <c r="R127" s="11" t="s">
        <v>1416</v>
      </c>
      <c r="S127" t="str">
        <f>IFERROR(HYPERLINK("#Main!A"&amp;MATCH(A127,Main!A:A,0),"Open"),HYPERLINK("#Main!A1","Open"))</f>
        <v>Open</v>
      </c>
      <c r="T127" t="str">
        <f>IFERROR(HYPERLINK("#Technical!A"&amp;MATCH(A127,Technical!A:A,0),"Open"),HYPERLINK("#Technical!A1","Open"))</f>
        <v>Open</v>
      </c>
    </row>
    <row r="128" spans="1:21" ht="30" customHeight="1" x14ac:dyDescent="0.25">
      <c r="A128" s="59" t="s">
        <v>465</v>
      </c>
      <c r="B128" s="8">
        <v>4492</v>
      </c>
      <c r="C128" s="43" t="s">
        <v>1328</v>
      </c>
      <c r="D128" s="8" t="s">
        <v>1411</v>
      </c>
      <c r="E128" s="61" t="s">
        <v>67</v>
      </c>
      <c r="F128" s="8" t="s">
        <v>1418</v>
      </c>
      <c r="G128" s="36">
        <v>67</v>
      </c>
      <c r="H128" s="8">
        <v>0</v>
      </c>
      <c r="I128" s="8" t="s">
        <v>1419</v>
      </c>
      <c r="J128" s="8" t="s">
        <v>1420</v>
      </c>
      <c r="K128" s="71" t="s">
        <v>8</v>
      </c>
      <c r="L128" s="8" t="s">
        <v>1168</v>
      </c>
      <c r="M128" s="8" t="s">
        <v>94</v>
      </c>
      <c r="N128" s="60" t="s">
        <v>98</v>
      </c>
      <c r="O128" s="49" t="s">
        <v>2</v>
      </c>
      <c r="P128" s="8">
        <v>4</v>
      </c>
      <c r="Q128" s="8" t="s">
        <v>1454</v>
      </c>
      <c r="R128" s="8" t="s">
        <v>1422</v>
      </c>
      <c r="S128" s="9" t="str">
        <f>IFERROR(HYPERLINK("#Main!A"&amp;MATCH(A128,Main!A:A,0),"Open"),HYPERLINK("#Main!A1","Open"))</f>
        <v>Open</v>
      </c>
      <c r="T128" s="9" t="str">
        <f>IFERROR(HYPERLINK("#Technical!A"&amp;MATCH(A128,Technical!A:A,0),"Open"),HYPERLINK("#Technical!A1","Open"))</f>
        <v>Open</v>
      </c>
      <c r="U128" s="9"/>
    </row>
    <row r="129" spans="1:21" ht="30" customHeight="1" x14ac:dyDescent="0.25">
      <c r="A129" s="58" t="s">
        <v>519</v>
      </c>
      <c r="B129" s="11">
        <v>28742</v>
      </c>
      <c r="C129" s="43" t="s">
        <v>1342</v>
      </c>
      <c r="D129" s="11" t="s">
        <v>1411</v>
      </c>
      <c r="E129" s="61" t="s">
        <v>67</v>
      </c>
      <c r="F129" s="11" t="s">
        <v>1418</v>
      </c>
      <c r="G129" s="10">
        <v>67</v>
      </c>
      <c r="H129" s="11">
        <v>0</v>
      </c>
      <c r="I129" s="11" t="s">
        <v>1419</v>
      </c>
      <c r="J129" s="11" t="s">
        <v>1420</v>
      </c>
      <c r="K129" s="72" t="s">
        <v>8</v>
      </c>
      <c r="L129" s="11" t="s">
        <v>1168</v>
      </c>
      <c r="M129" s="11" t="s">
        <v>94</v>
      </c>
      <c r="N129" s="60" t="s">
        <v>98</v>
      </c>
      <c r="O129" s="49" t="s">
        <v>2</v>
      </c>
      <c r="P129" s="11">
        <v>4</v>
      </c>
      <c r="Q129" s="11" t="s">
        <v>1455</v>
      </c>
      <c r="R129" s="11" t="s">
        <v>1422</v>
      </c>
      <c r="S129" t="str">
        <f>IFERROR(HYPERLINK("#Main!A"&amp;MATCH(A129,Main!A:A,0),"Open"),HYPERLINK("#Main!A1","Open"))</f>
        <v>Open</v>
      </c>
      <c r="T129" t="str">
        <f>IFERROR(HYPERLINK("#Technical!A"&amp;MATCH(A129,Technical!A:A,0),"Open"),HYPERLINK("#Technical!A1","Open"))</f>
        <v>Open</v>
      </c>
    </row>
    <row r="130" spans="1:21" ht="30" customHeight="1" x14ac:dyDescent="0.25">
      <c r="A130" s="59" t="s">
        <v>527</v>
      </c>
      <c r="B130" s="8">
        <v>20001</v>
      </c>
      <c r="C130" s="43" t="s">
        <v>1344</v>
      </c>
      <c r="D130" s="8" t="s">
        <v>1411</v>
      </c>
      <c r="E130" s="61" t="s">
        <v>67</v>
      </c>
      <c r="F130" s="8" t="s">
        <v>1412</v>
      </c>
      <c r="G130" s="36">
        <v>67</v>
      </c>
      <c r="H130" s="8">
        <v>37</v>
      </c>
      <c r="I130" s="8" t="s">
        <v>1413</v>
      </c>
      <c r="J130" s="8" t="s">
        <v>1414</v>
      </c>
      <c r="K130" s="71" t="s">
        <v>8</v>
      </c>
      <c r="L130" s="8" t="s">
        <v>1164</v>
      </c>
      <c r="M130" s="8" t="s">
        <v>94</v>
      </c>
      <c r="N130" s="60" t="s">
        <v>98</v>
      </c>
      <c r="O130" s="49" t="s">
        <v>2</v>
      </c>
      <c r="P130" s="8">
        <v>4</v>
      </c>
      <c r="Q130" s="8" t="s">
        <v>1456</v>
      </c>
      <c r="R130" s="8" t="s">
        <v>1416</v>
      </c>
      <c r="S130" s="9" t="str">
        <f>IFERROR(HYPERLINK("#Main!A"&amp;MATCH(A130,Main!A:A,0),"Open"),HYPERLINK("#Main!A1","Open"))</f>
        <v>Open</v>
      </c>
      <c r="T130" s="9" t="str">
        <f>IFERROR(HYPERLINK("#Technical!A"&amp;MATCH(A130,Technical!A:A,0),"Open"),HYPERLINK("#Technical!A1","Open"))</f>
        <v>Open</v>
      </c>
      <c r="U130" s="9"/>
    </row>
    <row r="131" spans="1:21" ht="30" customHeight="1" x14ac:dyDescent="0.25">
      <c r="A131" s="58" t="s">
        <v>535</v>
      </c>
      <c r="B131" s="11">
        <v>19980</v>
      </c>
      <c r="C131" s="43" t="s">
        <v>1346</v>
      </c>
      <c r="D131" s="11" t="s">
        <v>1411</v>
      </c>
      <c r="E131" s="61" t="s">
        <v>67</v>
      </c>
      <c r="F131" s="11" t="s">
        <v>1412</v>
      </c>
      <c r="G131" s="10">
        <v>67</v>
      </c>
      <c r="H131" s="11">
        <v>35</v>
      </c>
      <c r="I131" s="11" t="s">
        <v>1413</v>
      </c>
      <c r="J131" s="11" t="s">
        <v>1414</v>
      </c>
      <c r="K131" s="72" t="s">
        <v>8</v>
      </c>
      <c r="L131" s="11" t="s">
        <v>1164</v>
      </c>
      <c r="M131" s="11" t="s">
        <v>94</v>
      </c>
      <c r="N131" s="60" t="s">
        <v>98</v>
      </c>
      <c r="O131" s="49" t="s">
        <v>2</v>
      </c>
      <c r="P131" s="11">
        <v>4</v>
      </c>
      <c r="Q131" s="11" t="s">
        <v>1457</v>
      </c>
      <c r="R131" s="11" t="s">
        <v>1416</v>
      </c>
      <c r="S131" t="str">
        <f>IFERROR(HYPERLINK("#Main!A"&amp;MATCH(A131,Main!A:A,0),"Open"),HYPERLINK("#Main!A1","Open"))</f>
        <v>Open</v>
      </c>
      <c r="T131" t="str">
        <f>IFERROR(HYPERLINK("#Technical!A"&amp;MATCH(A131,Technical!A:A,0),"Open"),HYPERLINK("#Technical!A1","Open"))</f>
        <v>Open</v>
      </c>
    </row>
    <row r="132" spans="1:21" ht="30" customHeight="1" x14ac:dyDescent="0.25">
      <c r="A132" s="59" t="s">
        <v>543</v>
      </c>
      <c r="B132" s="8">
        <v>10823</v>
      </c>
      <c r="C132" s="43" t="s">
        <v>1348</v>
      </c>
      <c r="D132" s="8" t="s">
        <v>1411</v>
      </c>
      <c r="E132" s="61" t="s">
        <v>67</v>
      </c>
      <c r="F132" s="8" t="s">
        <v>1418</v>
      </c>
      <c r="G132" s="36">
        <v>67</v>
      </c>
      <c r="H132" s="8">
        <v>0</v>
      </c>
      <c r="I132" s="8" t="s">
        <v>1419</v>
      </c>
      <c r="J132" s="8" t="s">
        <v>1420</v>
      </c>
      <c r="K132" s="71" t="s">
        <v>8</v>
      </c>
      <c r="L132" s="8" t="s">
        <v>1168</v>
      </c>
      <c r="M132" s="8" t="s">
        <v>94</v>
      </c>
      <c r="N132" s="60" t="s">
        <v>98</v>
      </c>
      <c r="O132" s="49" t="s">
        <v>2</v>
      </c>
      <c r="P132" s="8">
        <v>4</v>
      </c>
      <c r="Q132" s="8" t="s">
        <v>1458</v>
      </c>
      <c r="R132" s="8" t="s">
        <v>1422</v>
      </c>
      <c r="S132" s="9" t="str">
        <f>IFERROR(HYPERLINK("#Main!A"&amp;MATCH(A132,Main!A:A,0),"Open"),HYPERLINK("#Main!A1","Open"))</f>
        <v>Open</v>
      </c>
      <c r="T132" s="9" t="str">
        <f>IFERROR(HYPERLINK("#Technical!A"&amp;MATCH(A132,Technical!A:A,0),"Open"),HYPERLINK("#Technical!A1","Open"))</f>
        <v>Open</v>
      </c>
      <c r="U132" s="9"/>
    </row>
    <row r="133" spans="1:21" ht="30" customHeight="1" x14ac:dyDescent="0.25">
      <c r="A133" s="58" t="s">
        <v>543</v>
      </c>
      <c r="B133" s="11">
        <v>10823</v>
      </c>
      <c r="C133" s="43" t="s">
        <v>1348</v>
      </c>
      <c r="D133" s="11" t="s">
        <v>1411</v>
      </c>
      <c r="E133" s="61" t="s">
        <v>67</v>
      </c>
      <c r="F133" s="11" t="s">
        <v>1412</v>
      </c>
      <c r="G133" s="10">
        <v>67</v>
      </c>
      <c r="H133" s="11">
        <v>31</v>
      </c>
      <c r="I133" s="11" t="s">
        <v>1413</v>
      </c>
      <c r="J133" s="11" t="s">
        <v>1414</v>
      </c>
      <c r="K133" s="72" t="s">
        <v>8</v>
      </c>
      <c r="L133" s="11" t="s">
        <v>1164</v>
      </c>
      <c r="M133" s="11" t="s">
        <v>94</v>
      </c>
      <c r="N133" s="60" t="s">
        <v>98</v>
      </c>
      <c r="O133" s="49" t="s">
        <v>2</v>
      </c>
      <c r="P133" s="11">
        <v>4</v>
      </c>
      <c r="Q133" s="11" t="s">
        <v>1459</v>
      </c>
      <c r="R133" s="11" t="s">
        <v>1416</v>
      </c>
      <c r="S133" t="str">
        <f>IFERROR(HYPERLINK("#Main!A"&amp;MATCH(A133,Main!A:A,0),"Open"),HYPERLINK("#Main!A1","Open"))</f>
        <v>Open</v>
      </c>
      <c r="T133" t="str">
        <f>IFERROR(HYPERLINK("#Technical!A"&amp;MATCH(A133,Technical!A:A,0),"Open"),HYPERLINK("#Technical!A1","Open"))</f>
        <v>Open</v>
      </c>
    </row>
    <row r="134" spans="1:21" ht="30" customHeight="1" x14ac:dyDescent="0.25">
      <c r="A134" s="59" t="s">
        <v>559</v>
      </c>
      <c r="B134" s="8">
        <v>17908</v>
      </c>
      <c r="C134" s="43" t="s">
        <v>1352</v>
      </c>
      <c r="D134" s="8" t="s">
        <v>1411</v>
      </c>
      <c r="E134" s="61" t="s">
        <v>67</v>
      </c>
      <c r="F134" s="8" t="s">
        <v>1418</v>
      </c>
      <c r="G134" s="36">
        <v>67</v>
      </c>
      <c r="H134" s="8">
        <v>0</v>
      </c>
      <c r="I134" s="8" t="s">
        <v>1419</v>
      </c>
      <c r="J134" s="8" t="s">
        <v>1420</v>
      </c>
      <c r="K134" s="71" t="s">
        <v>8</v>
      </c>
      <c r="L134" s="8" t="s">
        <v>1168</v>
      </c>
      <c r="M134" s="8" t="s">
        <v>94</v>
      </c>
      <c r="N134" s="60" t="s">
        <v>98</v>
      </c>
      <c r="O134" s="49" t="s">
        <v>2</v>
      </c>
      <c r="P134" s="8">
        <v>4</v>
      </c>
      <c r="Q134" s="8" t="s">
        <v>1460</v>
      </c>
      <c r="R134" s="8" t="s">
        <v>1422</v>
      </c>
      <c r="S134" s="9" t="str">
        <f>IFERROR(HYPERLINK("#Main!A"&amp;MATCH(A134,Main!A:A,0),"Open"),HYPERLINK("#Main!A1","Open"))</f>
        <v>Open</v>
      </c>
      <c r="T134" s="9" t="str">
        <f>IFERROR(HYPERLINK("#Technical!A"&amp;MATCH(A134,Technical!A:A,0),"Open"),HYPERLINK("#Technical!A1","Open"))</f>
        <v>Open</v>
      </c>
      <c r="U134" s="9"/>
    </row>
    <row r="135" spans="1:21" ht="30" customHeight="1" x14ac:dyDescent="0.25">
      <c r="A135" s="58" t="s">
        <v>559</v>
      </c>
      <c r="B135" s="11">
        <v>17908</v>
      </c>
      <c r="C135" s="43" t="s">
        <v>1352</v>
      </c>
      <c r="D135" s="11" t="s">
        <v>1411</v>
      </c>
      <c r="E135" s="61" t="s">
        <v>67</v>
      </c>
      <c r="F135" s="11" t="s">
        <v>1412</v>
      </c>
      <c r="G135" s="10">
        <v>67</v>
      </c>
      <c r="H135" s="11">
        <v>23</v>
      </c>
      <c r="I135" s="11" t="s">
        <v>1413</v>
      </c>
      <c r="J135" s="11" t="s">
        <v>1414</v>
      </c>
      <c r="K135" s="72" t="s">
        <v>8</v>
      </c>
      <c r="L135" s="11" t="s">
        <v>1164</v>
      </c>
      <c r="M135" s="11" t="s">
        <v>94</v>
      </c>
      <c r="N135" s="60" t="s">
        <v>98</v>
      </c>
      <c r="O135" s="49" t="s">
        <v>2</v>
      </c>
      <c r="P135" s="11">
        <v>4</v>
      </c>
      <c r="Q135" s="11" t="s">
        <v>1461</v>
      </c>
      <c r="R135" s="11" t="s">
        <v>1416</v>
      </c>
      <c r="S135" t="str">
        <f>IFERROR(HYPERLINK("#Main!A"&amp;MATCH(A135,Main!A:A,0),"Open"),HYPERLINK("#Main!A1","Open"))</f>
        <v>Open</v>
      </c>
      <c r="T135" t="str">
        <f>IFERROR(HYPERLINK("#Technical!A"&amp;MATCH(A135,Technical!A:A,0),"Open"),HYPERLINK("#Technical!A1","Open"))</f>
        <v>Open</v>
      </c>
    </row>
    <row r="136" spans="1:21" ht="30" customHeight="1" x14ac:dyDescent="0.25">
      <c r="A136" s="59" t="s">
        <v>590</v>
      </c>
      <c r="B136" s="8">
        <v>18478</v>
      </c>
      <c r="C136" s="43" t="s">
        <v>1360</v>
      </c>
      <c r="D136" s="8" t="s">
        <v>1411</v>
      </c>
      <c r="E136" s="61" t="s">
        <v>67</v>
      </c>
      <c r="F136" s="8" t="s">
        <v>1418</v>
      </c>
      <c r="G136" s="36">
        <v>67</v>
      </c>
      <c r="H136" s="8">
        <v>0</v>
      </c>
      <c r="I136" s="8" t="s">
        <v>1419</v>
      </c>
      <c r="J136" s="8" t="s">
        <v>1420</v>
      </c>
      <c r="K136" s="71" t="s">
        <v>8</v>
      </c>
      <c r="L136" s="8" t="s">
        <v>1168</v>
      </c>
      <c r="M136" s="8" t="s">
        <v>94</v>
      </c>
      <c r="N136" s="60" t="s">
        <v>98</v>
      </c>
      <c r="O136" s="49" t="s">
        <v>2</v>
      </c>
      <c r="P136" s="8">
        <v>4</v>
      </c>
      <c r="Q136" s="8" t="s">
        <v>1462</v>
      </c>
      <c r="R136" s="8" t="s">
        <v>1422</v>
      </c>
      <c r="S136" s="9" t="str">
        <f>IFERROR(HYPERLINK("#Main!A"&amp;MATCH(A136,Main!A:A,0),"Open"),HYPERLINK("#Main!A1","Open"))</f>
        <v>Open</v>
      </c>
      <c r="T136" s="9" t="str">
        <f>IFERROR(HYPERLINK("#Technical!A"&amp;MATCH(A136,Technical!A:A,0),"Open"),HYPERLINK("#Technical!A1","Open"))</f>
        <v>Open</v>
      </c>
      <c r="U136" s="9"/>
    </row>
    <row r="137" spans="1:21" ht="30" customHeight="1" x14ac:dyDescent="0.25">
      <c r="A137" s="58" t="s">
        <v>590</v>
      </c>
      <c r="B137" s="11">
        <v>18478</v>
      </c>
      <c r="C137" s="43" t="s">
        <v>1360</v>
      </c>
      <c r="D137" s="11" t="s">
        <v>1411</v>
      </c>
      <c r="E137" s="61" t="s">
        <v>67</v>
      </c>
      <c r="F137" s="11" t="s">
        <v>1412</v>
      </c>
      <c r="G137" s="10">
        <v>67</v>
      </c>
      <c r="H137" s="11">
        <v>28</v>
      </c>
      <c r="I137" s="11" t="s">
        <v>1413</v>
      </c>
      <c r="J137" s="11" t="s">
        <v>1414</v>
      </c>
      <c r="K137" s="72" t="s">
        <v>8</v>
      </c>
      <c r="L137" s="11" t="s">
        <v>1164</v>
      </c>
      <c r="M137" s="11" t="s">
        <v>94</v>
      </c>
      <c r="N137" s="60" t="s">
        <v>98</v>
      </c>
      <c r="O137" s="49" t="s">
        <v>2</v>
      </c>
      <c r="P137" s="11">
        <v>4</v>
      </c>
      <c r="Q137" s="11" t="s">
        <v>1463</v>
      </c>
      <c r="R137" s="11" t="s">
        <v>1416</v>
      </c>
      <c r="S137" t="str">
        <f>IFERROR(HYPERLINK("#Main!A"&amp;MATCH(A137,Main!A:A,0),"Open"),HYPERLINK("#Main!A1","Open"))</f>
        <v>Open</v>
      </c>
      <c r="T137" t="str">
        <f>IFERROR(HYPERLINK("#Technical!A"&amp;MATCH(A137,Technical!A:A,0),"Open"),HYPERLINK("#Technical!A1","Open"))</f>
        <v>Open</v>
      </c>
    </row>
    <row r="138" spans="1:21" ht="30" customHeight="1" x14ac:dyDescent="0.25">
      <c r="A138" s="59" t="s">
        <v>598</v>
      </c>
      <c r="B138" s="8">
        <v>19172</v>
      </c>
      <c r="C138" s="43" t="s">
        <v>1362</v>
      </c>
      <c r="D138" s="8" t="s">
        <v>1411</v>
      </c>
      <c r="E138" s="61" t="s">
        <v>67</v>
      </c>
      <c r="F138" s="8" t="s">
        <v>1418</v>
      </c>
      <c r="G138" s="36">
        <v>67</v>
      </c>
      <c r="H138" s="8">
        <v>0</v>
      </c>
      <c r="I138" s="8" t="s">
        <v>1419</v>
      </c>
      <c r="J138" s="8" t="s">
        <v>1420</v>
      </c>
      <c r="K138" s="71" t="s">
        <v>8</v>
      </c>
      <c r="L138" s="8" t="s">
        <v>1168</v>
      </c>
      <c r="M138" s="8" t="s">
        <v>94</v>
      </c>
      <c r="N138" s="60" t="s">
        <v>98</v>
      </c>
      <c r="O138" s="49" t="s">
        <v>2</v>
      </c>
      <c r="P138" s="8">
        <v>4</v>
      </c>
      <c r="Q138" s="8" t="s">
        <v>1464</v>
      </c>
      <c r="R138" s="8" t="s">
        <v>1422</v>
      </c>
      <c r="S138" s="9" t="str">
        <f>IFERROR(HYPERLINK("#Main!A"&amp;MATCH(A138,Main!A:A,0),"Open"),HYPERLINK("#Main!A1","Open"))</f>
        <v>Open</v>
      </c>
      <c r="T138" s="9" t="str">
        <f>IFERROR(HYPERLINK("#Technical!A"&amp;MATCH(A138,Technical!A:A,0),"Open"),HYPERLINK("#Technical!A1","Open"))</f>
        <v>Open</v>
      </c>
      <c r="U138" s="9"/>
    </row>
    <row r="139" spans="1:21" ht="30" customHeight="1" x14ac:dyDescent="0.25">
      <c r="A139" s="58" t="s">
        <v>598</v>
      </c>
      <c r="B139" s="11">
        <v>19172</v>
      </c>
      <c r="C139" s="43" t="s">
        <v>1362</v>
      </c>
      <c r="D139" s="11" t="s">
        <v>1411</v>
      </c>
      <c r="E139" s="61" t="s">
        <v>67</v>
      </c>
      <c r="F139" s="11" t="s">
        <v>1412</v>
      </c>
      <c r="G139" s="10">
        <v>67</v>
      </c>
      <c r="H139" s="11">
        <v>24</v>
      </c>
      <c r="I139" s="11" t="s">
        <v>1413</v>
      </c>
      <c r="J139" s="11" t="s">
        <v>1414</v>
      </c>
      <c r="K139" s="72" t="s">
        <v>8</v>
      </c>
      <c r="L139" s="11" t="s">
        <v>1164</v>
      </c>
      <c r="M139" s="11" t="s">
        <v>94</v>
      </c>
      <c r="N139" s="60" t="s">
        <v>98</v>
      </c>
      <c r="O139" s="49" t="s">
        <v>2</v>
      </c>
      <c r="P139" s="11">
        <v>4</v>
      </c>
      <c r="Q139" s="11" t="s">
        <v>1465</v>
      </c>
      <c r="R139" s="11" t="s">
        <v>1416</v>
      </c>
      <c r="S139" t="str">
        <f>IFERROR(HYPERLINK("#Main!A"&amp;MATCH(A139,Main!A:A,0),"Open"),HYPERLINK("#Main!A1","Open"))</f>
        <v>Open</v>
      </c>
      <c r="T139" t="str">
        <f>IFERROR(HYPERLINK("#Technical!A"&amp;MATCH(A139,Technical!A:A,0),"Open"),HYPERLINK("#Technical!A1","Open"))</f>
        <v>Open</v>
      </c>
    </row>
    <row r="140" spans="1:21" ht="30" customHeight="1" x14ac:dyDescent="0.25">
      <c r="A140" s="59" t="s">
        <v>606</v>
      </c>
      <c r="B140" s="8">
        <v>88</v>
      </c>
      <c r="C140" s="43" t="s">
        <v>1364</v>
      </c>
      <c r="D140" s="8" t="s">
        <v>1411</v>
      </c>
      <c r="E140" s="61" t="s">
        <v>67</v>
      </c>
      <c r="F140" s="8" t="s">
        <v>1418</v>
      </c>
      <c r="G140" s="36">
        <v>67</v>
      </c>
      <c r="H140" s="8">
        <v>0</v>
      </c>
      <c r="I140" s="8" t="s">
        <v>1419</v>
      </c>
      <c r="J140" s="8" t="s">
        <v>1420</v>
      </c>
      <c r="K140" s="71" t="s">
        <v>8</v>
      </c>
      <c r="L140" s="8" t="s">
        <v>1168</v>
      </c>
      <c r="M140" s="8" t="s">
        <v>94</v>
      </c>
      <c r="N140" s="60" t="s">
        <v>98</v>
      </c>
      <c r="O140" s="49" t="s">
        <v>2</v>
      </c>
      <c r="P140" s="8">
        <v>4</v>
      </c>
      <c r="Q140" s="8" t="s">
        <v>1466</v>
      </c>
      <c r="R140" s="8" t="s">
        <v>1422</v>
      </c>
      <c r="S140" s="9" t="str">
        <f>IFERROR(HYPERLINK("#Main!A"&amp;MATCH(A140,Main!A:A,0),"Open"),HYPERLINK("#Main!A1","Open"))</f>
        <v>Open</v>
      </c>
      <c r="T140" s="9" t="str">
        <f>IFERROR(HYPERLINK("#Technical!A"&amp;MATCH(A140,Technical!A:A,0),"Open"),HYPERLINK("#Technical!A1","Open"))</f>
        <v>Open</v>
      </c>
      <c r="U140" s="9"/>
    </row>
    <row r="141" spans="1:21" ht="30" customHeight="1" x14ac:dyDescent="0.25">
      <c r="A141" s="58" t="s">
        <v>614</v>
      </c>
      <c r="B141" s="11">
        <v>16548</v>
      </c>
      <c r="C141" s="43" t="s">
        <v>1366</v>
      </c>
      <c r="D141" s="11" t="s">
        <v>1411</v>
      </c>
      <c r="E141" s="61" t="s">
        <v>67</v>
      </c>
      <c r="F141" s="11" t="s">
        <v>1418</v>
      </c>
      <c r="G141" s="10">
        <v>67</v>
      </c>
      <c r="H141" s="11">
        <v>0</v>
      </c>
      <c r="I141" s="11" t="s">
        <v>1419</v>
      </c>
      <c r="J141" s="11" t="s">
        <v>1420</v>
      </c>
      <c r="K141" s="72" t="s">
        <v>8</v>
      </c>
      <c r="L141" s="11" t="s">
        <v>1168</v>
      </c>
      <c r="M141" s="11" t="s">
        <v>94</v>
      </c>
      <c r="N141" s="60" t="s">
        <v>98</v>
      </c>
      <c r="O141" s="49" t="s">
        <v>2</v>
      </c>
      <c r="P141" s="11">
        <v>4</v>
      </c>
      <c r="Q141" s="11" t="s">
        <v>1467</v>
      </c>
      <c r="R141" s="11" t="s">
        <v>1422</v>
      </c>
      <c r="S141" t="str">
        <f>IFERROR(HYPERLINK("#Main!A"&amp;MATCH(A141,Main!A:A,0),"Open"),HYPERLINK("#Main!A1","Open"))</f>
        <v>Open</v>
      </c>
      <c r="T141" t="str">
        <f>IFERROR(HYPERLINK("#Technical!A"&amp;MATCH(A141,Technical!A:A,0),"Open"),HYPERLINK("#Technical!A1","Open"))</f>
        <v>Open</v>
      </c>
    </row>
    <row r="142" spans="1:21" ht="30" customHeight="1" x14ac:dyDescent="0.25">
      <c r="A142" s="59" t="s">
        <v>614</v>
      </c>
      <c r="B142" s="8">
        <v>16548</v>
      </c>
      <c r="C142" s="43" t="s">
        <v>1366</v>
      </c>
      <c r="D142" s="8" t="s">
        <v>1411</v>
      </c>
      <c r="E142" s="61" t="s">
        <v>67</v>
      </c>
      <c r="F142" s="8" t="s">
        <v>1412</v>
      </c>
      <c r="G142" s="36">
        <v>67</v>
      </c>
      <c r="H142" s="8">
        <v>49</v>
      </c>
      <c r="I142" s="8" t="s">
        <v>1413</v>
      </c>
      <c r="J142" s="8" t="s">
        <v>1414</v>
      </c>
      <c r="K142" s="71" t="s">
        <v>8</v>
      </c>
      <c r="L142" s="8" t="s">
        <v>1164</v>
      </c>
      <c r="M142" s="8" t="s">
        <v>94</v>
      </c>
      <c r="N142" s="60" t="s">
        <v>98</v>
      </c>
      <c r="O142" s="49" t="s">
        <v>2</v>
      </c>
      <c r="P142" s="8">
        <v>4</v>
      </c>
      <c r="Q142" s="8" t="s">
        <v>1468</v>
      </c>
      <c r="R142" s="8" t="s">
        <v>1416</v>
      </c>
      <c r="S142" s="9" t="str">
        <f>IFERROR(HYPERLINK("#Main!A"&amp;MATCH(A142,Main!A:A,0),"Open"),HYPERLINK("#Main!A1","Open"))</f>
        <v>Open</v>
      </c>
      <c r="T142" s="9" t="str">
        <f>IFERROR(HYPERLINK("#Technical!A"&amp;MATCH(A142,Technical!A:A,0),"Open"),HYPERLINK("#Technical!A1","Open"))</f>
        <v>Open</v>
      </c>
      <c r="U142" s="9"/>
    </row>
    <row r="143" spans="1:21" ht="30" customHeight="1" x14ac:dyDescent="0.25">
      <c r="A143" s="58" t="s">
        <v>622</v>
      </c>
      <c r="B143" s="11">
        <v>20341</v>
      </c>
      <c r="C143" s="43" t="s">
        <v>1241</v>
      </c>
      <c r="D143" s="11" t="s">
        <v>1411</v>
      </c>
      <c r="E143" s="61" t="s">
        <v>67</v>
      </c>
      <c r="F143" s="11" t="s">
        <v>1418</v>
      </c>
      <c r="G143" s="10">
        <v>67</v>
      </c>
      <c r="H143" s="11">
        <v>0</v>
      </c>
      <c r="I143" s="11" t="s">
        <v>1419</v>
      </c>
      <c r="J143" s="11" t="s">
        <v>1420</v>
      </c>
      <c r="K143" s="72" t="s">
        <v>8</v>
      </c>
      <c r="L143" s="11" t="s">
        <v>1168</v>
      </c>
      <c r="M143" s="11" t="s">
        <v>94</v>
      </c>
      <c r="N143" s="60" t="s">
        <v>98</v>
      </c>
      <c r="O143" s="49" t="s">
        <v>2</v>
      </c>
      <c r="P143" s="11">
        <v>4</v>
      </c>
      <c r="Q143" s="11" t="s">
        <v>1469</v>
      </c>
      <c r="R143" s="11" t="s">
        <v>1422</v>
      </c>
      <c r="S143" t="str">
        <f>IFERROR(HYPERLINK("#Main!A"&amp;MATCH(A143,Main!A:A,0),"Open"),HYPERLINK("#Main!A1","Open"))</f>
        <v>Open</v>
      </c>
      <c r="T143" t="str">
        <f>IFERROR(HYPERLINK("#Technical!A"&amp;MATCH(A143,Technical!A:A,0),"Open"),HYPERLINK("#Technical!A1","Open"))</f>
        <v>Open</v>
      </c>
    </row>
    <row r="144" spans="1:21" ht="30" customHeight="1" x14ac:dyDescent="0.25">
      <c r="A144" s="59" t="s">
        <v>622</v>
      </c>
      <c r="B144" s="8">
        <v>20341</v>
      </c>
      <c r="C144" s="43" t="s">
        <v>1241</v>
      </c>
      <c r="D144" s="8" t="s">
        <v>1411</v>
      </c>
      <c r="E144" s="61" t="s">
        <v>67</v>
      </c>
      <c r="F144" s="8" t="s">
        <v>1412</v>
      </c>
      <c r="G144" s="36">
        <v>67</v>
      </c>
      <c r="H144" s="8">
        <v>15</v>
      </c>
      <c r="I144" s="8" t="s">
        <v>1413</v>
      </c>
      <c r="J144" s="8" t="s">
        <v>1414</v>
      </c>
      <c r="K144" s="71" t="s">
        <v>8</v>
      </c>
      <c r="L144" s="8" t="s">
        <v>1164</v>
      </c>
      <c r="M144" s="8" t="s">
        <v>94</v>
      </c>
      <c r="N144" s="60" t="s">
        <v>98</v>
      </c>
      <c r="O144" s="49" t="s">
        <v>2</v>
      </c>
      <c r="P144" s="8">
        <v>4</v>
      </c>
      <c r="Q144" s="8" t="s">
        <v>1470</v>
      </c>
      <c r="R144" s="8" t="s">
        <v>1416</v>
      </c>
      <c r="S144" s="9" t="str">
        <f>IFERROR(HYPERLINK("#Main!A"&amp;MATCH(A144,Main!A:A,0),"Open"),HYPERLINK("#Main!A1","Open"))</f>
        <v>Open</v>
      </c>
      <c r="T144" s="9" t="str">
        <f>IFERROR(HYPERLINK("#Technical!A"&amp;MATCH(A144,Technical!A:A,0),"Open"),HYPERLINK("#Technical!A1","Open"))</f>
        <v>Open</v>
      </c>
      <c r="U144" s="9"/>
    </row>
    <row r="145" spans="1:21" ht="30" customHeight="1" x14ac:dyDescent="0.25">
      <c r="A145" s="58" t="s">
        <v>635</v>
      </c>
      <c r="B145" s="11">
        <v>5597</v>
      </c>
      <c r="C145" s="43" t="s">
        <v>1371</v>
      </c>
      <c r="D145" s="11" t="s">
        <v>1411</v>
      </c>
      <c r="E145" s="61" t="s">
        <v>67</v>
      </c>
      <c r="F145" s="11" t="s">
        <v>1418</v>
      </c>
      <c r="G145" s="10">
        <v>67</v>
      </c>
      <c r="H145" s="11">
        <v>0</v>
      </c>
      <c r="I145" s="11" t="s">
        <v>1419</v>
      </c>
      <c r="J145" s="11" t="s">
        <v>1420</v>
      </c>
      <c r="K145" s="72" t="s">
        <v>8</v>
      </c>
      <c r="L145" s="11" t="s">
        <v>1168</v>
      </c>
      <c r="M145" s="11" t="s">
        <v>94</v>
      </c>
      <c r="N145" s="60" t="s">
        <v>98</v>
      </c>
      <c r="O145" s="49" t="s">
        <v>2</v>
      </c>
      <c r="P145" s="11">
        <v>4</v>
      </c>
      <c r="Q145" s="11" t="s">
        <v>1471</v>
      </c>
      <c r="R145" s="11" t="s">
        <v>1422</v>
      </c>
      <c r="S145" t="str">
        <f>IFERROR(HYPERLINK("#Main!A"&amp;MATCH(A145,Main!A:A,0),"Open"),HYPERLINK("#Main!A1","Open"))</f>
        <v>Open</v>
      </c>
      <c r="T145" t="str">
        <f>IFERROR(HYPERLINK("#Technical!A"&amp;MATCH(A145,Technical!A:A,0),"Open"),HYPERLINK("#Technical!A1","Open"))</f>
        <v>Open</v>
      </c>
    </row>
    <row r="146" spans="1:21" ht="30" customHeight="1" x14ac:dyDescent="0.25">
      <c r="A146" s="59" t="s">
        <v>635</v>
      </c>
      <c r="B146" s="8">
        <v>5597</v>
      </c>
      <c r="C146" s="43" t="s">
        <v>1371</v>
      </c>
      <c r="D146" s="8" t="s">
        <v>1411</v>
      </c>
      <c r="E146" s="61" t="s">
        <v>67</v>
      </c>
      <c r="F146" s="8" t="s">
        <v>1412</v>
      </c>
      <c r="G146" s="36">
        <v>67</v>
      </c>
      <c r="H146" s="8">
        <v>39</v>
      </c>
      <c r="I146" s="8" t="s">
        <v>1413</v>
      </c>
      <c r="J146" s="8" t="s">
        <v>1414</v>
      </c>
      <c r="K146" s="71" t="s">
        <v>8</v>
      </c>
      <c r="L146" s="8" t="s">
        <v>1164</v>
      </c>
      <c r="M146" s="8" t="s">
        <v>94</v>
      </c>
      <c r="N146" s="60" t="s">
        <v>98</v>
      </c>
      <c r="O146" s="49" t="s">
        <v>2</v>
      </c>
      <c r="P146" s="8">
        <v>4</v>
      </c>
      <c r="Q146" s="8" t="s">
        <v>1472</v>
      </c>
      <c r="R146" s="8" t="s">
        <v>1416</v>
      </c>
      <c r="S146" s="9" t="str">
        <f>IFERROR(HYPERLINK("#Main!A"&amp;MATCH(A146,Main!A:A,0),"Open"),HYPERLINK("#Main!A1","Open"))</f>
        <v>Open</v>
      </c>
      <c r="T146" s="9" t="str">
        <f>IFERROR(HYPERLINK("#Technical!A"&amp;MATCH(A146,Technical!A:A,0),"Open"),HYPERLINK("#Technical!A1","Open"))</f>
        <v>Open</v>
      </c>
      <c r="U146" s="9"/>
    </row>
    <row r="147" spans="1:21" ht="30" customHeight="1" x14ac:dyDescent="0.25">
      <c r="A147" s="58" t="s">
        <v>642</v>
      </c>
      <c r="B147" s="11">
        <v>33050</v>
      </c>
      <c r="C147" s="43" t="s">
        <v>1373</v>
      </c>
      <c r="D147" s="11" t="s">
        <v>1411</v>
      </c>
      <c r="E147" s="61" t="s">
        <v>67</v>
      </c>
      <c r="F147" s="11" t="s">
        <v>1412</v>
      </c>
      <c r="G147" s="10">
        <v>67</v>
      </c>
      <c r="H147" s="11">
        <v>164</v>
      </c>
      <c r="I147" s="11" t="s">
        <v>1413</v>
      </c>
      <c r="J147" s="11" t="s">
        <v>1414</v>
      </c>
      <c r="K147" s="72" t="s">
        <v>8</v>
      </c>
      <c r="L147" s="11" t="s">
        <v>1164</v>
      </c>
      <c r="M147" s="11" t="s">
        <v>94</v>
      </c>
      <c r="N147" s="60" t="s">
        <v>98</v>
      </c>
      <c r="O147" s="49" t="s">
        <v>2</v>
      </c>
      <c r="P147" s="11">
        <v>4</v>
      </c>
      <c r="Q147" s="11" t="s">
        <v>1473</v>
      </c>
      <c r="R147" s="11" t="s">
        <v>1416</v>
      </c>
      <c r="S147" t="str">
        <f>IFERROR(HYPERLINK("#Main!A"&amp;MATCH(A147,Main!A:A,0),"Open"),HYPERLINK("#Main!A1","Open"))</f>
        <v>Open</v>
      </c>
      <c r="T147" t="str">
        <f>IFERROR(HYPERLINK("#Technical!A"&amp;MATCH(A147,Technical!A:A,0),"Open"),HYPERLINK("#Technical!A1","Open"))</f>
        <v>Open</v>
      </c>
    </row>
    <row r="148" spans="1:21" ht="30" customHeight="1" x14ac:dyDescent="0.25">
      <c r="A148" s="59" t="s">
        <v>658</v>
      </c>
      <c r="B148" s="8">
        <v>2196</v>
      </c>
      <c r="C148" s="43" t="s">
        <v>1377</v>
      </c>
      <c r="D148" s="8" t="s">
        <v>1411</v>
      </c>
      <c r="E148" s="61" t="s">
        <v>67</v>
      </c>
      <c r="F148" s="8" t="s">
        <v>1412</v>
      </c>
      <c r="G148" s="36">
        <v>67</v>
      </c>
      <c r="H148" s="8">
        <v>35</v>
      </c>
      <c r="I148" s="8" t="s">
        <v>1413</v>
      </c>
      <c r="J148" s="8" t="s">
        <v>1414</v>
      </c>
      <c r="K148" s="71" t="s">
        <v>8</v>
      </c>
      <c r="L148" s="8" t="s">
        <v>1164</v>
      </c>
      <c r="M148" s="8" t="s">
        <v>94</v>
      </c>
      <c r="N148" s="60" t="s">
        <v>98</v>
      </c>
      <c r="O148" s="49" t="s">
        <v>2</v>
      </c>
      <c r="P148" s="8">
        <v>4</v>
      </c>
      <c r="Q148" s="8" t="s">
        <v>1474</v>
      </c>
      <c r="R148" s="8" t="s">
        <v>1416</v>
      </c>
      <c r="S148" s="9" t="str">
        <f>IFERROR(HYPERLINK("#Main!A"&amp;MATCH(A148,Main!A:A,0),"Open"),HYPERLINK("#Main!A1","Open"))</f>
        <v>Open</v>
      </c>
      <c r="T148" s="9" t="str">
        <f>IFERROR(HYPERLINK("#Technical!A"&amp;MATCH(A148,Technical!A:A,0),"Open"),HYPERLINK("#Technical!A1","Open"))</f>
        <v>Open</v>
      </c>
      <c r="U148" s="9"/>
    </row>
    <row r="149" spans="1:21" ht="30" customHeight="1" x14ac:dyDescent="0.25">
      <c r="A149" s="58" t="s">
        <v>674</v>
      </c>
      <c r="B149" s="11">
        <v>9047</v>
      </c>
      <c r="C149" s="43" t="s">
        <v>1381</v>
      </c>
      <c r="D149" s="11" t="s">
        <v>1411</v>
      </c>
      <c r="E149" s="61" t="s">
        <v>67</v>
      </c>
      <c r="F149" s="11" t="s">
        <v>1418</v>
      </c>
      <c r="G149" s="10">
        <v>67</v>
      </c>
      <c r="H149" s="11">
        <v>0</v>
      </c>
      <c r="I149" s="11" t="s">
        <v>1419</v>
      </c>
      <c r="J149" s="11" t="s">
        <v>1420</v>
      </c>
      <c r="K149" s="72" t="s">
        <v>8</v>
      </c>
      <c r="L149" s="11" t="s">
        <v>1168</v>
      </c>
      <c r="M149" s="11" t="s">
        <v>94</v>
      </c>
      <c r="N149" s="60" t="s">
        <v>98</v>
      </c>
      <c r="O149" s="49" t="s">
        <v>2</v>
      </c>
      <c r="P149" s="11">
        <v>4</v>
      </c>
      <c r="Q149" s="11" t="s">
        <v>1475</v>
      </c>
      <c r="R149" s="11" t="s">
        <v>1422</v>
      </c>
      <c r="S149" t="str">
        <f>IFERROR(HYPERLINK("#Main!A"&amp;MATCH(A149,Main!A:A,0),"Open"),HYPERLINK("#Main!A1","Open"))</f>
        <v>Open</v>
      </c>
      <c r="T149" t="str">
        <f>IFERROR(HYPERLINK("#Technical!A"&amp;MATCH(A149,Technical!A:A,0),"Open"),HYPERLINK("#Technical!A1","Open"))</f>
        <v>Open</v>
      </c>
    </row>
    <row r="150" spans="1:21" ht="30" customHeight="1" x14ac:dyDescent="0.25">
      <c r="A150" s="59" t="s">
        <v>674</v>
      </c>
      <c r="B150" s="8">
        <v>9047</v>
      </c>
      <c r="C150" s="43" t="s">
        <v>1381</v>
      </c>
      <c r="D150" s="8" t="s">
        <v>1411</v>
      </c>
      <c r="E150" s="61" t="s">
        <v>67</v>
      </c>
      <c r="F150" s="8" t="s">
        <v>1412</v>
      </c>
      <c r="G150" s="36">
        <v>67</v>
      </c>
      <c r="H150" s="8">
        <v>115</v>
      </c>
      <c r="I150" s="8" t="s">
        <v>1413</v>
      </c>
      <c r="J150" s="8" t="s">
        <v>1414</v>
      </c>
      <c r="K150" s="71" t="s">
        <v>8</v>
      </c>
      <c r="L150" s="8" t="s">
        <v>1164</v>
      </c>
      <c r="M150" s="8" t="s">
        <v>94</v>
      </c>
      <c r="N150" s="60" t="s">
        <v>98</v>
      </c>
      <c r="O150" s="49" t="s">
        <v>2</v>
      </c>
      <c r="P150" s="8">
        <v>4</v>
      </c>
      <c r="Q150" s="8" t="s">
        <v>1476</v>
      </c>
      <c r="R150" s="8" t="s">
        <v>1416</v>
      </c>
      <c r="S150" s="9" t="str">
        <f>IFERROR(HYPERLINK("#Main!A"&amp;MATCH(A150,Main!A:A,0),"Open"),HYPERLINK("#Main!A1","Open"))</f>
        <v>Open</v>
      </c>
      <c r="T150" s="9" t="str">
        <f>IFERROR(HYPERLINK("#Technical!A"&amp;MATCH(A150,Technical!A:A,0),"Open"),HYPERLINK("#Technical!A1","Open"))</f>
        <v>Open</v>
      </c>
      <c r="U150" s="9"/>
    </row>
    <row r="151" spans="1:21" ht="30" customHeight="1" x14ac:dyDescent="0.25">
      <c r="A151" s="58" t="s">
        <v>682</v>
      </c>
      <c r="B151" s="11">
        <v>3686</v>
      </c>
      <c r="C151" s="43" t="s">
        <v>1383</v>
      </c>
      <c r="D151" s="11" t="s">
        <v>1411</v>
      </c>
      <c r="E151" s="61" t="s">
        <v>67</v>
      </c>
      <c r="F151" s="11" t="s">
        <v>1412</v>
      </c>
      <c r="G151" s="10">
        <v>67</v>
      </c>
      <c r="H151" s="11">
        <v>97</v>
      </c>
      <c r="I151" s="11" t="s">
        <v>1413</v>
      </c>
      <c r="J151" s="11" t="s">
        <v>1414</v>
      </c>
      <c r="K151" s="72" t="s">
        <v>8</v>
      </c>
      <c r="L151" s="11" t="s">
        <v>1164</v>
      </c>
      <c r="M151" s="11" t="s">
        <v>94</v>
      </c>
      <c r="N151" s="60" t="s">
        <v>98</v>
      </c>
      <c r="O151" s="49" t="s">
        <v>2</v>
      </c>
      <c r="P151" s="11">
        <v>4</v>
      </c>
      <c r="Q151" s="11" t="s">
        <v>1477</v>
      </c>
      <c r="R151" s="11" t="s">
        <v>1416</v>
      </c>
      <c r="S151" t="str">
        <f>IFERROR(HYPERLINK("#Main!A"&amp;MATCH(A151,Main!A:A,0),"Open"),HYPERLINK("#Main!A1","Open"))</f>
        <v>Open</v>
      </c>
      <c r="T151" t="str">
        <f>IFERROR(HYPERLINK("#Technical!A"&amp;MATCH(A151,Technical!A:A,0),"Open"),HYPERLINK("#Technical!A1","Open"))</f>
        <v>Open</v>
      </c>
    </row>
    <row r="152" spans="1:21" ht="30" customHeight="1" x14ac:dyDescent="0.25">
      <c r="A152" s="59" t="s">
        <v>698</v>
      </c>
      <c r="B152" s="8">
        <v>3252</v>
      </c>
      <c r="C152" s="43" t="s">
        <v>1387</v>
      </c>
      <c r="D152" s="8" t="s">
        <v>1411</v>
      </c>
      <c r="E152" s="61" t="s">
        <v>67</v>
      </c>
      <c r="F152" s="8" t="s">
        <v>1418</v>
      </c>
      <c r="G152" s="36">
        <v>67</v>
      </c>
      <c r="H152" s="8">
        <v>0</v>
      </c>
      <c r="I152" s="8" t="s">
        <v>1419</v>
      </c>
      <c r="J152" s="8" t="s">
        <v>1420</v>
      </c>
      <c r="K152" s="71" t="s">
        <v>8</v>
      </c>
      <c r="L152" s="8" t="s">
        <v>1168</v>
      </c>
      <c r="M152" s="8" t="s">
        <v>94</v>
      </c>
      <c r="N152" s="60" t="s">
        <v>98</v>
      </c>
      <c r="O152" s="49" t="s">
        <v>2</v>
      </c>
      <c r="P152" s="8">
        <v>4</v>
      </c>
      <c r="Q152" s="8" t="s">
        <v>1478</v>
      </c>
      <c r="R152" s="8" t="s">
        <v>1422</v>
      </c>
      <c r="S152" s="9" t="str">
        <f>IFERROR(HYPERLINK("#Main!A"&amp;MATCH(A152,Main!A:A,0),"Open"),HYPERLINK("#Main!A1","Open"))</f>
        <v>Open</v>
      </c>
      <c r="T152" s="9" t="str">
        <f>IFERROR(HYPERLINK("#Technical!A"&amp;MATCH(A152,Technical!A:A,0),"Open"),HYPERLINK("#Technical!A1","Open"))</f>
        <v>Open</v>
      </c>
      <c r="U152" s="9"/>
    </row>
    <row r="153" spans="1:21" ht="30" customHeight="1" x14ac:dyDescent="0.25">
      <c r="A153" s="58" t="s">
        <v>698</v>
      </c>
      <c r="B153" s="11">
        <v>3252</v>
      </c>
      <c r="C153" s="43" t="s">
        <v>1387</v>
      </c>
      <c r="D153" s="11" t="s">
        <v>1411</v>
      </c>
      <c r="E153" s="61" t="s">
        <v>67</v>
      </c>
      <c r="F153" s="11" t="s">
        <v>1412</v>
      </c>
      <c r="G153" s="10">
        <v>67</v>
      </c>
      <c r="H153" s="11">
        <v>175</v>
      </c>
      <c r="I153" s="11" t="s">
        <v>1413</v>
      </c>
      <c r="J153" s="11" t="s">
        <v>1414</v>
      </c>
      <c r="K153" s="72" t="s">
        <v>8</v>
      </c>
      <c r="L153" s="11" t="s">
        <v>1164</v>
      </c>
      <c r="M153" s="11" t="s">
        <v>94</v>
      </c>
      <c r="N153" s="60" t="s">
        <v>98</v>
      </c>
      <c r="O153" s="49" t="s">
        <v>2</v>
      </c>
      <c r="P153" s="11">
        <v>4</v>
      </c>
      <c r="Q153" s="11" t="s">
        <v>1479</v>
      </c>
      <c r="R153" s="11" t="s">
        <v>1416</v>
      </c>
      <c r="S153" t="str">
        <f>IFERROR(HYPERLINK("#Main!A"&amp;MATCH(A153,Main!A:A,0),"Open"),HYPERLINK("#Main!A1","Open"))</f>
        <v>Open</v>
      </c>
      <c r="T153" t="str">
        <f>IFERROR(HYPERLINK("#Technical!A"&amp;MATCH(A153,Technical!A:A,0),"Open"),HYPERLINK("#Technical!A1","Open"))</f>
        <v>Open</v>
      </c>
    </row>
    <row r="154" spans="1:21" ht="30" customHeight="1" x14ac:dyDescent="0.25">
      <c r="A154" s="59" t="s">
        <v>712</v>
      </c>
      <c r="B154" s="8">
        <v>7781</v>
      </c>
      <c r="C154" s="43" t="s">
        <v>1391</v>
      </c>
      <c r="D154" s="8" t="s">
        <v>1411</v>
      </c>
      <c r="E154" s="61" t="s">
        <v>67</v>
      </c>
      <c r="F154" s="8" t="s">
        <v>1418</v>
      </c>
      <c r="G154" s="36">
        <v>67</v>
      </c>
      <c r="H154" s="8">
        <v>0</v>
      </c>
      <c r="I154" s="8" t="s">
        <v>1419</v>
      </c>
      <c r="J154" s="8" t="s">
        <v>1420</v>
      </c>
      <c r="K154" s="71" t="s">
        <v>8</v>
      </c>
      <c r="L154" s="8" t="s">
        <v>1168</v>
      </c>
      <c r="M154" s="8" t="s">
        <v>94</v>
      </c>
      <c r="N154" s="60" t="s">
        <v>98</v>
      </c>
      <c r="O154" s="49" t="s">
        <v>2</v>
      </c>
      <c r="P154" s="8">
        <v>4</v>
      </c>
      <c r="Q154" s="8" t="s">
        <v>1480</v>
      </c>
      <c r="R154" s="8" t="s">
        <v>1422</v>
      </c>
      <c r="S154" s="9" t="str">
        <f>IFERROR(HYPERLINK("#Main!A"&amp;MATCH(A154,Main!A:A,0),"Open"),HYPERLINK("#Main!A1","Open"))</f>
        <v>Open</v>
      </c>
      <c r="T154" s="9" t="str">
        <f>IFERROR(HYPERLINK("#Technical!A"&amp;MATCH(A154,Technical!A:A,0),"Open"),HYPERLINK("#Technical!A1","Open"))</f>
        <v>Open</v>
      </c>
      <c r="U154" s="9"/>
    </row>
    <row r="155" spans="1:21" ht="30" customHeight="1" x14ac:dyDescent="0.25">
      <c r="A155" s="58" t="s">
        <v>720</v>
      </c>
      <c r="B155" s="11">
        <v>5490</v>
      </c>
      <c r="C155" s="43" t="s">
        <v>1393</v>
      </c>
      <c r="D155" s="11" t="s">
        <v>1411</v>
      </c>
      <c r="E155" s="61" t="s">
        <v>67</v>
      </c>
      <c r="F155" s="11" t="s">
        <v>1418</v>
      </c>
      <c r="G155" s="10">
        <v>67</v>
      </c>
      <c r="H155" s="11">
        <v>0</v>
      </c>
      <c r="I155" s="11" t="s">
        <v>1419</v>
      </c>
      <c r="J155" s="11" t="s">
        <v>1420</v>
      </c>
      <c r="K155" s="72" t="s">
        <v>8</v>
      </c>
      <c r="L155" s="11" t="s">
        <v>1168</v>
      </c>
      <c r="M155" s="11" t="s">
        <v>94</v>
      </c>
      <c r="N155" s="60" t="s">
        <v>98</v>
      </c>
      <c r="O155" s="49" t="s">
        <v>2</v>
      </c>
      <c r="P155" s="11">
        <v>4</v>
      </c>
      <c r="Q155" s="11" t="s">
        <v>1481</v>
      </c>
      <c r="R155" s="11" t="s">
        <v>1422</v>
      </c>
      <c r="S155" t="str">
        <f>IFERROR(HYPERLINK("#Main!A"&amp;MATCH(A155,Main!A:A,0),"Open"),HYPERLINK("#Main!A1","Open"))</f>
        <v>Open</v>
      </c>
      <c r="T155" t="str">
        <f>IFERROR(HYPERLINK("#Technical!A"&amp;MATCH(A155,Technical!A:A,0),"Open"),HYPERLINK("#Technical!A1","Open"))</f>
        <v>Open</v>
      </c>
    </row>
    <row r="156" spans="1:21" ht="30" customHeight="1" x14ac:dyDescent="0.25">
      <c r="A156" s="59" t="s">
        <v>720</v>
      </c>
      <c r="B156" s="8">
        <v>5490</v>
      </c>
      <c r="C156" s="43" t="s">
        <v>1393</v>
      </c>
      <c r="D156" s="8" t="s">
        <v>1411</v>
      </c>
      <c r="E156" s="61" t="s">
        <v>67</v>
      </c>
      <c r="F156" s="8" t="s">
        <v>1412</v>
      </c>
      <c r="G156" s="36">
        <v>67</v>
      </c>
      <c r="H156" s="8">
        <v>69</v>
      </c>
      <c r="I156" s="8" t="s">
        <v>1413</v>
      </c>
      <c r="J156" s="8" t="s">
        <v>1414</v>
      </c>
      <c r="K156" s="71" t="s">
        <v>8</v>
      </c>
      <c r="L156" s="8" t="s">
        <v>1164</v>
      </c>
      <c r="M156" s="8" t="s">
        <v>94</v>
      </c>
      <c r="N156" s="60" t="s">
        <v>98</v>
      </c>
      <c r="O156" s="49" t="s">
        <v>2</v>
      </c>
      <c r="P156" s="8">
        <v>4</v>
      </c>
      <c r="Q156" s="8" t="s">
        <v>1482</v>
      </c>
      <c r="R156" s="8" t="s">
        <v>1416</v>
      </c>
      <c r="S156" s="9" t="str">
        <f>IFERROR(HYPERLINK("#Main!A"&amp;MATCH(A156,Main!A:A,0),"Open"),HYPERLINK("#Main!A1","Open"))</f>
        <v>Open</v>
      </c>
      <c r="T156" s="9" t="str">
        <f>IFERROR(HYPERLINK("#Technical!A"&amp;MATCH(A156,Technical!A:A,0),"Open"),HYPERLINK("#Technical!A1","Open"))</f>
        <v>Open</v>
      </c>
      <c r="U156" s="9"/>
    </row>
    <row r="157" spans="1:21" ht="30" customHeight="1" x14ac:dyDescent="0.25">
      <c r="A157" s="58" t="s">
        <v>727</v>
      </c>
      <c r="B157" s="11">
        <v>27352</v>
      </c>
      <c r="C157" s="43" t="s">
        <v>1395</v>
      </c>
      <c r="D157" s="11" t="s">
        <v>1411</v>
      </c>
      <c r="E157" s="61" t="s">
        <v>67</v>
      </c>
      <c r="F157" s="11" t="s">
        <v>1418</v>
      </c>
      <c r="G157" s="10">
        <v>67</v>
      </c>
      <c r="H157" s="11">
        <v>0</v>
      </c>
      <c r="I157" s="11" t="s">
        <v>1419</v>
      </c>
      <c r="J157" s="11" t="s">
        <v>1420</v>
      </c>
      <c r="K157" s="72" t="s">
        <v>8</v>
      </c>
      <c r="L157" s="11" t="s">
        <v>1168</v>
      </c>
      <c r="M157" s="11" t="s">
        <v>94</v>
      </c>
      <c r="N157" s="60" t="s">
        <v>98</v>
      </c>
      <c r="O157" s="49" t="s">
        <v>2</v>
      </c>
      <c r="P157" s="11">
        <v>4</v>
      </c>
      <c r="Q157" s="11" t="s">
        <v>1483</v>
      </c>
      <c r="R157" s="11" t="s">
        <v>1422</v>
      </c>
      <c r="S157" t="str">
        <f>IFERROR(HYPERLINK("#Main!A"&amp;MATCH(A157,Main!A:A,0),"Open"),HYPERLINK("#Main!A1","Open"))</f>
        <v>Open</v>
      </c>
      <c r="T157" t="str">
        <f>IFERROR(HYPERLINK("#Technical!A"&amp;MATCH(A157,Technical!A:A,0),"Open"),HYPERLINK("#Technical!A1","Open"))</f>
        <v>Open</v>
      </c>
    </row>
    <row r="158" spans="1:21" ht="30" customHeight="1" x14ac:dyDescent="0.25">
      <c r="A158" s="59" t="s">
        <v>727</v>
      </c>
      <c r="B158" s="8">
        <v>27352</v>
      </c>
      <c r="C158" s="43" t="s">
        <v>1395</v>
      </c>
      <c r="D158" s="8" t="s">
        <v>1411</v>
      </c>
      <c r="E158" s="61" t="s">
        <v>67</v>
      </c>
      <c r="F158" s="8" t="s">
        <v>1412</v>
      </c>
      <c r="G158" s="36">
        <v>67</v>
      </c>
      <c r="H158" s="8">
        <v>150</v>
      </c>
      <c r="I158" s="8" t="s">
        <v>1413</v>
      </c>
      <c r="J158" s="8" t="s">
        <v>1414</v>
      </c>
      <c r="K158" s="71" t="s">
        <v>8</v>
      </c>
      <c r="L158" s="8" t="s">
        <v>1164</v>
      </c>
      <c r="M158" s="8" t="s">
        <v>94</v>
      </c>
      <c r="N158" s="60" t="s">
        <v>98</v>
      </c>
      <c r="O158" s="49" t="s">
        <v>2</v>
      </c>
      <c r="P158" s="8">
        <v>4</v>
      </c>
      <c r="Q158" s="8" t="s">
        <v>1484</v>
      </c>
      <c r="R158" s="8" t="s">
        <v>1416</v>
      </c>
      <c r="S158" s="9" t="str">
        <f>IFERROR(HYPERLINK("#Main!A"&amp;MATCH(A158,Main!A:A,0),"Open"),HYPERLINK("#Main!A1","Open"))</f>
        <v>Open</v>
      </c>
      <c r="T158" s="9" t="str">
        <f>IFERROR(HYPERLINK("#Technical!A"&amp;MATCH(A158,Technical!A:A,0),"Open"),HYPERLINK("#Technical!A1","Open"))</f>
        <v>Open</v>
      </c>
      <c r="U158" s="9"/>
    </row>
    <row r="159" spans="1:21" ht="30" customHeight="1" x14ac:dyDescent="0.25">
      <c r="A159" s="58" t="s">
        <v>735</v>
      </c>
      <c r="B159" s="11">
        <v>21591</v>
      </c>
      <c r="C159" s="43" t="s">
        <v>1397</v>
      </c>
      <c r="D159" s="11" t="s">
        <v>1411</v>
      </c>
      <c r="E159" s="61" t="s">
        <v>67</v>
      </c>
      <c r="F159" s="11" t="s">
        <v>1418</v>
      </c>
      <c r="G159" s="10">
        <v>67</v>
      </c>
      <c r="H159" s="11">
        <v>0</v>
      </c>
      <c r="I159" s="11" t="s">
        <v>1419</v>
      </c>
      <c r="J159" s="11" t="s">
        <v>1420</v>
      </c>
      <c r="K159" s="72" t="s">
        <v>8</v>
      </c>
      <c r="L159" s="11" t="s">
        <v>1168</v>
      </c>
      <c r="M159" s="11" t="s">
        <v>94</v>
      </c>
      <c r="N159" s="60" t="s">
        <v>98</v>
      </c>
      <c r="O159" s="49" t="s">
        <v>2</v>
      </c>
      <c r="P159" s="11">
        <v>4</v>
      </c>
      <c r="Q159" s="11" t="s">
        <v>1485</v>
      </c>
      <c r="R159" s="11" t="s">
        <v>1422</v>
      </c>
      <c r="S159" t="str">
        <f>IFERROR(HYPERLINK("#Main!A"&amp;MATCH(A159,Main!A:A,0),"Open"),HYPERLINK("#Main!A1","Open"))</f>
        <v>Open</v>
      </c>
      <c r="T159" t="str">
        <f>IFERROR(HYPERLINK("#Technical!A"&amp;MATCH(A159,Technical!A:A,0),"Open"),HYPERLINK("#Technical!A1","Open"))</f>
        <v>Open</v>
      </c>
    </row>
    <row r="160" spans="1:21" ht="30" customHeight="1" x14ac:dyDescent="0.25">
      <c r="A160" s="59" t="s">
        <v>735</v>
      </c>
      <c r="B160" s="8">
        <v>21591</v>
      </c>
      <c r="C160" s="43" t="s">
        <v>1397</v>
      </c>
      <c r="D160" s="8" t="s">
        <v>1411</v>
      </c>
      <c r="E160" s="61" t="s">
        <v>67</v>
      </c>
      <c r="F160" s="8" t="s">
        <v>1412</v>
      </c>
      <c r="G160" s="36">
        <v>67</v>
      </c>
      <c r="H160" s="8">
        <v>31</v>
      </c>
      <c r="I160" s="8" t="s">
        <v>1413</v>
      </c>
      <c r="J160" s="8" t="s">
        <v>1414</v>
      </c>
      <c r="K160" s="71" t="s">
        <v>8</v>
      </c>
      <c r="L160" s="8" t="s">
        <v>1164</v>
      </c>
      <c r="M160" s="8" t="s">
        <v>94</v>
      </c>
      <c r="N160" s="60" t="s">
        <v>98</v>
      </c>
      <c r="O160" s="49" t="s">
        <v>2</v>
      </c>
      <c r="P160" s="8">
        <v>4</v>
      </c>
      <c r="Q160" s="8" t="s">
        <v>1486</v>
      </c>
      <c r="R160" s="8" t="s">
        <v>1416</v>
      </c>
      <c r="S160" s="9" t="str">
        <f>IFERROR(HYPERLINK("#Main!A"&amp;MATCH(A160,Main!A:A,0),"Open"),HYPERLINK("#Main!A1","Open"))</f>
        <v>Open</v>
      </c>
      <c r="T160" s="9" t="str">
        <f>IFERROR(HYPERLINK("#Technical!A"&amp;MATCH(A160,Technical!A:A,0),"Open"),HYPERLINK("#Technical!A1","Open"))</f>
        <v>Open</v>
      </c>
      <c r="U160" s="9"/>
    </row>
    <row r="161" spans="1:21" ht="30" customHeight="1" x14ac:dyDescent="0.25">
      <c r="A161" s="58" t="s">
        <v>743</v>
      </c>
      <c r="B161" s="11">
        <v>17195</v>
      </c>
      <c r="C161" s="43" t="s">
        <v>1399</v>
      </c>
      <c r="D161" s="11" t="s">
        <v>1411</v>
      </c>
      <c r="E161" s="61" t="s">
        <v>67</v>
      </c>
      <c r="F161" s="11" t="s">
        <v>1418</v>
      </c>
      <c r="G161" s="10">
        <v>67</v>
      </c>
      <c r="H161" s="11">
        <v>0</v>
      </c>
      <c r="I161" s="11" t="s">
        <v>1419</v>
      </c>
      <c r="J161" s="11" t="s">
        <v>1420</v>
      </c>
      <c r="K161" s="72" t="s">
        <v>8</v>
      </c>
      <c r="L161" s="11" t="s">
        <v>1168</v>
      </c>
      <c r="M161" s="11" t="s">
        <v>94</v>
      </c>
      <c r="N161" s="60" t="s">
        <v>98</v>
      </c>
      <c r="O161" s="49" t="s">
        <v>2</v>
      </c>
      <c r="P161" s="11">
        <v>4</v>
      </c>
      <c r="Q161" s="11" t="s">
        <v>1487</v>
      </c>
      <c r="R161" s="11" t="s">
        <v>1422</v>
      </c>
      <c r="S161" t="str">
        <f>IFERROR(HYPERLINK("#Main!A"&amp;MATCH(A161,Main!A:A,0),"Open"),HYPERLINK("#Main!A1","Open"))</f>
        <v>Open</v>
      </c>
      <c r="T161" t="str">
        <f>IFERROR(HYPERLINK("#Technical!A"&amp;MATCH(A161,Technical!A:A,0),"Open"),HYPERLINK("#Technical!A1","Open"))</f>
        <v>Open</v>
      </c>
    </row>
    <row r="162" spans="1:21" ht="30" customHeight="1" x14ac:dyDescent="0.25">
      <c r="A162" s="59" t="s">
        <v>743</v>
      </c>
      <c r="B162" s="8">
        <v>17195</v>
      </c>
      <c r="C162" s="43" t="s">
        <v>1399</v>
      </c>
      <c r="D162" s="8" t="s">
        <v>1411</v>
      </c>
      <c r="E162" s="61" t="s">
        <v>67</v>
      </c>
      <c r="F162" s="8" t="s">
        <v>1412</v>
      </c>
      <c r="G162" s="36">
        <v>67</v>
      </c>
      <c r="H162" s="8">
        <v>43</v>
      </c>
      <c r="I162" s="8" t="s">
        <v>1413</v>
      </c>
      <c r="J162" s="8" t="s">
        <v>1414</v>
      </c>
      <c r="K162" s="71" t="s">
        <v>8</v>
      </c>
      <c r="L162" s="8" t="s">
        <v>1164</v>
      </c>
      <c r="M162" s="8" t="s">
        <v>94</v>
      </c>
      <c r="N162" s="60" t="s">
        <v>98</v>
      </c>
      <c r="O162" s="49" t="s">
        <v>2</v>
      </c>
      <c r="P162" s="8">
        <v>4</v>
      </c>
      <c r="Q162" s="8" t="s">
        <v>1488</v>
      </c>
      <c r="R162" s="8" t="s">
        <v>1416</v>
      </c>
      <c r="S162" s="9" t="str">
        <f>IFERROR(HYPERLINK("#Main!A"&amp;MATCH(A162,Main!A:A,0),"Open"),HYPERLINK("#Main!A1","Open"))</f>
        <v>Open</v>
      </c>
      <c r="T162" s="9" t="str">
        <f>IFERROR(HYPERLINK("#Technical!A"&amp;MATCH(A162,Technical!A:A,0),"Open"),HYPERLINK("#Technical!A1","Open"))</f>
        <v>Open</v>
      </c>
      <c r="U162" s="9"/>
    </row>
    <row r="163" spans="1:21" ht="30" customHeight="1" x14ac:dyDescent="0.25">
      <c r="A163" s="58" t="s">
        <v>750</v>
      </c>
      <c r="B163" s="11">
        <v>7916</v>
      </c>
      <c r="C163" s="43" t="s">
        <v>1401</v>
      </c>
      <c r="D163" s="11" t="s">
        <v>1411</v>
      </c>
      <c r="E163" s="61" t="s">
        <v>67</v>
      </c>
      <c r="F163" s="11" t="s">
        <v>1418</v>
      </c>
      <c r="G163" s="10">
        <v>67</v>
      </c>
      <c r="H163" s="11">
        <v>0</v>
      </c>
      <c r="I163" s="11" t="s">
        <v>1419</v>
      </c>
      <c r="J163" s="11" t="s">
        <v>1420</v>
      </c>
      <c r="K163" s="72" t="s">
        <v>8</v>
      </c>
      <c r="L163" s="11" t="s">
        <v>1168</v>
      </c>
      <c r="M163" s="11" t="s">
        <v>94</v>
      </c>
      <c r="N163" s="60" t="s">
        <v>98</v>
      </c>
      <c r="O163" s="49" t="s">
        <v>2</v>
      </c>
      <c r="P163" s="11">
        <v>4</v>
      </c>
      <c r="Q163" s="11" t="s">
        <v>1489</v>
      </c>
      <c r="R163" s="11" t="s">
        <v>1422</v>
      </c>
      <c r="S163" t="str">
        <f>IFERROR(HYPERLINK("#Main!A"&amp;MATCH(A163,Main!A:A,0),"Open"),HYPERLINK("#Main!A1","Open"))</f>
        <v>Open</v>
      </c>
      <c r="T163" t="str">
        <f>IFERROR(HYPERLINK("#Technical!A"&amp;MATCH(A163,Technical!A:A,0),"Open"),HYPERLINK("#Technical!A1","Open"))</f>
        <v>Open</v>
      </c>
    </row>
    <row r="164" spans="1:21" ht="30" customHeight="1" x14ac:dyDescent="0.25">
      <c r="A164" s="59" t="s">
        <v>750</v>
      </c>
      <c r="B164" s="8">
        <v>7916</v>
      </c>
      <c r="C164" s="43" t="s">
        <v>1401</v>
      </c>
      <c r="D164" s="8" t="s">
        <v>1411</v>
      </c>
      <c r="E164" s="61" t="s">
        <v>67</v>
      </c>
      <c r="F164" s="8" t="s">
        <v>1412</v>
      </c>
      <c r="G164" s="36">
        <v>67</v>
      </c>
      <c r="H164" s="8">
        <v>155</v>
      </c>
      <c r="I164" s="8" t="s">
        <v>1413</v>
      </c>
      <c r="J164" s="8" t="s">
        <v>1414</v>
      </c>
      <c r="K164" s="71" t="s">
        <v>8</v>
      </c>
      <c r="L164" s="8" t="s">
        <v>1164</v>
      </c>
      <c r="M164" s="8" t="s">
        <v>94</v>
      </c>
      <c r="N164" s="60" t="s">
        <v>98</v>
      </c>
      <c r="O164" s="49" t="s">
        <v>2</v>
      </c>
      <c r="P164" s="8">
        <v>4</v>
      </c>
      <c r="Q164" s="8" t="s">
        <v>1490</v>
      </c>
      <c r="R164" s="8" t="s">
        <v>1416</v>
      </c>
      <c r="S164" s="9" t="str">
        <f>IFERROR(HYPERLINK("#Main!A"&amp;MATCH(A164,Main!A:A,0),"Open"),HYPERLINK("#Main!A1","Open"))</f>
        <v>Open</v>
      </c>
      <c r="T164" s="9" t="str">
        <f>IFERROR(HYPERLINK("#Technical!A"&amp;MATCH(A164,Technical!A:A,0),"Open"),HYPERLINK("#Technical!A1","Open"))</f>
        <v>Open</v>
      </c>
      <c r="U164" s="9"/>
    </row>
    <row r="165" spans="1:21" ht="30" customHeight="1" x14ac:dyDescent="0.25">
      <c r="A165" s="58" t="s">
        <v>758</v>
      </c>
      <c r="B165" s="11">
        <v>17000</v>
      </c>
      <c r="C165" s="43" t="s">
        <v>1403</v>
      </c>
      <c r="D165" s="11" t="s">
        <v>1411</v>
      </c>
      <c r="E165" s="61" t="s">
        <v>67</v>
      </c>
      <c r="F165" s="11" t="s">
        <v>1418</v>
      </c>
      <c r="G165" s="10">
        <v>67</v>
      </c>
      <c r="H165" s="11">
        <v>0</v>
      </c>
      <c r="I165" s="11" t="s">
        <v>1419</v>
      </c>
      <c r="J165" s="11" t="s">
        <v>1420</v>
      </c>
      <c r="K165" s="72" t="s">
        <v>8</v>
      </c>
      <c r="L165" s="11" t="s">
        <v>1168</v>
      </c>
      <c r="M165" s="11" t="s">
        <v>94</v>
      </c>
      <c r="N165" s="60" t="s">
        <v>98</v>
      </c>
      <c r="O165" s="49" t="s">
        <v>2</v>
      </c>
      <c r="P165" s="11">
        <v>4</v>
      </c>
      <c r="Q165" s="11" t="s">
        <v>1491</v>
      </c>
      <c r="R165" s="11" t="s">
        <v>1422</v>
      </c>
      <c r="S165" t="str">
        <f>IFERROR(HYPERLINK("#Main!A"&amp;MATCH(A165,Main!A:A,0),"Open"),HYPERLINK("#Main!A1","Open"))</f>
        <v>Open</v>
      </c>
      <c r="T165" t="str">
        <f>IFERROR(HYPERLINK("#Technical!A"&amp;MATCH(A165,Technical!A:A,0),"Open"),HYPERLINK("#Technical!A1","Open"))</f>
        <v>Open</v>
      </c>
    </row>
    <row r="166" spans="1:21" ht="30" customHeight="1" x14ac:dyDescent="0.25">
      <c r="A166" s="59" t="s">
        <v>758</v>
      </c>
      <c r="B166" s="8">
        <v>17000</v>
      </c>
      <c r="C166" s="43" t="s">
        <v>1403</v>
      </c>
      <c r="D166" s="8" t="s">
        <v>1411</v>
      </c>
      <c r="E166" s="61" t="s">
        <v>67</v>
      </c>
      <c r="F166" s="8" t="s">
        <v>1412</v>
      </c>
      <c r="G166" s="36">
        <v>67</v>
      </c>
      <c r="H166" s="8">
        <v>23</v>
      </c>
      <c r="I166" s="8" t="s">
        <v>1413</v>
      </c>
      <c r="J166" s="8" t="s">
        <v>1414</v>
      </c>
      <c r="K166" s="71" t="s">
        <v>8</v>
      </c>
      <c r="L166" s="8" t="s">
        <v>1164</v>
      </c>
      <c r="M166" s="8" t="s">
        <v>94</v>
      </c>
      <c r="N166" s="60" t="s">
        <v>98</v>
      </c>
      <c r="O166" s="49" t="s">
        <v>2</v>
      </c>
      <c r="P166" s="8">
        <v>4</v>
      </c>
      <c r="Q166" s="8" t="s">
        <v>1492</v>
      </c>
      <c r="R166" s="8" t="s">
        <v>1416</v>
      </c>
      <c r="S166" s="9" t="str">
        <f>IFERROR(HYPERLINK("#Main!A"&amp;MATCH(A166,Main!A:A,0),"Open"),HYPERLINK("#Main!A1","Open"))</f>
        <v>Open</v>
      </c>
      <c r="T166" s="9" t="str">
        <f>IFERROR(HYPERLINK("#Technical!A"&amp;MATCH(A166,Technical!A:A,0),"Open"),HYPERLINK("#Technical!A1","Open"))</f>
        <v>Open</v>
      </c>
      <c r="U166" s="9"/>
    </row>
    <row r="167" spans="1:21" ht="30" customHeight="1" x14ac:dyDescent="0.25">
      <c r="A167" s="58" t="s">
        <v>766</v>
      </c>
      <c r="B167" s="11">
        <v>17196</v>
      </c>
      <c r="C167" s="43" t="s">
        <v>1405</v>
      </c>
      <c r="D167" s="11" t="s">
        <v>1411</v>
      </c>
      <c r="E167" s="61" t="s">
        <v>67</v>
      </c>
      <c r="F167" s="11" t="s">
        <v>1418</v>
      </c>
      <c r="G167" s="10">
        <v>67</v>
      </c>
      <c r="H167" s="11">
        <v>0</v>
      </c>
      <c r="I167" s="11" t="s">
        <v>1419</v>
      </c>
      <c r="J167" s="11" t="s">
        <v>1420</v>
      </c>
      <c r="K167" s="72" t="s">
        <v>8</v>
      </c>
      <c r="L167" s="11" t="s">
        <v>1168</v>
      </c>
      <c r="M167" s="11" t="s">
        <v>94</v>
      </c>
      <c r="N167" s="60" t="s">
        <v>98</v>
      </c>
      <c r="O167" s="49" t="s">
        <v>2</v>
      </c>
      <c r="P167" s="11">
        <v>4</v>
      </c>
      <c r="Q167" s="11" t="s">
        <v>1493</v>
      </c>
      <c r="R167" s="11" t="s">
        <v>1422</v>
      </c>
      <c r="S167" t="str">
        <f>IFERROR(HYPERLINK("#Main!A"&amp;MATCH(A167,Main!A:A,0),"Open"),HYPERLINK("#Main!A1","Open"))</f>
        <v>Open</v>
      </c>
      <c r="T167" t="str">
        <f>IFERROR(HYPERLINK("#Technical!A"&amp;MATCH(A167,Technical!A:A,0),"Open"),HYPERLINK("#Technical!A1","Open"))</f>
        <v>Open</v>
      </c>
    </row>
    <row r="168" spans="1:21" ht="30" customHeight="1" x14ac:dyDescent="0.25">
      <c r="A168" s="59" t="s">
        <v>766</v>
      </c>
      <c r="B168" s="8">
        <v>17196</v>
      </c>
      <c r="C168" s="43" t="s">
        <v>1405</v>
      </c>
      <c r="D168" s="8" t="s">
        <v>1411</v>
      </c>
      <c r="E168" s="61" t="s">
        <v>67</v>
      </c>
      <c r="F168" s="8" t="s">
        <v>1412</v>
      </c>
      <c r="G168" s="36">
        <v>67</v>
      </c>
      <c r="H168" s="8">
        <v>23</v>
      </c>
      <c r="I168" s="8" t="s">
        <v>1413</v>
      </c>
      <c r="J168" s="8" t="s">
        <v>1414</v>
      </c>
      <c r="K168" s="71" t="s">
        <v>8</v>
      </c>
      <c r="L168" s="8" t="s">
        <v>1164</v>
      </c>
      <c r="M168" s="8" t="s">
        <v>94</v>
      </c>
      <c r="N168" s="60" t="s">
        <v>98</v>
      </c>
      <c r="O168" s="49" t="s">
        <v>2</v>
      </c>
      <c r="P168" s="8">
        <v>4</v>
      </c>
      <c r="Q168" s="8" t="s">
        <v>1494</v>
      </c>
      <c r="R168" s="8" t="s">
        <v>1416</v>
      </c>
      <c r="S168" s="9" t="str">
        <f>IFERROR(HYPERLINK("#Main!A"&amp;MATCH(A168,Main!A:A,0),"Open"),HYPERLINK("#Main!A1","Open"))</f>
        <v>Open</v>
      </c>
      <c r="T168" s="9" t="str">
        <f>IFERROR(HYPERLINK("#Technical!A"&amp;MATCH(A168,Technical!A:A,0),"Open"),HYPERLINK("#Technical!A1","Open"))</f>
        <v>Open</v>
      </c>
      <c r="U168" s="9"/>
    </row>
    <row r="169" spans="1:21" ht="30" customHeight="1" x14ac:dyDescent="0.25">
      <c r="A169" s="58" t="s">
        <v>774</v>
      </c>
      <c r="B169" s="11">
        <v>4909</v>
      </c>
      <c r="C169" s="43" t="s">
        <v>1407</v>
      </c>
      <c r="D169" s="11" t="s">
        <v>1411</v>
      </c>
      <c r="E169" s="61" t="s">
        <v>67</v>
      </c>
      <c r="F169" s="11" t="s">
        <v>1418</v>
      </c>
      <c r="G169" s="10">
        <v>67</v>
      </c>
      <c r="H169" s="11">
        <v>0</v>
      </c>
      <c r="I169" s="11" t="s">
        <v>1419</v>
      </c>
      <c r="J169" s="11" t="s">
        <v>1420</v>
      </c>
      <c r="K169" s="72" t="s">
        <v>8</v>
      </c>
      <c r="L169" s="11" t="s">
        <v>1168</v>
      </c>
      <c r="M169" s="11" t="s">
        <v>94</v>
      </c>
      <c r="N169" s="60" t="s">
        <v>98</v>
      </c>
      <c r="O169" s="49" t="s">
        <v>2</v>
      </c>
      <c r="P169" s="11">
        <v>4</v>
      </c>
      <c r="Q169" s="11" t="s">
        <v>1495</v>
      </c>
      <c r="R169" s="11" t="s">
        <v>1422</v>
      </c>
      <c r="S169" t="str">
        <f>IFERROR(HYPERLINK("#Main!A"&amp;MATCH(A169,Main!A:A,0),"Open"),HYPERLINK("#Main!A1","Open"))</f>
        <v>Open</v>
      </c>
      <c r="T169" t="str">
        <f>IFERROR(HYPERLINK("#Technical!A"&amp;MATCH(A169,Technical!A:A,0),"Open"),HYPERLINK("#Technical!A1","Open"))</f>
        <v>Open</v>
      </c>
    </row>
    <row r="170" spans="1:21" ht="30" customHeight="1" x14ac:dyDescent="0.25">
      <c r="A170" s="59" t="s">
        <v>774</v>
      </c>
      <c r="B170" s="8">
        <v>4909</v>
      </c>
      <c r="C170" s="43" t="s">
        <v>1407</v>
      </c>
      <c r="D170" s="8" t="s">
        <v>1411</v>
      </c>
      <c r="E170" s="61" t="s">
        <v>67</v>
      </c>
      <c r="F170" s="8" t="s">
        <v>1412</v>
      </c>
      <c r="G170" s="36">
        <v>67</v>
      </c>
      <c r="H170" s="8">
        <v>78</v>
      </c>
      <c r="I170" s="8" t="s">
        <v>1413</v>
      </c>
      <c r="J170" s="8" t="s">
        <v>1414</v>
      </c>
      <c r="K170" s="71" t="s">
        <v>8</v>
      </c>
      <c r="L170" s="8" t="s">
        <v>1164</v>
      </c>
      <c r="M170" s="8" t="s">
        <v>94</v>
      </c>
      <c r="N170" s="60" t="s">
        <v>98</v>
      </c>
      <c r="O170" s="49" t="s">
        <v>2</v>
      </c>
      <c r="P170" s="8">
        <v>4</v>
      </c>
      <c r="Q170" s="8" t="s">
        <v>1496</v>
      </c>
      <c r="R170" s="8" t="s">
        <v>1416</v>
      </c>
      <c r="S170" s="9" t="str">
        <f>IFERROR(HYPERLINK("#Main!A"&amp;MATCH(A170,Main!A:A,0),"Open"),HYPERLINK("#Main!A1","Open"))</f>
        <v>Open</v>
      </c>
      <c r="T170" s="9" t="str">
        <f>IFERROR(HYPERLINK("#Technical!A"&amp;MATCH(A170,Technical!A:A,0),"Open"),HYPERLINK("#Technical!A1","Open"))</f>
        <v>Open</v>
      </c>
      <c r="U170" s="9"/>
    </row>
    <row r="171" spans="1:21" ht="30" customHeight="1" x14ac:dyDescent="0.25">
      <c r="A171" s="58" t="s">
        <v>782</v>
      </c>
      <c r="B171" s="11">
        <v>5290</v>
      </c>
      <c r="C171" s="43" t="s">
        <v>1409</v>
      </c>
      <c r="D171" s="11" t="s">
        <v>1411</v>
      </c>
      <c r="E171" s="61" t="s">
        <v>67</v>
      </c>
      <c r="F171" s="11" t="s">
        <v>1418</v>
      </c>
      <c r="G171" s="10">
        <v>67</v>
      </c>
      <c r="H171" s="11">
        <v>0</v>
      </c>
      <c r="I171" s="11" t="s">
        <v>1419</v>
      </c>
      <c r="J171" s="11" t="s">
        <v>1420</v>
      </c>
      <c r="K171" s="72" t="s">
        <v>8</v>
      </c>
      <c r="L171" s="11" t="s">
        <v>1168</v>
      </c>
      <c r="M171" s="11" t="s">
        <v>94</v>
      </c>
      <c r="N171" s="60" t="s">
        <v>98</v>
      </c>
      <c r="O171" s="49" t="s">
        <v>2</v>
      </c>
      <c r="P171" s="11">
        <v>4</v>
      </c>
      <c r="Q171" s="11" t="s">
        <v>1497</v>
      </c>
      <c r="R171" s="11" t="s">
        <v>1422</v>
      </c>
      <c r="S171" t="str">
        <f>IFERROR(HYPERLINK("#Main!A"&amp;MATCH(A171,Main!A:A,0),"Open"),HYPERLINK("#Main!A1","Open"))</f>
        <v>Open</v>
      </c>
      <c r="T171" t="str">
        <f>IFERROR(HYPERLINK("#Technical!A"&amp;MATCH(A171,Technical!A:A,0),"Open"),HYPERLINK("#Technical!A1","Open"))</f>
        <v>Open</v>
      </c>
    </row>
    <row r="172" spans="1:21" ht="45" customHeight="1" x14ac:dyDescent="0.25">
      <c r="A172" s="59" t="s">
        <v>140</v>
      </c>
      <c r="B172" s="8">
        <v>8</v>
      </c>
      <c r="C172" s="43" t="s">
        <v>1243</v>
      </c>
      <c r="D172" s="8" t="s">
        <v>1498</v>
      </c>
      <c r="E172" s="61" t="s">
        <v>67</v>
      </c>
      <c r="F172" s="8" t="s">
        <v>1499</v>
      </c>
      <c r="G172" s="36">
        <v>67</v>
      </c>
      <c r="H172" s="8">
        <v>0</v>
      </c>
      <c r="I172" s="8" t="s">
        <v>1500</v>
      </c>
      <c r="J172" s="8" t="s">
        <v>1501</v>
      </c>
      <c r="K172" s="71" t="s">
        <v>10</v>
      </c>
      <c r="L172" s="8" t="s">
        <v>1194</v>
      </c>
      <c r="M172" s="8" t="s">
        <v>94</v>
      </c>
      <c r="N172" s="60" t="s">
        <v>98</v>
      </c>
      <c r="O172" s="49" t="s">
        <v>2</v>
      </c>
      <c r="P172" s="8">
        <v>4</v>
      </c>
      <c r="Q172" s="8" t="s">
        <v>1502</v>
      </c>
      <c r="R172" s="8" t="s">
        <v>1503</v>
      </c>
      <c r="S172" s="9" t="str">
        <f>IFERROR(HYPERLINK("#Main!A"&amp;MATCH(A172,Main!A:A,0),"Open"),HYPERLINK("#Main!A1","Open"))</f>
        <v>Open</v>
      </c>
      <c r="T172" s="9" t="str">
        <f>IFERROR(HYPERLINK("#Technical!A"&amp;MATCH(A172,Technical!A:A,0),"Open"),HYPERLINK("#Technical!A1","Open"))</f>
        <v>Open</v>
      </c>
      <c r="U172" s="9"/>
    </row>
    <row r="173" spans="1:21" ht="45" customHeight="1" x14ac:dyDescent="0.25">
      <c r="A173" s="58" t="s">
        <v>148</v>
      </c>
      <c r="B173" s="11">
        <v>84</v>
      </c>
      <c r="C173" s="43" t="s">
        <v>1249</v>
      </c>
      <c r="D173" s="11" t="s">
        <v>1498</v>
      </c>
      <c r="E173" s="61" t="s">
        <v>67</v>
      </c>
      <c r="F173" s="11" t="s">
        <v>1499</v>
      </c>
      <c r="G173" s="10">
        <v>67</v>
      </c>
      <c r="H173" s="11">
        <v>0</v>
      </c>
      <c r="I173" s="11" t="s">
        <v>1500</v>
      </c>
      <c r="J173" s="11" t="s">
        <v>1501</v>
      </c>
      <c r="K173" s="72" t="s">
        <v>10</v>
      </c>
      <c r="L173" s="11" t="s">
        <v>1194</v>
      </c>
      <c r="M173" s="11" t="s">
        <v>94</v>
      </c>
      <c r="N173" s="60" t="s">
        <v>98</v>
      </c>
      <c r="O173" s="49" t="s">
        <v>2</v>
      </c>
      <c r="P173" s="11">
        <v>4</v>
      </c>
      <c r="Q173" s="11" t="s">
        <v>1504</v>
      </c>
      <c r="R173" s="11" t="s">
        <v>1503</v>
      </c>
      <c r="S173" t="str">
        <f>IFERROR(HYPERLINK("#Main!A"&amp;MATCH(A173,Main!A:A,0),"Open"),HYPERLINK("#Main!A1","Open"))</f>
        <v>Open</v>
      </c>
      <c r="T173" t="str">
        <f>IFERROR(HYPERLINK("#Technical!A"&amp;MATCH(A173,Technical!A:A,0),"Open"),HYPERLINK("#Technical!A1","Open"))</f>
        <v>Open</v>
      </c>
    </row>
    <row r="174" spans="1:21" ht="45" customHeight="1" x14ac:dyDescent="0.25">
      <c r="A174" s="59" t="s">
        <v>156</v>
      </c>
      <c r="B174" s="8">
        <v>28165</v>
      </c>
      <c r="C174" s="43" t="s">
        <v>1251</v>
      </c>
      <c r="D174" s="8" t="s">
        <v>1498</v>
      </c>
      <c r="E174" s="61" t="s">
        <v>67</v>
      </c>
      <c r="F174" s="8" t="s">
        <v>1499</v>
      </c>
      <c r="G174" s="36">
        <v>67</v>
      </c>
      <c r="H174" s="8">
        <v>0</v>
      </c>
      <c r="I174" s="8" t="s">
        <v>1500</v>
      </c>
      <c r="J174" s="8" t="s">
        <v>1501</v>
      </c>
      <c r="K174" s="71" t="s">
        <v>10</v>
      </c>
      <c r="L174" s="8" t="s">
        <v>1194</v>
      </c>
      <c r="M174" s="8" t="s">
        <v>94</v>
      </c>
      <c r="N174" s="60" t="s">
        <v>98</v>
      </c>
      <c r="O174" s="49" t="s">
        <v>2</v>
      </c>
      <c r="P174" s="8">
        <v>4</v>
      </c>
      <c r="Q174" s="8" t="s">
        <v>1505</v>
      </c>
      <c r="R174" s="8" t="s">
        <v>1503</v>
      </c>
      <c r="S174" s="9" t="str">
        <f>IFERROR(HYPERLINK("#Main!A"&amp;MATCH(A174,Main!A:A,0),"Open"),HYPERLINK("#Main!A1","Open"))</f>
        <v>Open</v>
      </c>
      <c r="T174" s="9" t="str">
        <f>IFERROR(HYPERLINK("#Technical!A"&amp;MATCH(A174,Technical!A:A,0),"Open"),HYPERLINK("#Technical!A1","Open"))</f>
        <v>Open</v>
      </c>
      <c r="U174" s="9"/>
    </row>
    <row r="175" spans="1:21" ht="45" customHeight="1" x14ac:dyDescent="0.25">
      <c r="A175" s="58" t="s">
        <v>164</v>
      </c>
      <c r="B175" s="11">
        <v>16125</v>
      </c>
      <c r="C175" s="43" t="s">
        <v>1253</v>
      </c>
      <c r="D175" s="11" t="s">
        <v>1498</v>
      </c>
      <c r="E175" s="61" t="s">
        <v>67</v>
      </c>
      <c r="F175" s="11" t="s">
        <v>1499</v>
      </c>
      <c r="G175" s="10">
        <v>67</v>
      </c>
      <c r="H175" s="11">
        <v>0</v>
      </c>
      <c r="I175" s="11" t="s">
        <v>1500</v>
      </c>
      <c r="J175" s="11" t="s">
        <v>1501</v>
      </c>
      <c r="K175" s="72" t="s">
        <v>10</v>
      </c>
      <c r="L175" s="11" t="s">
        <v>1194</v>
      </c>
      <c r="M175" s="11" t="s">
        <v>94</v>
      </c>
      <c r="N175" s="60" t="s">
        <v>98</v>
      </c>
      <c r="O175" s="49" t="s">
        <v>2</v>
      </c>
      <c r="P175" s="11">
        <v>4</v>
      </c>
      <c r="Q175" s="11" t="s">
        <v>1506</v>
      </c>
      <c r="R175" s="11" t="s">
        <v>1503</v>
      </c>
      <c r="S175" t="str">
        <f>IFERROR(HYPERLINK("#Main!A"&amp;MATCH(A175,Main!A:A,0),"Open"),HYPERLINK("#Main!A1","Open"))</f>
        <v>Open</v>
      </c>
      <c r="T175" t="str">
        <f>IFERROR(HYPERLINK("#Technical!A"&amp;MATCH(A175,Technical!A:A,0),"Open"),HYPERLINK("#Technical!A1","Open"))</f>
        <v>Open</v>
      </c>
    </row>
    <row r="176" spans="1:21" ht="45" customHeight="1" x14ac:dyDescent="0.25">
      <c r="A176" s="59" t="s">
        <v>172</v>
      </c>
      <c r="B176" s="8">
        <v>5619</v>
      </c>
      <c r="C176" s="43" t="s">
        <v>1255</v>
      </c>
      <c r="D176" s="8" t="s">
        <v>1498</v>
      </c>
      <c r="E176" s="61" t="s">
        <v>67</v>
      </c>
      <c r="F176" s="8" t="s">
        <v>1499</v>
      </c>
      <c r="G176" s="36">
        <v>67</v>
      </c>
      <c r="H176" s="8">
        <v>0</v>
      </c>
      <c r="I176" s="8" t="s">
        <v>1500</v>
      </c>
      <c r="J176" s="8" t="s">
        <v>1501</v>
      </c>
      <c r="K176" s="71" t="s">
        <v>10</v>
      </c>
      <c r="L176" s="8" t="s">
        <v>1194</v>
      </c>
      <c r="M176" s="8" t="s">
        <v>94</v>
      </c>
      <c r="N176" s="60" t="s">
        <v>98</v>
      </c>
      <c r="O176" s="49" t="s">
        <v>2</v>
      </c>
      <c r="P176" s="8">
        <v>4</v>
      </c>
      <c r="Q176" s="8" t="s">
        <v>1507</v>
      </c>
      <c r="R176" s="8" t="s">
        <v>1503</v>
      </c>
      <c r="S176" s="9" t="str">
        <f>IFERROR(HYPERLINK("#Main!A"&amp;MATCH(A176,Main!A:A,0),"Open"),HYPERLINK("#Main!A1","Open"))</f>
        <v>Open</v>
      </c>
      <c r="T176" s="9" t="str">
        <f>IFERROR(HYPERLINK("#Technical!A"&amp;MATCH(A176,Technical!A:A,0),"Open"),HYPERLINK("#Technical!A1","Open"))</f>
        <v>Open</v>
      </c>
      <c r="U176" s="9"/>
    </row>
    <row r="177" spans="1:21" ht="45" customHeight="1" x14ac:dyDescent="0.25">
      <c r="A177" s="58" t="s">
        <v>180</v>
      </c>
      <c r="B177" s="11">
        <v>4941</v>
      </c>
      <c r="C177" s="43" t="s">
        <v>1257</v>
      </c>
      <c r="D177" s="11" t="s">
        <v>1498</v>
      </c>
      <c r="E177" s="61" t="s">
        <v>67</v>
      </c>
      <c r="F177" s="11" t="s">
        <v>1499</v>
      </c>
      <c r="G177" s="10">
        <v>67</v>
      </c>
      <c r="H177" s="11">
        <v>0</v>
      </c>
      <c r="I177" s="11" t="s">
        <v>1500</v>
      </c>
      <c r="J177" s="11" t="s">
        <v>1501</v>
      </c>
      <c r="K177" s="72" t="s">
        <v>10</v>
      </c>
      <c r="L177" s="11" t="s">
        <v>1194</v>
      </c>
      <c r="M177" s="11" t="s">
        <v>94</v>
      </c>
      <c r="N177" s="60" t="s">
        <v>98</v>
      </c>
      <c r="O177" s="49" t="s">
        <v>2</v>
      </c>
      <c r="P177" s="11">
        <v>4</v>
      </c>
      <c r="Q177" s="11" t="s">
        <v>1508</v>
      </c>
      <c r="R177" s="11" t="s">
        <v>1503</v>
      </c>
      <c r="S177" t="str">
        <f>IFERROR(HYPERLINK("#Main!A"&amp;MATCH(A177,Main!A:A,0),"Open"),HYPERLINK("#Main!A1","Open"))</f>
        <v>Open</v>
      </c>
      <c r="T177" t="str">
        <f>IFERROR(HYPERLINK("#Technical!A"&amp;MATCH(A177,Technical!A:A,0),"Open"),HYPERLINK("#Technical!A1","Open"))</f>
        <v>Open</v>
      </c>
    </row>
    <row r="178" spans="1:21" ht="45" customHeight="1" x14ac:dyDescent="0.25">
      <c r="A178" s="59" t="s">
        <v>188</v>
      </c>
      <c r="B178" s="8">
        <v>4494</v>
      </c>
      <c r="C178" s="43" t="s">
        <v>1259</v>
      </c>
      <c r="D178" s="8" t="s">
        <v>1498</v>
      </c>
      <c r="E178" s="61" t="s">
        <v>67</v>
      </c>
      <c r="F178" s="8" t="s">
        <v>1499</v>
      </c>
      <c r="G178" s="36">
        <v>67</v>
      </c>
      <c r="H178" s="8">
        <v>0</v>
      </c>
      <c r="I178" s="8" t="s">
        <v>1500</v>
      </c>
      <c r="J178" s="8" t="s">
        <v>1501</v>
      </c>
      <c r="K178" s="71" t="s">
        <v>10</v>
      </c>
      <c r="L178" s="8" t="s">
        <v>1194</v>
      </c>
      <c r="M178" s="8" t="s">
        <v>94</v>
      </c>
      <c r="N178" s="60" t="s">
        <v>98</v>
      </c>
      <c r="O178" s="49" t="s">
        <v>2</v>
      </c>
      <c r="P178" s="8">
        <v>4</v>
      </c>
      <c r="Q178" s="8" t="s">
        <v>1509</v>
      </c>
      <c r="R178" s="8" t="s">
        <v>1503</v>
      </c>
      <c r="S178" s="9" t="str">
        <f>IFERROR(HYPERLINK("#Main!A"&amp;MATCH(A178,Main!A:A,0),"Open"),HYPERLINK("#Main!A1","Open"))</f>
        <v>Open</v>
      </c>
      <c r="T178" s="9" t="str">
        <f>IFERROR(HYPERLINK("#Technical!A"&amp;MATCH(A178,Technical!A:A,0),"Open"),HYPERLINK("#Technical!A1","Open"))</f>
        <v>Open</v>
      </c>
      <c r="U178" s="9"/>
    </row>
    <row r="179" spans="1:21" ht="45" customHeight="1" x14ac:dyDescent="0.25">
      <c r="A179" s="58" t="s">
        <v>196</v>
      </c>
      <c r="B179" s="11">
        <v>12371</v>
      </c>
      <c r="C179" s="43" t="s">
        <v>1261</v>
      </c>
      <c r="D179" s="11" t="s">
        <v>1498</v>
      </c>
      <c r="E179" s="61" t="s">
        <v>67</v>
      </c>
      <c r="F179" s="11" t="s">
        <v>1499</v>
      </c>
      <c r="G179" s="10">
        <v>67</v>
      </c>
      <c r="H179" s="11">
        <v>0</v>
      </c>
      <c r="I179" s="11" t="s">
        <v>1500</v>
      </c>
      <c r="J179" s="11" t="s">
        <v>1501</v>
      </c>
      <c r="K179" s="72" t="s">
        <v>10</v>
      </c>
      <c r="L179" s="11" t="s">
        <v>1194</v>
      </c>
      <c r="M179" s="11" t="s">
        <v>94</v>
      </c>
      <c r="N179" s="60" t="s">
        <v>98</v>
      </c>
      <c r="O179" s="49" t="s">
        <v>2</v>
      </c>
      <c r="P179" s="11">
        <v>4</v>
      </c>
      <c r="Q179" s="11" t="s">
        <v>1510</v>
      </c>
      <c r="R179" s="11" t="s">
        <v>1503</v>
      </c>
      <c r="S179" t="str">
        <f>IFERROR(HYPERLINK("#Main!A"&amp;MATCH(A179,Main!A:A,0),"Open"),HYPERLINK("#Main!A1","Open"))</f>
        <v>Open</v>
      </c>
      <c r="T179" t="str">
        <f>IFERROR(HYPERLINK("#Technical!A"&amp;MATCH(A179,Technical!A:A,0),"Open"),HYPERLINK("#Technical!A1","Open"))</f>
        <v>Open</v>
      </c>
    </row>
    <row r="180" spans="1:21" ht="45" customHeight="1" x14ac:dyDescent="0.25">
      <c r="A180" s="59" t="s">
        <v>99</v>
      </c>
      <c r="B180" s="8">
        <v>13164</v>
      </c>
      <c r="C180" s="43" t="s">
        <v>1230</v>
      </c>
      <c r="D180" s="8" t="s">
        <v>1498</v>
      </c>
      <c r="E180" s="61" t="s">
        <v>67</v>
      </c>
      <c r="F180" s="8" t="s">
        <v>1499</v>
      </c>
      <c r="G180" s="36">
        <v>67</v>
      </c>
      <c r="H180" s="8">
        <v>0</v>
      </c>
      <c r="I180" s="8" t="s">
        <v>1500</v>
      </c>
      <c r="J180" s="8" t="s">
        <v>1501</v>
      </c>
      <c r="K180" s="71" t="s">
        <v>10</v>
      </c>
      <c r="L180" s="8" t="s">
        <v>1194</v>
      </c>
      <c r="M180" s="8" t="s">
        <v>94</v>
      </c>
      <c r="N180" s="60" t="s">
        <v>98</v>
      </c>
      <c r="O180" s="49" t="s">
        <v>2</v>
      </c>
      <c r="P180" s="8">
        <v>4</v>
      </c>
      <c r="Q180" s="8" t="s">
        <v>1511</v>
      </c>
      <c r="R180" s="8" t="s">
        <v>1503</v>
      </c>
      <c r="S180" s="9" t="str">
        <f>IFERROR(HYPERLINK("#Main!A"&amp;MATCH(A180,Main!A:A,0),"Open"),HYPERLINK("#Main!A1","Open"))</f>
        <v>Open</v>
      </c>
      <c r="T180" s="9" t="str">
        <f>IFERROR(HYPERLINK("#Technical!A"&amp;MATCH(A180,Technical!A:A,0),"Open"),HYPERLINK("#Technical!A1","Open"))</f>
        <v>Open</v>
      </c>
      <c r="U180" s="9"/>
    </row>
    <row r="181" spans="1:21" ht="45" customHeight="1" x14ac:dyDescent="0.25">
      <c r="A181" s="58" t="s">
        <v>210</v>
      </c>
      <c r="B181" s="11">
        <v>12954</v>
      </c>
      <c r="C181" s="43" t="s">
        <v>1264</v>
      </c>
      <c r="D181" s="11" t="s">
        <v>1498</v>
      </c>
      <c r="E181" s="61" t="s">
        <v>67</v>
      </c>
      <c r="F181" s="11" t="s">
        <v>1499</v>
      </c>
      <c r="G181" s="10">
        <v>67</v>
      </c>
      <c r="H181" s="11">
        <v>0</v>
      </c>
      <c r="I181" s="11" t="s">
        <v>1500</v>
      </c>
      <c r="J181" s="11" t="s">
        <v>1501</v>
      </c>
      <c r="K181" s="72" t="s">
        <v>10</v>
      </c>
      <c r="L181" s="11" t="s">
        <v>1194</v>
      </c>
      <c r="M181" s="11" t="s">
        <v>94</v>
      </c>
      <c r="N181" s="60" t="s">
        <v>98</v>
      </c>
      <c r="O181" s="49" t="s">
        <v>2</v>
      </c>
      <c r="P181" s="11">
        <v>4</v>
      </c>
      <c r="Q181" s="11" t="s">
        <v>1512</v>
      </c>
      <c r="R181" s="11" t="s">
        <v>1503</v>
      </c>
      <c r="S181" t="str">
        <f>IFERROR(HYPERLINK("#Main!A"&amp;MATCH(A181,Main!A:A,0),"Open"),HYPERLINK("#Main!A1","Open"))</f>
        <v>Open</v>
      </c>
      <c r="T181" t="str">
        <f>IFERROR(HYPERLINK("#Technical!A"&amp;MATCH(A181,Technical!A:A,0),"Open"),HYPERLINK("#Technical!A1","Open"))</f>
        <v>Open</v>
      </c>
    </row>
    <row r="182" spans="1:21" ht="45" customHeight="1" x14ac:dyDescent="0.25">
      <c r="A182" s="59" t="s">
        <v>218</v>
      </c>
      <c r="B182" s="8">
        <v>12497</v>
      </c>
      <c r="C182" s="43" t="s">
        <v>1266</v>
      </c>
      <c r="D182" s="8" t="s">
        <v>1498</v>
      </c>
      <c r="E182" s="61" t="s">
        <v>67</v>
      </c>
      <c r="F182" s="8" t="s">
        <v>1499</v>
      </c>
      <c r="G182" s="36">
        <v>67</v>
      </c>
      <c r="H182" s="8">
        <v>0</v>
      </c>
      <c r="I182" s="8" t="s">
        <v>1500</v>
      </c>
      <c r="J182" s="8" t="s">
        <v>1501</v>
      </c>
      <c r="K182" s="71" t="s">
        <v>10</v>
      </c>
      <c r="L182" s="8" t="s">
        <v>1194</v>
      </c>
      <c r="M182" s="8" t="s">
        <v>94</v>
      </c>
      <c r="N182" s="60" t="s">
        <v>98</v>
      </c>
      <c r="O182" s="49" t="s">
        <v>2</v>
      </c>
      <c r="P182" s="8">
        <v>4</v>
      </c>
      <c r="Q182" s="8" t="s">
        <v>1513</v>
      </c>
      <c r="R182" s="8" t="s">
        <v>1503</v>
      </c>
      <c r="S182" s="9" t="str">
        <f>IFERROR(HYPERLINK("#Main!A"&amp;MATCH(A182,Main!A:A,0),"Open"),HYPERLINK("#Main!A1","Open"))</f>
        <v>Open</v>
      </c>
      <c r="T182" s="9" t="str">
        <f>IFERROR(HYPERLINK("#Technical!A"&amp;MATCH(A182,Technical!A:A,0),"Open"),HYPERLINK("#Technical!A1","Open"))</f>
        <v>Open</v>
      </c>
      <c r="U182" s="9"/>
    </row>
    <row r="183" spans="1:21" ht="45" customHeight="1" x14ac:dyDescent="0.25">
      <c r="A183" s="58" t="s">
        <v>226</v>
      </c>
      <c r="B183" s="11">
        <v>12407</v>
      </c>
      <c r="C183" s="43" t="s">
        <v>1268</v>
      </c>
      <c r="D183" s="11" t="s">
        <v>1498</v>
      </c>
      <c r="E183" s="61" t="s">
        <v>67</v>
      </c>
      <c r="F183" s="11" t="s">
        <v>1499</v>
      </c>
      <c r="G183" s="10">
        <v>67</v>
      </c>
      <c r="H183" s="11">
        <v>0</v>
      </c>
      <c r="I183" s="11" t="s">
        <v>1500</v>
      </c>
      <c r="J183" s="11" t="s">
        <v>1501</v>
      </c>
      <c r="K183" s="72" t="s">
        <v>10</v>
      </c>
      <c r="L183" s="11" t="s">
        <v>1194</v>
      </c>
      <c r="M183" s="11" t="s">
        <v>94</v>
      </c>
      <c r="N183" s="60" t="s">
        <v>98</v>
      </c>
      <c r="O183" s="49" t="s">
        <v>2</v>
      </c>
      <c r="P183" s="11">
        <v>4</v>
      </c>
      <c r="Q183" s="11" t="s">
        <v>1514</v>
      </c>
      <c r="R183" s="11" t="s">
        <v>1503</v>
      </c>
      <c r="S183" t="str">
        <f>IFERROR(HYPERLINK("#Main!A"&amp;MATCH(A183,Main!A:A,0),"Open"),HYPERLINK("#Main!A1","Open"))</f>
        <v>Open</v>
      </c>
      <c r="T183" t="str">
        <f>IFERROR(HYPERLINK("#Technical!A"&amp;MATCH(A183,Technical!A:A,0),"Open"),HYPERLINK("#Technical!A1","Open"))</f>
        <v>Open</v>
      </c>
    </row>
    <row r="184" spans="1:21" ht="45" customHeight="1" x14ac:dyDescent="0.25">
      <c r="A184" s="59" t="s">
        <v>234</v>
      </c>
      <c r="B184" s="8">
        <v>13098</v>
      </c>
      <c r="C184" s="43" t="s">
        <v>1270</v>
      </c>
      <c r="D184" s="8" t="s">
        <v>1498</v>
      </c>
      <c r="E184" s="61" t="s">
        <v>67</v>
      </c>
      <c r="F184" s="8" t="s">
        <v>1499</v>
      </c>
      <c r="G184" s="36">
        <v>67</v>
      </c>
      <c r="H184" s="8">
        <v>0</v>
      </c>
      <c r="I184" s="8" t="s">
        <v>1500</v>
      </c>
      <c r="J184" s="8" t="s">
        <v>1501</v>
      </c>
      <c r="K184" s="71" t="s">
        <v>10</v>
      </c>
      <c r="L184" s="8" t="s">
        <v>1194</v>
      </c>
      <c r="M184" s="8" t="s">
        <v>94</v>
      </c>
      <c r="N184" s="60" t="s">
        <v>98</v>
      </c>
      <c r="O184" s="49" t="s">
        <v>2</v>
      </c>
      <c r="P184" s="8">
        <v>4</v>
      </c>
      <c r="Q184" s="8" t="s">
        <v>1515</v>
      </c>
      <c r="R184" s="8" t="s">
        <v>1503</v>
      </c>
      <c r="S184" s="9" t="str">
        <f>IFERROR(HYPERLINK("#Main!A"&amp;MATCH(A184,Main!A:A,0),"Open"),HYPERLINK("#Main!A1","Open"))</f>
        <v>Open</v>
      </c>
      <c r="T184" s="9" t="str">
        <f>IFERROR(HYPERLINK("#Technical!A"&amp;MATCH(A184,Technical!A:A,0),"Open"),HYPERLINK("#Technical!A1","Open"))</f>
        <v>Open</v>
      </c>
      <c r="U184" s="9"/>
    </row>
    <row r="185" spans="1:21" ht="45" customHeight="1" x14ac:dyDescent="0.25">
      <c r="A185" s="58" t="s">
        <v>242</v>
      </c>
      <c r="B185" s="11">
        <v>13549</v>
      </c>
      <c r="C185" s="43" t="s">
        <v>1272</v>
      </c>
      <c r="D185" s="11" t="s">
        <v>1498</v>
      </c>
      <c r="E185" s="61" t="s">
        <v>67</v>
      </c>
      <c r="F185" s="11" t="s">
        <v>1499</v>
      </c>
      <c r="G185" s="10">
        <v>67</v>
      </c>
      <c r="H185" s="11">
        <v>0</v>
      </c>
      <c r="I185" s="11" t="s">
        <v>1500</v>
      </c>
      <c r="J185" s="11" t="s">
        <v>1501</v>
      </c>
      <c r="K185" s="72" t="s">
        <v>10</v>
      </c>
      <c r="L185" s="11" t="s">
        <v>1194</v>
      </c>
      <c r="M185" s="11" t="s">
        <v>94</v>
      </c>
      <c r="N185" s="60" t="s">
        <v>98</v>
      </c>
      <c r="O185" s="49" t="s">
        <v>2</v>
      </c>
      <c r="P185" s="11">
        <v>4</v>
      </c>
      <c r="Q185" s="11" t="s">
        <v>1516</v>
      </c>
      <c r="R185" s="11" t="s">
        <v>1503</v>
      </c>
      <c r="S185" t="str">
        <f>IFERROR(HYPERLINK("#Main!A"&amp;MATCH(A185,Main!A:A,0),"Open"),HYPERLINK("#Main!A1","Open"))</f>
        <v>Open</v>
      </c>
      <c r="T185" t="str">
        <f>IFERROR(HYPERLINK("#Technical!A"&amp;MATCH(A185,Technical!A:A,0),"Open"),HYPERLINK("#Technical!A1","Open"))</f>
        <v>Open</v>
      </c>
    </row>
    <row r="186" spans="1:21" ht="45" customHeight="1" x14ac:dyDescent="0.25">
      <c r="A186" s="59" t="s">
        <v>250</v>
      </c>
      <c r="B186" s="8">
        <v>13282</v>
      </c>
      <c r="C186" s="43" t="s">
        <v>1274</v>
      </c>
      <c r="D186" s="8" t="s">
        <v>1498</v>
      </c>
      <c r="E186" s="61" t="s">
        <v>67</v>
      </c>
      <c r="F186" s="8" t="s">
        <v>1499</v>
      </c>
      <c r="G186" s="36">
        <v>67</v>
      </c>
      <c r="H186" s="8">
        <v>0</v>
      </c>
      <c r="I186" s="8" t="s">
        <v>1500</v>
      </c>
      <c r="J186" s="8" t="s">
        <v>1501</v>
      </c>
      <c r="K186" s="71" t="s">
        <v>10</v>
      </c>
      <c r="L186" s="8" t="s">
        <v>1194</v>
      </c>
      <c r="M186" s="8" t="s">
        <v>94</v>
      </c>
      <c r="N186" s="60" t="s">
        <v>98</v>
      </c>
      <c r="O186" s="49" t="s">
        <v>2</v>
      </c>
      <c r="P186" s="8">
        <v>4</v>
      </c>
      <c r="Q186" s="8" t="s">
        <v>1517</v>
      </c>
      <c r="R186" s="8" t="s">
        <v>1503</v>
      </c>
      <c r="S186" s="9" t="str">
        <f>IFERROR(HYPERLINK("#Main!A"&amp;MATCH(A186,Main!A:A,0),"Open"),HYPERLINK("#Main!A1","Open"))</f>
        <v>Open</v>
      </c>
      <c r="T186" s="9" t="str">
        <f>IFERROR(HYPERLINK("#Technical!A"&amp;MATCH(A186,Technical!A:A,0),"Open"),HYPERLINK("#Technical!A1","Open"))</f>
        <v>Open</v>
      </c>
      <c r="U186" s="9"/>
    </row>
    <row r="187" spans="1:21" ht="45" customHeight="1" x14ac:dyDescent="0.25">
      <c r="A187" s="58" t="s">
        <v>258</v>
      </c>
      <c r="B187" s="11">
        <v>12945</v>
      </c>
      <c r="C187" s="43" t="s">
        <v>1276</v>
      </c>
      <c r="D187" s="11" t="s">
        <v>1498</v>
      </c>
      <c r="E187" s="61" t="s">
        <v>67</v>
      </c>
      <c r="F187" s="11" t="s">
        <v>1499</v>
      </c>
      <c r="G187" s="10">
        <v>67</v>
      </c>
      <c r="H187" s="11">
        <v>0</v>
      </c>
      <c r="I187" s="11" t="s">
        <v>1500</v>
      </c>
      <c r="J187" s="11" t="s">
        <v>1501</v>
      </c>
      <c r="K187" s="72" t="s">
        <v>10</v>
      </c>
      <c r="L187" s="11" t="s">
        <v>1194</v>
      </c>
      <c r="M187" s="11" t="s">
        <v>94</v>
      </c>
      <c r="N187" s="60" t="s">
        <v>98</v>
      </c>
      <c r="O187" s="49" t="s">
        <v>2</v>
      </c>
      <c r="P187" s="11">
        <v>4</v>
      </c>
      <c r="Q187" s="11" t="s">
        <v>1518</v>
      </c>
      <c r="R187" s="11" t="s">
        <v>1503</v>
      </c>
      <c r="S187" t="str">
        <f>IFERROR(HYPERLINK("#Main!A"&amp;MATCH(A187,Main!A:A,0),"Open"),HYPERLINK("#Main!A1","Open"))</f>
        <v>Open</v>
      </c>
      <c r="T187" t="str">
        <f>IFERROR(HYPERLINK("#Technical!A"&amp;MATCH(A187,Technical!A:A,0),"Open"),HYPERLINK("#Technical!A1","Open"))</f>
        <v>Open</v>
      </c>
    </row>
    <row r="188" spans="1:21" ht="45" customHeight="1" x14ac:dyDescent="0.25">
      <c r="A188" s="59" t="s">
        <v>266</v>
      </c>
      <c r="B188" s="8">
        <v>13179</v>
      </c>
      <c r="C188" s="43" t="s">
        <v>1278</v>
      </c>
      <c r="D188" s="8" t="s">
        <v>1498</v>
      </c>
      <c r="E188" s="61" t="s">
        <v>67</v>
      </c>
      <c r="F188" s="8" t="s">
        <v>1499</v>
      </c>
      <c r="G188" s="36">
        <v>67</v>
      </c>
      <c r="H188" s="8">
        <v>0</v>
      </c>
      <c r="I188" s="8" t="s">
        <v>1500</v>
      </c>
      <c r="J188" s="8" t="s">
        <v>1501</v>
      </c>
      <c r="K188" s="71" t="s">
        <v>10</v>
      </c>
      <c r="L188" s="8" t="s">
        <v>1194</v>
      </c>
      <c r="M188" s="8" t="s">
        <v>94</v>
      </c>
      <c r="N188" s="60" t="s">
        <v>98</v>
      </c>
      <c r="O188" s="49" t="s">
        <v>2</v>
      </c>
      <c r="P188" s="8">
        <v>4</v>
      </c>
      <c r="Q188" s="8" t="s">
        <v>1519</v>
      </c>
      <c r="R188" s="8" t="s">
        <v>1503</v>
      </c>
      <c r="S188" s="9" t="str">
        <f>IFERROR(HYPERLINK("#Main!A"&amp;MATCH(A188,Main!A:A,0),"Open"),HYPERLINK("#Main!A1","Open"))</f>
        <v>Open</v>
      </c>
      <c r="T188" s="9" t="str">
        <f>IFERROR(HYPERLINK("#Technical!A"&amp;MATCH(A188,Technical!A:A,0),"Open"),HYPERLINK("#Technical!A1","Open"))</f>
        <v>Open</v>
      </c>
      <c r="U188" s="9"/>
    </row>
    <row r="189" spans="1:21" ht="45" customHeight="1" x14ac:dyDescent="0.25">
      <c r="A189" s="58" t="s">
        <v>274</v>
      </c>
      <c r="B189" s="11">
        <v>22401</v>
      </c>
      <c r="C189" s="43" t="s">
        <v>1280</v>
      </c>
      <c r="D189" s="11" t="s">
        <v>1498</v>
      </c>
      <c r="E189" s="61" t="s">
        <v>67</v>
      </c>
      <c r="F189" s="11" t="s">
        <v>1499</v>
      </c>
      <c r="G189" s="10">
        <v>67</v>
      </c>
      <c r="H189" s="11">
        <v>0</v>
      </c>
      <c r="I189" s="11" t="s">
        <v>1500</v>
      </c>
      <c r="J189" s="11" t="s">
        <v>1501</v>
      </c>
      <c r="K189" s="72" t="s">
        <v>10</v>
      </c>
      <c r="L189" s="11" t="s">
        <v>1194</v>
      </c>
      <c r="M189" s="11" t="s">
        <v>94</v>
      </c>
      <c r="N189" s="60" t="s">
        <v>98</v>
      </c>
      <c r="O189" s="49" t="s">
        <v>2</v>
      </c>
      <c r="P189" s="11">
        <v>4</v>
      </c>
      <c r="Q189" s="11" t="s">
        <v>1520</v>
      </c>
      <c r="R189" s="11" t="s">
        <v>1503</v>
      </c>
      <c r="S189" t="str">
        <f>IFERROR(HYPERLINK("#Main!A"&amp;MATCH(A189,Main!A:A,0),"Open"),HYPERLINK("#Main!A1","Open"))</f>
        <v>Open</v>
      </c>
      <c r="T189" t="str">
        <f>IFERROR(HYPERLINK("#Technical!A"&amp;MATCH(A189,Technical!A:A,0),"Open"),HYPERLINK("#Technical!A1","Open"))</f>
        <v>Open</v>
      </c>
    </row>
    <row r="190" spans="1:21" ht="45" customHeight="1" x14ac:dyDescent="0.25">
      <c r="A190" s="59" t="s">
        <v>282</v>
      </c>
      <c r="B190" s="8">
        <v>18318</v>
      </c>
      <c r="C190" s="43" t="s">
        <v>1282</v>
      </c>
      <c r="D190" s="8" t="s">
        <v>1498</v>
      </c>
      <c r="E190" s="61" t="s">
        <v>67</v>
      </c>
      <c r="F190" s="8" t="s">
        <v>1499</v>
      </c>
      <c r="G190" s="36">
        <v>67</v>
      </c>
      <c r="H190" s="8">
        <v>0</v>
      </c>
      <c r="I190" s="8" t="s">
        <v>1500</v>
      </c>
      <c r="J190" s="8" t="s">
        <v>1501</v>
      </c>
      <c r="K190" s="71" t="s">
        <v>10</v>
      </c>
      <c r="L190" s="8" t="s">
        <v>1194</v>
      </c>
      <c r="M190" s="8" t="s">
        <v>94</v>
      </c>
      <c r="N190" s="60" t="s">
        <v>98</v>
      </c>
      <c r="O190" s="49" t="s">
        <v>2</v>
      </c>
      <c r="P190" s="8">
        <v>4</v>
      </c>
      <c r="Q190" s="8" t="s">
        <v>1521</v>
      </c>
      <c r="R190" s="8" t="s">
        <v>1503</v>
      </c>
      <c r="S190" s="9" t="str">
        <f>IFERROR(HYPERLINK("#Main!A"&amp;MATCH(A190,Main!A:A,0),"Open"),HYPERLINK("#Main!A1","Open"))</f>
        <v>Open</v>
      </c>
      <c r="T190" s="9" t="str">
        <f>IFERROR(HYPERLINK("#Technical!A"&amp;MATCH(A190,Technical!A:A,0),"Open"),HYPERLINK("#Technical!A1","Open"))</f>
        <v>Open</v>
      </c>
      <c r="U190" s="9"/>
    </row>
    <row r="191" spans="1:21" ht="45" customHeight="1" x14ac:dyDescent="0.25">
      <c r="A191" s="58" t="s">
        <v>290</v>
      </c>
      <c r="B191" s="11">
        <v>30257</v>
      </c>
      <c r="C191" s="43" t="s">
        <v>1284</v>
      </c>
      <c r="D191" s="11" t="s">
        <v>1498</v>
      </c>
      <c r="E191" s="61" t="s">
        <v>67</v>
      </c>
      <c r="F191" s="11" t="s">
        <v>1499</v>
      </c>
      <c r="G191" s="10">
        <v>67</v>
      </c>
      <c r="H191" s="11">
        <v>0</v>
      </c>
      <c r="I191" s="11" t="s">
        <v>1500</v>
      </c>
      <c r="J191" s="11" t="s">
        <v>1501</v>
      </c>
      <c r="K191" s="72" t="s">
        <v>10</v>
      </c>
      <c r="L191" s="11" t="s">
        <v>1194</v>
      </c>
      <c r="M191" s="11" t="s">
        <v>94</v>
      </c>
      <c r="N191" s="60" t="s">
        <v>98</v>
      </c>
      <c r="O191" s="49" t="s">
        <v>2</v>
      </c>
      <c r="P191" s="11">
        <v>4</v>
      </c>
      <c r="Q191" s="11" t="s">
        <v>1522</v>
      </c>
      <c r="R191" s="11" t="s">
        <v>1503</v>
      </c>
      <c r="S191" t="str">
        <f>IFERROR(HYPERLINK("#Main!A"&amp;MATCH(A191,Main!A:A,0),"Open"),HYPERLINK("#Main!A1","Open"))</f>
        <v>Open</v>
      </c>
      <c r="T191" t="str">
        <f>IFERROR(HYPERLINK("#Technical!A"&amp;MATCH(A191,Technical!A:A,0),"Open"),HYPERLINK("#Technical!A1","Open"))</f>
        <v>Open</v>
      </c>
    </row>
    <row r="192" spans="1:21" ht="45" customHeight="1" x14ac:dyDescent="0.25">
      <c r="A192" s="59" t="s">
        <v>298</v>
      </c>
      <c r="B192" s="8">
        <v>23710</v>
      </c>
      <c r="C192" s="43" t="s">
        <v>1286</v>
      </c>
      <c r="D192" s="8" t="s">
        <v>1498</v>
      </c>
      <c r="E192" s="61" t="s">
        <v>67</v>
      </c>
      <c r="F192" s="8" t="s">
        <v>1499</v>
      </c>
      <c r="G192" s="36">
        <v>67</v>
      </c>
      <c r="H192" s="8">
        <v>0</v>
      </c>
      <c r="I192" s="8" t="s">
        <v>1500</v>
      </c>
      <c r="J192" s="8" t="s">
        <v>1501</v>
      </c>
      <c r="K192" s="71" t="s">
        <v>10</v>
      </c>
      <c r="L192" s="8" t="s">
        <v>1194</v>
      </c>
      <c r="M192" s="8" t="s">
        <v>94</v>
      </c>
      <c r="N192" s="60" t="s">
        <v>98</v>
      </c>
      <c r="O192" s="49" t="s">
        <v>2</v>
      </c>
      <c r="P192" s="8">
        <v>4</v>
      </c>
      <c r="Q192" s="8" t="s">
        <v>1523</v>
      </c>
      <c r="R192" s="8" t="s">
        <v>1503</v>
      </c>
      <c r="S192" s="9" t="str">
        <f>IFERROR(HYPERLINK("#Main!A"&amp;MATCH(A192,Main!A:A,0),"Open"),HYPERLINK("#Main!A1","Open"))</f>
        <v>Open</v>
      </c>
      <c r="T192" s="9" t="str">
        <f>IFERROR(HYPERLINK("#Technical!A"&amp;MATCH(A192,Technical!A:A,0),"Open"),HYPERLINK("#Technical!A1","Open"))</f>
        <v>Open</v>
      </c>
      <c r="U192" s="9"/>
    </row>
    <row r="193" spans="1:21" ht="45" customHeight="1" x14ac:dyDescent="0.25">
      <c r="A193" s="58" t="s">
        <v>306</v>
      </c>
      <c r="B193" s="11">
        <v>33280</v>
      </c>
      <c r="C193" s="43" t="s">
        <v>1288</v>
      </c>
      <c r="D193" s="11" t="s">
        <v>1498</v>
      </c>
      <c r="E193" s="61" t="s">
        <v>67</v>
      </c>
      <c r="F193" s="11" t="s">
        <v>1499</v>
      </c>
      <c r="G193" s="10">
        <v>67</v>
      </c>
      <c r="H193" s="11">
        <v>0</v>
      </c>
      <c r="I193" s="11" t="s">
        <v>1500</v>
      </c>
      <c r="J193" s="11" t="s">
        <v>1501</v>
      </c>
      <c r="K193" s="72" t="s">
        <v>10</v>
      </c>
      <c r="L193" s="11" t="s">
        <v>1194</v>
      </c>
      <c r="M193" s="11" t="s">
        <v>94</v>
      </c>
      <c r="N193" s="60" t="s">
        <v>98</v>
      </c>
      <c r="O193" s="49" t="s">
        <v>2</v>
      </c>
      <c r="P193" s="11">
        <v>4</v>
      </c>
      <c r="Q193" s="11" t="s">
        <v>1524</v>
      </c>
      <c r="R193" s="11" t="s">
        <v>1503</v>
      </c>
      <c r="S193" t="str">
        <f>IFERROR(HYPERLINK("#Main!A"&amp;MATCH(A193,Main!A:A,0),"Open"),HYPERLINK("#Main!A1","Open"))</f>
        <v>Open</v>
      </c>
      <c r="T193" t="str">
        <f>IFERROR(HYPERLINK("#Technical!A"&amp;MATCH(A193,Technical!A:A,0),"Open"),HYPERLINK("#Technical!A1","Open"))</f>
        <v>Open</v>
      </c>
    </row>
    <row r="194" spans="1:21" ht="45" customHeight="1" x14ac:dyDescent="0.25">
      <c r="A194" s="59" t="s">
        <v>314</v>
      </c>
      <c r="B194" s="8">
        <v>22778</v>
      </c>
      <c r="C194" s="43" t="s">
        <v>1290</v>
      </c>
      <c r="D194" s="8" t="s">
        <v>1498</v>
      </c>
      <c r="E194" s="61" t="s">
        <v>67</v>
      </c>
      <c r="F194" s="8" t="s">
        <v>1499</v>
      </c>
      <c r="G194" s="36">
        <v>67</v>
      </c>
      <c r="H194" s="8">
        <v>0</v>
      </c>
      <c r="I194" s="8" t="s">
        <v>1500</v>
      </c>
      <c r="J194" s="8" t="s">
        <v>1501</v>
      </c>
      <c r="K194" s="71" t="s">
        <v>10</v>
      </c>
      <c r="L194" s="8" t="s">
        <v>1194</v>
      </c>
      <c r="M194" s="8" t="s">
        <v>94</v>
      </c>
      <c r="N194" s="60" t="s">
        <v>98</v>
      </c>
      <c r="O194" s="49" t="s">
        <v>2</v>
      </c>
      <c r="P194" s="8">
        <v>4</v>
      </c>
      <c r="Q194" s="8" t="s">
        <v>1525</v>
      </c>
      <c r="R194" s="8" t="s">
        <v>1503</v>
      </c>
      <c r="S194" s="9" t="str">
        <f>IFERROR(HYPERLINK("#Main!A"&amp;MATCH(A194,Main!A:A,0),"Open"),HYPERLINK("#Main!A1","Open"))</f>
        <v>Open</v>
      </c>
      <c r="T194" s="9" t="str">
        <f>IFERROR(HYPERLINK("#Technical!A"&amp;MATCH(A194,Technical!A:A,0),"Open"),HYPERLINK("#Technical!A1","Open"))</f>
        <v>Open</v>
      </c>
      <c r="U194" s="9"/>
    </row>
    <row r="195" spans="1:21" ht="45" customHeight="1" x14ac:dyDescent="0.25">
      <c r="A195" s="58" t="s">
        <v>322</v>
      </c>
      <c r="B195" s="11">
        <v>31478</v>
      </c>
      <c r="C195" s="43" t="s">
        <v>1292</v>
      </c>
      <c r="D195" s="11" t="s">
        <v>1498</v>
      </c>
      <c r="E195" s="61" t="s">
        <v>67</v>
      </c>
      <c r="F195" s="11" t="s">
        <v>1499</v>
      </c>
      <c r="G195" s="10">
        <v>67</v>
      </c>
      <c r="H195" s="11">
        <v>0</v>
      </c>
      <c r="I195" s="11" t="s">
        <v>1500</v>
      </c>
      <c r="J195" s="11" t="s">
        <v>1501</v>
      </c>
      <c r="K195" s="72" t="s">
        <v>10</v>
      </c>
      <c r="L195" s="11" t="s">
        <v>1194</v>
      </c>
      <c r="M195" s="11" t="s">
        <v>94</v>
      </c>
      <c r="N195" s="60" t="s">
        <v>98</v>
      </c>
      <c r="O195" s="49" t="s">
        <v>2</v>
      </c>
      <c r="P195" s="11">
        <v>4</v>
      </c>
      <c r="Q195" s="11" t="s">
        <v>1526</v>
      </c>
      <c r="R195" s="11" t="s">
        <v>1503</v>
      </c>
      <c r="S195" t="str">
        <f>IFERROR(HYPERLINK("#Main!A"&amp;MATCH(A195,Main!A:A,0),"Open"),HYPERLINK("#Main!A1","Open"))</f>
        <v>Open</v>
      </c>
      <c r="T195" t="str">
        <f>IFERROR(HYPERLINK("#Technical!A"&amp;MATCH(A195,Technical!A:A,0),"Open"),HYPERLINK("#Technical!A1","Open"))</f>
        <v>Open</v>
      </c>
    </row>
    <row r="196" spans="1:21" ht="45" customHeight="1" x14ac:dyDescent="0.25">
      <c r="A196" s="59" t="s">
        <v>330</v>
      </c>
      <c r="B196" s="8">
        <v>5057</v>
      </c>
      <c r="C196" s="43" t="s">
        <v>1294</v>
      </c>
      <c r="D196" s="8" t="s">
        <v>1498</v>
      </c>
      <c r="E196" s="61" t="s">
        <v>67</v>
      </c>
      <c r="F196" s="8" t="s">
        <v>1499</v>
      </c>
      <c r="G196" s="36">
        <v>67</v>
      </c>
      <c r="H196" s="8">
        <v>0</v>
      </c>
      <c r="I196" s="8" t="s">
        <v>1500</v>
      </c>
      <c r="J196" s="8" t="s">
        <v>1501</v>
      </c>
      <c r="K196" s="71" t="s">
        <v>10</v>
      </c>
      <c r="L196" s="8" t="s">
        <v>1194</v>
      </c>
      <c r="M196" s="8" t="s">
        <v>94</v>
      </c>
      <c r="N196" s="60" t="s">
        <v>98</v>
      </c>
      <c r="O196" s="49" t="s">
        <v>2</v>
      </c>
      <c r="P196" s="8">
        <v>4</v>
      </c>
      <c r="Q196" s="8" t="s">
        <v>1527</v>
      </c>
      <c r="R196" s="8" t="s">
        <v>1503</v>
      </c>
      <c r="S196" s="9" t="str">
        <f>IFERROR(HYPERLINK("#Main!A"&amp;MATCH(A196,Main!A:A,0),"Open"),HYPERLINK("#Main!A1","Open"))</f>
        <v>Open</v>
      </c>
      <c r="T196" s="9" t="str">
        <f>IFERROR(HYPERLINK("#Technical!A"&amp;MATCH(A196,Technical!A:A,0),"Open"),HYPERLINK("#Technical!A1","Open"))</f>
        <v>Open</v>
      </c>
      <c r="U196" s="9"/>
    </row>
    <row r="197" spans="1:21" ht="45" customHeight="1" x14ac:dyDescent="0.25">
      <c r="A197" s="58" t="s">
        <v>338</v>
      </c>
      <c r="B197" s="11"/>
      <c r="C197" s="11"/>
      <c r="D197" s="11" t="s">
        <v>1498</v>
      </c>
      <c r="E197" s="61" t="s">
        <v>67</v>
      </c>
      <c r="F197" s="11" t="s">
        <v>1499</v>
      </c>
      <c r="G197" s="10">
        <v>67</v>
      </c>
      <c r="H197" s="11">
        <v>0</v>
      </c>
      <c r="I197" s="11" t="s">
        <v>1500</v>
      </c>
      <c r="J197" s="11" t="s">
        <v>1501</v>
      </c>
      <c r="K197" s="72" t="s">
        <v>10</v>
      </c>
      <c r="L197" s="11" t="s">
        <v>1194</v>
      </c>
      <c r="M197" s="11" t="s">
        <v>94</v>
      </c>
      <c r="N197" s="60" t="s">
        <v>98</v>
      </c>
      <c r="O197" s="49" t="s">
        <v>2</v>
      </c>
      <c r="P197" s="11">
        <v>4</v>
      </c>
      <c r="Q197" s="11" t="s">
        <v>1528</v>
      </c>
      <c r="R197" s="11" t="s">
        <v>1503</v>
      </c>
      <c r="S197" t="str">
        <f>IFERROR(HYPERLINK("#Main!A"&amp;MATCH(A197,Main!A:A,0),"Open"),HYPERLINK("#Main!A1","Open"))</f>
        <v>Open</v>
      </c>
      <c r="T197" t="str">
        <f>IFERROR(HYPERLINK("#Technical!A"&amp;MATCH(A197,Technical!A:A,0),"Open"),HYPERLINK("#Technical!A1","Open"))</f>
        <v>Open</v>
      </c>
    </row>
    <row r="198" spans="1:21" ht="45" customHeight="1" x14ac:dyDescent="0.25">
      <c r="A198" s="59" t="s">
        <v>342</v>
      </c>
      <c r="B198" s="8">
        <v>12477</v>
      </c>
      <c r="C198" s="43" t="s">
        <v>1297</v>
      </c>
      <c r="D198" s="8" t="s">
        <v>1498</v>
      </c>
      <c r="E198" s="61" t="s">
        <v>67</v>
      </c>
      <c r="F198" s="8" t="s">
        <v>1499</v>
      </c>
      <c r="G198" s="36">
        <v>67</v>
      </c>
      <c r="H198" s="8">
        <v>0</v>
      </c>
      <c r="I198" s="8" t="s">
        <v>1500</v>
      </c>
      <c r="J198" s="8" t="s">
        <v>1501</v>
      </c>
      <c r="K198" s="71" t="s">
        <v>10</v>
      </c>
      <c r="L198" s="8" t="s">
        <v>1194</v>
      </c>
      <c r="M198" s="8" t="s">
        <v>94</v>
      </c>
      <c r="N198" s="60" t="s">
        <v>98</v>
      </c>
      <c r="O198" s="49" t="s">
        <v>2</v>
      </c>
      <c r="P198" s="8">
        <v>4</v>
      </c>
      <c r="Q198" s="8" t="s">
        <v>1529</v>
      </c>
      <c r="R198" s="8" t="s">
        <v>1503</v>
      </c>
      <c r="S198" s="9" t="str">
        <f>IFERROR(HYPERLINK("#Main!A"&amp;MATCH(A198,Main!A:A,0),"Open"),HYPERLINK("#Main!A1","Open"))</f>
        <v>Open</v>
      </c>
      <c r="T198" s="9" t="str">
        <f>IFERROR(HYPERLINK("#Technical!A"&amp;MATCH(A198,Technical!A:A,0),"Open"),HYPERLINK("#Technical!A1","Open"))</f>
        <v>Open</v>
      </c>
      <c r="U198" s="9"/>
    </row>
    <row r="199" spans="1:21" ht="45" customHeight="1" x14ac:dyDescent="0.25">
      <c r="A199" s="58" t="s">
        <v>350</v>
      </c>
      <c r="B199" s="11">
        <v>21958</v>
      </c>
      <c r="C199" s="43" t="s">
        <v>1299</v>
      </c>
      <c r="D199" s="11" t="s">
        <v>1498</v>
      </c>
      <c r="E199" s="61" t="s">
        <v>67</v>
      </c>
      <c r="F199" s="11" t="s">
        <v>1499</v>
      </c>
      <c r="G199" s="10">
        <v>67</v>
      </c>
      <c r="H199" s="11">
        <v>0</v>
      </c>
      <c r="I199" s="11" t="s">
        <v>1500</v>
      </c>
      <c r="J199" s="11" t="s">
        <v>1501</v>
      </c>
      <c r="K199" s="72" t="s">
        <v>10</v>
      </c>
      <c r="L199" s="11" t="s">
        <v>1194</v>
      </c>
      <c r="M199" s="11" t="s">
        <v>94</v>
      </c>
      <c r="N199" s="60" t="s">
        <v>98</v>
      </c>
      <c r="O199" s="49" t="s">
        <v>2</v>
      </c>
      <c r="P199" s="11">
        <v>4</v>
      </c>
      <c r="Q199" s="11" t="s">
        <v>1530</v>
      </c>
      <c r="R199" s="11" t="s">
        <v>1503</v>
      </c>
      <c r="S199" t="str">
        <f>IFERROR(HYPERLINK("#Main!A"&amp;MATCH(A199,Main!A:A,0),"Open"),HYPERLINK("#Main!A1","Open"))</f>
        <v>Open</v>
      </c>
      <c r="T199" t="str">
        <f>IFERROR(HYPERLINK("#Technical!A"&amp;MATCH(A199,Technical!A:A,0),"Open"),HYPERLINK("#Technical!A1","Open"))</f>
        <v>Open</v>
      </c>
    </row>
    <row r="200" spans="1:21" ht="45" customHeight="1" x14ac:dyDescent="0.25">
      <c r="A200" s="59" t="s">
        <v>358</v>
      </c>
      <c r="B200" s="8">
        <v>21984</v>
      </c>
      <c r="C200" s="43" t="s">
        <v>1301</v>
      </c>
      <c r="D200" s="8" t="s">
        <v>1498</v>
      </c>
      <c r="E200" s="61" t="s">
        <v>67</v>
      </c>
      <c r="F200" s="8" t="s">
        <v>1499</v>
      </c>
      <c r="G200" s="36">
        <v>67</v>
      </c>
      <c r="H200" s="8">
        <v>0</v>
      </c>
      <c r="I200" s="8" t="s">
        <v>1500</v>
      </c>
      <c r="J200" s="8" t="s">
        <v>1501</v>
      </c>
      <c r="K200" s="71" t="s">
        <v>10</v>
      </c>
      <c r="L200" s="8" t="s">
        <v>1194</v>
      </c>
      <c r="M200" s="8" t="s">
        <v>94</v>
      </c>
      <c r="N200" s="60" t="s">
        <v>98</v>
      </c>
      <c r="O200" s="49" t="s">
        <v>2</v>
      </c>
      <c r="P200" s="8">
        <v>4</v>
      </c>
      <c r="Q200" s="8" t="s">
        <v>1531</v>
      </c>
      <c r="R200" s="8" t="s">
        <v>1503</v>
      </c>
      <c r="S200" s="9" t="str">
        <f>IFERROR(HYPERLINK("#Main!A"&amp;MATCH(A200,Main!A:A,0),"Open"),HYPERLINK("#Main!A1","Open"))</f>
        <v>Open</v>
      </c>
      <c r="T200" s="9" t="str">
        <f>IFERROR(HYPERLINK("#Technical!A"&amp;MATCH(A200,Technical!A:A,0),"Open"),HYPERLINK("#Technical!A1","Open"))</f>
        <v>Open</v>
      </c>
      <c r="U200" s="9"/>
    </row>
    <row r="201" spans="1:21" ht="45" customHeight="1" x14ac:dyDescent="0.25">
      <c r="A201" s="58" t="s">
        <v>366</v>
      </c>
      <c r="B201" s="11">
        <v>33131</v>
      </c>
      <c r="C201" s="43" t="s">
        <v>1303</v>
      </c>
      <c r="D201" s="11" t="s">
        <v>1498</v>
      </c>
      <c r="E201" s="61" t="s">
        <v>67</v>
      </c>
      <c r="F201" s="11" t="s">
        <v>1499</v>
      </c>
      <c r="G201" s="10">
        <v>67</v>
      </c>
      <c r="H201" s="11">
        <v>0</v>
      </c>
      <c r="I201" s="11" t="s">
        <v>1500</v>
      </c>
      <c r="J201" s="11" t="s">
        <v>1501</v>
      </c>
      <c r="K201" s="72" t="s">
        <v>10</v>
      </c>
      <c r="L201" s="11" t="s">
        <v>1194</v>
      </c>
      <c r="M201" s="11" t="s">
        <v>94</v>
      </c>
      <c r="N201" s="60" t="s">
        <v>98</v>
      </c>
      <c r="O201" s="49" t="s">
        <v>2</v>
      </c>
      <c r="P201" s="11">
        <v>4</v>
      </c>
      <c r="Q201" s="11" t="s">
        <v>1532</v>
      </c>
      <c r="R201" s="11" t="s">
        <v>1503</v>
      </c>
      <c r="S201" t="str">
        <f>IFERROR(HYPERLINK("#Main!A"&amp;MATCH(A201,Main!A:A,0),"Open"),HYPERLINK("#Main!A1","Open"))</f>
        <v>Open</v>
      </c>
      <c r="T201" t="str">
        <f>IFERROR(HYPERLINK("#Technical!A"&amp;MATCH(A201,Technical!A:A,0),"Open"),HYPERLINK("#Technical!A1","Open"))</f>
        <v>Open</v>
      </c>
    </row>
    <row r="202" spans="1:21" ht="45" customHeight="1" x14ac:dyDescent="0.25">
      <c r="A202" s="59" t="s">
        <v>374</v>
      </c>
      <c r="B202" s="8">
        <v>21958</v>
      </c>
      <c r="C202" s="43" t="s">
        <v>1299</v>
      </c>
      <c r="D202" s="8" t="s">
        <v>1498</v>
      </c>
      <c r="E202" s="61" t="s">
        <v>67</v>
      </c>
      <c r="F202" s="8" t="s">
        <v>1499</v>
      </c>
      <c r="G202" s="36">
        <v>67</v>
      </c>
      <c r="H202" s="8">
        <v>0</v>
      </c>
      <c r="I202" s="8" t="s">
        <v>1500</v>
      </c>
      <c r="J202" s="8" t="s">
        <v>1501</v>
      </c>
      <c r="K202" s="71" t="s">
        <v>10</v>
      </c>
      <c r="L202" s="8" t="s">
        <v>1194</v>
      </c>
      <c r="M202" s="8" t="s">
        <v>94</v>
      </c>
      <c r="N202" s="60" t="s">
        <v>98</v>
      </c>
      <c r="O202" s="49" t="s">
        <v>2</v>
      </c>
      <c r="P202" s="8">
        <v>4</v>
      </c>
      <c r="Q202" s="8" t="s">
        <v>1533</v>
      </c>
      <c r="R202" s="8" t="s">
        <v>1503</v>
      </c>
      <c r="S202" s="9" t="str">
        <f>IFERROR(HYPERLINK("#Main!A"&amp;MATCH(A202,Main!A:A,0),"Open"),HYPERLINK("#Main!A1","Open"))</f>
        <v>Open</v>
      </c>
      <c r="T202" s="9" t="str">
        <f>IFERROR(HYPERLINK("#Technical!A"&amp;MATCH(A202,Technical!A:A,0),"Open"),HYPERLINK("#Technical!A1","Open"))</f>
        <v>Open</v>
      </c>
      <c r="U202" s="9"/>
    </row>
    <row r="203" spans="1:21" ht="45" customHeight="1" x14ac:dyDescent="0.25">
      <c r="A203" s="58" t="s">
        <v>377</v>
      </c>
      <c r="B203" s="11">
        <v>25857</v>
      </c>
      <c r="C203" s="43" t="s">
        <v>1306</v>
      </c>
      <c r="D203" s="11" t="s">
        <v>1498</v>
      </c>
      <c r="E203" s="61" t="s">
        <v>67</v>
      </c>
      <c r="F203" s="11" t="s">
        <v>1499</v>
      </c>
      <c r="G203" s="10">
        <v>67</v>
      </c>
      <c r="H203" s="11">
        <v>0</v>
      </c>
      <c r="I203" s="11" t="s">
        <v>1500</v>
      </c>
      <c r="J203" s="11" t="s">
        <v>1501</v>
      </c>
      <c r="K203" s="72" t="s">
        <v>10</v>
      </c>
      <c r="L203" s="11" t="s">
        <v>1194</v>
      </c>
      <c r="M203" s="11" t="s">
        <v>94</v>
      </c>
      <c r="N203" s="60" t="s">
        <v>98</v>
      </c>
      <c r="O203" s="49" t="s">
        <v>2</v>
      </c>
      <c r="P203" s="11">
        <v>4</v>
      </c>
      <c r="Q203" s="11" t="s">
        <v>1534</v>
      </c>
      <c r="R203" s="11" t="s">
        <v>1503</v>
      </c>
      <c r="S203" t="str">
        <f>IFERROR(HYPERLINK("#Main!A"&amp;MATCH(A203,Main!A:A,0),"Open"),HYPERLINK("#Main!A1","Open"))</f>
        <v>Open</v>
      </c>
      <c r="T203" t="str">
        <f>IFERROR(HYPERLINK("#Technical!A"&amp;MATCH(A203,Technical!A:A,0),"Open"),HYPERLINK("#Technical!A1","Open"))</f>
        <v>Open</v>
      </c>
    </row>
    <row r="204" spans="1:21" ht="45" customHeight="1" x14ac:dyDescent="0.25">
      <c r="A204" s="59" t="s">
        <v>385</v>
      </c>
      <c r="B204" s="8">
        <v>25788</v>
      </c>
      <c r="C204" s="43" t="s">
        <v>1308</v>
      </c>
      <c r="D204" s="8" t="s">
        <v>1498</v>
      </c>
      <c r="E204" s="61" t="s">
        <v>67</v>
      </c>
      <c r="F204" s="8" t="s">
        <v>1499</v>
      </c>
      <c r="G204" s="36">
        <v>67</v>
      </c>
      <c r="H204" s="8">
        <v>0</v>
      </c>
      <c r="I204" s="8" t="s">
        <v>1500</v>
      </c>
      <c r="J204" s="8" t="s">
        <v>1501</v>
      </c>
      <c r="K204" s="71" t="s">
        <v>10</v>
      </c>
      <c r="L204" s="8" t="s">
        <v>1194</v>
      </c>
      <c r="M204" s="8" t="s">
        <v>94</v>
      </c>
      <c r="N204" s="60" t="s">
        <v>98</v>
      </c>
      <c r="O204" s="49" t="s">
        <v>2</v>
      </c>
      <c r="P204" s="8">
        <v>4</v>
      </c>
      <c r="Q204" s="8" t="s">
        <v>1535</v>
      </c>
      <c r="R204" s="8" t="s">
        <v>1503</v>
      </c>
      <c r="S204" s="9" t="str">
        <f>IFERROR(HYPERLINK("#Main!A"&amp;MATCH(A204,Main!A:A,0),"Open"),HYPERLINK("#Main!A1","Open"))</f>
        <v>Open</v>
      </c>
      <c r="T204" s="9" t="str">
        <f>IFERROR(HYPERLINK("#Technical!A"&amp;MATCH(A204,Technical!A:A,0),"Open"),HYPERLINK("#Technical!A1","Open"))</f>
        <v>Open</v>
      </c>
      <c r="U204" s="9"/>
    </row>
    <row r="205" spans="1:21" ht="45" customHeight="1" x14ac:dyDescent="0.25">
      <c r="A205" s="58" t="s">
        <v>393</v>
      </c>
      <c r="B205" s="11">
        <v>26290</v>
      </c>
      <c r="C205" s="43" t="s">
        <v>1310</v>
      </c>
      <c r="D205" s="11" t="s">
        <v>1498</v>
      </c>
      <c r="E205" s="61" t="s">
        <v>67</v>
      </c>
      <c r="F205" s="11" t="s">
        <v>1499</v>
      </c>
      <c r="G205" s="10">
        <v>67</v>
      </c>
      <c r="H205" s="11">
        <v>0</v>
      </c>
      <c r="I205" s="11" t="s">
        <v>1500</v>
      </c>
      <c r="J205" s="11" t="s">
        <v>1501</v>
      </c>
      <c r="K205" s="72" t="s">
        <v>10</v>
      </c>
      <c r="L205" s="11" t="s">
        <v>1194</v>
      </c>
      <c r="M205" s="11" t="s">
        <v>94</v>
      </c>
      <c r="N205" s="60" t="s">
        <v>98</v>
      </c>
      <c r="O205" s="49" t="s">
        <v>2</v>
      </c>
      <c r="P205" s="11">
        <v>4</v>
      </c>
      <c r="Q205" s="11" t="s">
        <v>1536</v>
      </c>
      <c r="R205" s="11" t="s">
        <v>1503</v>
      </c>
      <c r="S205" t="str">
        <f>IFERROR(HYPERLINK("#Main!A"&amp;MATCH(A205,Main!A:A,0),"Open"),HYPERLINK("#Main!A1","Open"))</f>
        <v>Open</v>
      </c>
      <c r="T205" t="str">
        <f>IFERROR(HYPERLINK("#Technical!A"&amp;MATCH(A205,Technical!A:A,0),"Open"),HYPERLINK("#Technical!A1","Open"))</f>
        <v>Open</v>
      </c>
    </row>
    <row r="206" spans="1:21" ht="45" customHeight="1" x14ac:dyDescent="0.25">
      <c r="A206" s="59" t="s">
        <v>401</v>
      </c>
      <c r="B206" s="8">
        <v>24882</v>
      </c>
      <c r="C206" s="43" t="s">
        <v>1312</v>
      </c>
      <c r="D206" s="8" t="s">
        <v>1498</v>
      </c>
      <c r="E206" s="61" t="s">
        <v>67</v>
      </c>
      <c r="F206" s="8" t="s">
        <v>1499</v>
      </c>
      <c r="G206" s="36">
        <v>67</v>
      </c>
      <c r="H206" s="8">
        <v>0</v>
      </c>
      <c r="I206" s="8" t="s">
        <v>1500</v>
      </c>
      <c r="J206" s="8" t="s">
        <v>1501</v>
      </c>
      <c r="K206" s="71" t="s">
        <v>10</v>
      </c>
      <c r="L206" s="8" t="s">
        <v>1194</v>
      </c>
      <c r="M206" s="8" t="s">
        <v>94</v>
      </c>
      <c r="N206" s="60" t="s">
        <v>98</v>
      </c>
      <c r="O206" s="49" t="s">
        <v>2</v>
      </c>
      <c r="P206" s="8">
        <v>4</v>
      </c>
      <c r="Q206" s="8" t="s">
        <v>1537</v>
      </c>
      <c r="R206" s="8" t="s">
        <v>1503</v>
      </c>
      <c r="S206" s="9" t="str">
        <f>IFERROR(HYPERLINK("#Main!A"&amp;MATCH(A206,Main!A:A,0),"Open"),HYPERLINK("#Main!A1","Open"))</f>
        <v>Open</v>
      </c>
      <c r="T206" s="9" t="str">
        <f>IFERROR(HYPERLINK("#Technical!A"&amp;MATCH(A206,Technical!A:A,0),"Open"),HYPERLINK("#Technical!A1","Open"))</f>
        <v>Open</v>
      </c>
      <c r="U206" s="9"/>
    </row>
    <row r="207" spans="1:21" ht="45" customHeight="1" x14ac:dyDescent="0.25">
      <c r="A207" s="58" t="s">
        <v>409</v>
      </c>
      <c r="B207" s="11">
        <v>22595</v>
      </c>
      <c r="C207" s="43" t="s">
        <v>1314</v>
      </c>
      <c r="D207" s="11" t="s">
        <v>1498</v>
      </c>
      <c r="E207" s="61" t="s">
        <v>67</v>
      </c>
      <c r="F207" s="11" t="s">
        <v>1499</v>
      </c>
      <c r="G207" s="10">
        <v>67</v>
      </c>
      <c r="H207" s="11">
        <v>0</v>
      </c>
      <c r="I207" s="11" t="s">
        <v>1500</v>
      </c>
      <c r="J207" s="11" t="s">
        <v>1501</v>
      </c>
      <c r="K207" s="72" t="s">
        <v>10</v>
      </c>
      <c r="L207" s="11" t="s">
        <v>1194</v>
      </c>
      <c r="M207" s="11" t="s">
        <v>94</v>
      </c>
      <c r="N207" s="60" t="s">
        <v>98</v>
      </c>
      <c r="O207" s="49" t="s">
        <v>2</v>
      </c>
      <c r="P207" s="11">
        <v>4</v>
      </c>
      <c r="Q207" s="11" t="s">
        <v>1538</v>
      </c>
      <c r="R207" s="11" t="s">
        <v>1503</v>
      </c>
      <c r="S207" t="str">
        <f>IFERROR(HYPERLINK("#Main!A"&amp;MATCH(A207,Main!A:A,0),"Open"),HYPERLINK("#Main!A1","Open"))</f>
        <v>Open</v>
      </c>
      <c r="T207" t="str">
        <f>IFERROR(HYPERLINK("#Technical!A"&amp;MATCH(A207,Technical!A:A,0),"Open"),HYPERLINK("#Technical!A1","Open"))</f>
        <v>Open</v>
      </c>
    </row>
    <row r="208" spans="1:21" ht="45" customHeight="1" x14ac:dyDescent="0.25">
      <c r="A208" s="59" t="s">
        <v>417</v>
      </c>
      <c r="B208" s="8">
        <v>29496</v>
      </c>
      <c r="C208" s="43" t="s">
        <v>1316</v>
      </c>
      <c r="D208" s="8" t="s">
        <v>1498</v>
      </c>
      <c r="E208" s="61" t="s">
        <v>67</v>
      </c>
      <c r="F208" s="8" t="s">
        <v>1499</v>
      </c>
      <c r="G208" s="36">
        <v>67</v>
      </c>
      <c r="H208" s="8">
        <v>0</v>
      </c>
      <c r="I208" s="8" t="s">
        <v>1500</v>
      </c>
      <c r="J208" s="8" t="s">
        <v>1501</v>
      </c>
      <c r="K208" s="71" t="s">
        <v>10</v>
      </c>
      <c r="L208" s="8" t="s">
        <v>1194</v>
      </c>
      <c r="M208" s="8" t="s">
        <v>94</v>
      </c>
      <c r="N208" s="60" t="s">
        <v>98</v>
      </c>
      <c r="O208" s="49" t="s">
        <v>2</v>
      </c>
      <c r="P208" s="8">
        <v>4</v>
      </c>
      <c r="Q208" s="8" t="s">
        <v>1539</v>
      </c>
      <c r="R208" s="8" t="s">
        <v>1503</v>
      </c>
      <c r="S208" s="9" t="str">
        <f>IFERROR(HYPERLINK("#Main!A"&amp;MATCH(A208,Main!A:A,0),"Open"),HYPERLINK("#Main!A1","Open"))</f>
        <v>Open</v>
      </c>
      <c r="T208" s="9" t="str">
        <f>IFERROR(HYPERLINK("#Technical!A"&amp;MATCH(A208,Technical!A:A,0),"Open"),HYPERLINK("#Technical!A1","Open"))</f>
        <v>Open</v>
      </c>
      <c r="U208" s="9"/>
    </row>
    <row r="209" spans="1:21" ht="45" customHeight="1" x14ac:dyDescent="0.25">
      <c r="A209" s="58" t="s">
        <v>425</v>
      </c>
      <c r="B209" s="11">
        <v>16104</v>
      </c>
      <c r="C209" s="43" t="s">
        <v>1318</v>
      </c>
      <c r="D209" s="11" t="s">
        <v>1498</v>
      </c>
      <c r="E209" s="61" t="s">
        <v>67</v>
      </c>
      <c r="F209" s="11" t="s">
        <v>1499</v>
      </c>
      <c r="G209" s="10">
        <v>67</v>
      </c>
      <c r="H209" s="11">
        <v>0</v>
      </c>
      <c r="I209" s="11" t="s">
        <v>1500</v>
      </c>
      <c r="J209" s="11" t="s">
        <v>1501</v>
      </c>
      <c r="K209" s="72" t="s">
        <v>10</v>
      </c>
      <c r="L209" s="11" t="s">
        <v>1194</v>
      </c>
      <c r="M209" s="11" t="s">
        <v>94</v>
      </c>
      <c r="N209" s="60" t="s">
        <v>98</v>
      </c>
      <c r="O209" s="49" t="s">
        <v>2</v>
      </c>
      <c r="P209" s="11">
        <v>4</v>
      </c>
      <c r="Q209" s="11" t="s">
        <v>1540</v>
      </c>
      <c r="R209" s="11" t="s">
        <v>1503</v>
      </c>
      <c r="S209" t="str">
        <f>IFERROR(HYPERLINK("#Main!A"&amp;MATCH(A209,Main!A:A,0),"Open"),HYPERLINK("#Main!A1","Open"))</f>
        <v>Open</v>
      </c>
      <c r="T209" t="str">
        <f>IFERROR(HYPERLINK("#Technical!A"&amp;MATCH(A209,Technical!A:A,0),"Open"),HYPERLINK("#Technical!A1","Open"))</f>
        <v>Open</v>
      </c>
    </row>
    <row r="210" spans="1:21" ht="45" customHeight="1" x14ac:dyDescent="0.25">
      <c r="A210" s="59" t="s">
        <v>433</v>
      </c>
      <c r="B210" s="8"/>
      <c r="C210" s="8"/>
      <c r="D210" s="8" t="s">
        <v>1498</v>
      </c>
      <c r="E210" s="61" t="s">
        <v>67</v>
      </c>
      <c r="F210" s="8" t="s">
        <v>1499</v>
      </c>
      <c r="G210" s="36">
        <v>67</v>
      </c>
      <c r="H210" s="8">
        <v>0</v>
      </c>
      <c r="I210" s="8" t="s">
        <v>1500</v>
      </c>
      <c r="J210" s="8" t="s">
        <v>1501</v>
      </c>
      <c r="K210" s="71" t="s">
        <v>10</v>
      </c>
      <c r="L210" s="8" t="s">
        <v>1194</v>
      </c>
      <c r="M210" s="8" t="s">
        <v>94</v>
      </c>
      <c r="N210" s="60" t="s">
        <v>98</v>
      </c>
      <c r="O210" s="49" t="s">
        <v>2</v>
      </c>
      <c r="P210" s="8">
        <v>4</v>
      </c>
      <c r="Q210" s="8" t="s">
        <v>1541</v>
      </c>
      <c r="R210" s="8" t="s">
        <v>1503</v>
      </c>
      <c r="S210" s="9" t="str">
        <f>IFERROR(HYPERLINK("#Main!A"&amp;MATCH(A210,Main!A:A,0),"Open"),HYPERLINK("#Main!A1","Open"))</f>
        <v>Open</v>
      </c>
      <c r="T210" s="9" t="str">
        <f>IFERROR(HYPERLINK("#Technical!A"&amp;MATCH(A210,Technical!A:A,0),"Open"),HYPERLINK("#Technical!A1","Open"))</f>
        <v>Open</v>
      </c>
      <c r="U210" s="9"/>
    </row>
    <row r="211" spans="1:21" ht="45" customHeight="1" x14ac:dyDescent="0.25">
      <c r="A211" s="58" t="s">
        <v>436</v>
      </c>
      <c r="B211" s="11">
        <v>23021</v>
      </c>
      <c r="C211" s="43" t="s">
        <v>1321</v>
      </c>
      <c r="D211" s="11" t="s">
        <v>1498</v>
      </c>
      <c r="E211" s="61" t="s">
        <v>67</v>
      </c>
      <c r="F211" s="11" t="s">
        <v>1499</v>
      </c>
      <c r="G211" s="10">
        <v>67</v>
      </c>
      <c r="H211" s="11">
        <v>0</v>
      </c>
      <c r="I211" s="11" t="s">
        <v>1500</v>
      </c>
      <c r="J211" s="11" t="s">
        <v>1501</v>
      </c>
      <c r="K211" s="72" t="s">
        <v>10</v>
      </c>
      <c r="L211" s="11" t="s">
        <v>1194</v>
      </c>
      <c r="M211" s="11" t="s">
        <v>94</v>
      </c>
      <c r="N211" s="60" t="s">
        <v>98</v>
      </c>
      <c r="O211" s="49" t="s">
        <v>2</v>
      </c>
      <c r="P211" s="11">
        <v>4</v>
      </c>
      <c r="Q211" s="11" t="s">
        <v>1542</v>
      </c>
      <c r="R211" s="11" t="s">
        <v>1503</v>
      </c>
      <c r="S211" t="str">
        <f>IFERROR(HYPERLINK("#Main!A"&amp;MATCH(A211,Main!A:A,0),"Open"),HYPERLINK("#Main!A1","Open"))</f>
        <v>Open</v>
      </c>
      <c r="T211" t="str">
        <f>IFERROR(HYPERLINK("#Technical!A"&amp;MATCH(A211,Technical!A:A,0),"Open"),HYPERLINK("#Technical!A1","Open"))</f>
        <v>Open</v>
      </c>
    </row>
    <row r="212" spans="1:21" ht="45" customHeight="1" x14ac:dyDescent="0.25">
      <c r="A212" s="59" t="s">
        <v>444</v>
      </c>
      <c r="B212" s="8">
        <v>6816</v>
      </c>
      <c r="C212" s="43" t="s">
        <v>1239</v>
      </c>
      <c r="D212" s="8" t="s">
        <v>1498</v>
      </c>
      <c r="E212" s="61" t="s">
        <v>67</v>
      </c>
      <c r="F212" s="8" t="s">
        <v>1499</v>
      </c>
      <c r="G212" s="36">
        <v>67</v>
      </c>
      <c r="H212" s="8">
        <v>0</v>
      </c>
      <c r="I212" s="8" t="s">
        <v>1500</v>
      </c>
      <c r="J212" s="8" t="s">
        <v>1501</v>
      </c>
      <c r="K212" s="71" t="s">
        <v>10</v>
      </c>
      <c r="L212" s="8" t="s">
        <v>1194</v>
      </c>
      <c r="M212" s="8" t="s">
        <v>94</v>
      </c>
      <c r="N212" s="60" t="s">
        <v>98</v>
      </c>
      <c r="O212" s="49" t="s">
        <v>2</v>
      </c>
      <c r="P212" s="8">
        <v>4</v>
      </c>
      <c r="Q212" s="8" t="s">
        <v>1543</v>
      </c>
      <c r="R212" s="8" t="s">
        <v>1503</v>
      </c>
      <c r="S212" s="9" t="str">
        <f>IFERROR(HYPERLINK("#Main!A"&amp;MATCH(A212,Main!A:A,0),"Open"),HYPERLINK("#Main!A1","Open"))</f>
        <v>Open</v>
      </c>
      <c r="T212" s="9" t="str">
        <f>IFERROR(HYPERLINK("#Technical!A"&amp;MATCH(A212,Technical!A:A,0),"Open"),HYPERLINK("#Technical!A1","Open"))</f>
        <v>Open</v>
      </c>
      <c r="U212" s="9"/>
    </row>
    <row r="213" spans="1:21" ht="45" customHeight="1" x14ac:dyDescent="0.25">
      <c r="A213" s="58" t="s">
        <v>449</v>
      </c>
      <c r="B213" s="11">
        <v>6822</v>
      </c>
      <c r="C213" s="43" t="s">
        <v>1324</v>
      </c>
      <c r="D213" s="11" t="s">
        <v>1498</v>
      </c>
      <c r="E213" s="61" t="s">
        <v>67</v>
      </c>
      <c r="F213" s="11" t="s">
        <v>1499</v>
      </c>
      <c r="G213" s="10">
        <v>67</v>
      </c>
      <c r="H213" s="11">
        <v>0</v>
      </c>
      <c r="I213" s="11" t="s">
        <v>1500</v>
      </c>
      <c r="J213" s="11" t="s">
        <v>1501</v>
      </c>
      <c r="K213" s="72" t="s">
        <v>10</v>
      </c>
      <c r="L213" s="11" t="s">
        <v>1194</v>
      </c>
      <c r="M213" s="11" t="s">
        <v>94</v>
      </c>
      <c r="N213" s="60" t="s">
        <v>98</v>
      </c>
      <c r="O213" s="49" t="s">
        <v>2</v>
      </c>
      <c r="P213" s="11">
        <v>4</v>
      </c>
      <c r="Q213" s="11" t="s">
        <v>1544</v>
      </c>
      <c r="R213" s="11" t="s">
        <v>1503</v>
      </c>
      <c r="S213" t="str">
        <f>IFERROR(HYPERLINK("#Main!A"&amp;MATCH(A213,Main!A:A,0),"Open"),HYPERLINK("#Main!A1","Open"))</f>
        <v>Open</v>
      </c>
      <c r="T213" t="str">
        <f>IFERROR(HYPERLINK("#Technical!A"&amp;MATCH(A213,Technical!A:A,0),"Open"),HYPERLINK("#Technical!A1","Open"))</f>
        <v>Open</v>
      </c>
    </row>
    <row r="214" spans="1:21" ht="45" customHeight="1" x14ac:dyDescent="0.25">
      <c r="A214" s="59" t="s">
        <v>457</v>
      </c>
      <c r="B214" s="8">
        <v>6553</v>
      </c>
      <c r="C214" s="43" t="s">
        <v>1326</v>
      </c>
      <c r="D214" s="8" t="s">
        <v>1498</v>
      </c>
      <c r="E214" s="61" t="s">
        <v>67</v>
      </c>
      <c r="F214" s="8" t="s">
        <v>1499</v>
      </c>
      <c r="G214" s="36">
        <v>67</v>
      </c>
      <c r="H214" s="8">
        <v>0</v>
      </c>
      <c r="I214" s="8" t="s">
        <v>1500</v>
      </c>
      <c r="J214" s="8" t="s">
        <v>1501</v>
      </c>
      <c r="K214" s="71" t="s">
        <v>10</v>
      </c>
      <c r="L214" s="8" t="s">
        <v>1194</v>
      </c>
      <c r="M214" s="8" t="s">
        <v>94</v>
      </c>
      <c r="N214" s="60" t="s">
        <v>98</v>
      </c>
      <c r="O214" s="49" t="s">
        <v>2</v>
      </c>
      <c r="P214" s="8">
        <v>4</v>
      </c>
      <c r="Q214" s="8" t="s">
        <v>1545</v>
      </c>
      <c r="R214" s="8" t="s">
        <v>1503</v>
      </c>
      <c r="S214" s="9" t="str">
        <f>IFERROR(HYPERLINK("#Main!A"&amp;MATCH(A214,Main!A:A,0),"Open"),HYPERLINK("#Main!A1","Open"))</f>
        <v>Open</v>
      </c>
      <c r="T214" s="9" t="str">
        <f>IFERROR(HYPERLINK("#Technical!A"&amp;MATCH(A214,Technical!A:A,0),"Open"),HYPERLINK("#Technical!A1","Open"))</f>
        <v>Open</v>
      </c>
      <c r="U214" s="9"/>
    </row>
    <row r="215" spans="1:21" ht="45" customHeight="1" x14ac:dyDescent="0.25">
      <c r="A215" s="58" t="s">
        <v>465</v>
      </c>
      <c r="B215" s="11">
        <v>4492</v>
      </c>
      <c r="C215" s="43" t="s">
        <v>1328</v>
      </c>
      <c r="D215" s="11" t="s">
        <v>1498</v>
      </c>
      <c r="E215" s="61" t="s">
        <v>67</v>
      </c>
      <c r="F215" s="11" t="s">
        <v>1499</v>
      </c>
      <c r="G215" s="10">
        <v>67</v>
      </c>
      <c r="H215" s="11">
        <v>0</v>
      </c>
      <c r="I215" s="11" t="s">
        <v>1500</v>
      </c>
      <c r="J215" s="11" t="s">
        <v>1501</v>
      </c>
      <c r="K215" s="72" t="s">
        <v>10</v>
      </c>
      <c r="L215" s="11" t="s">
        <v>1194</v>
      </c>
      <c r="M215" s="11" t="s">
        <v>94</v>
      </c>
      <c r="N215" s="60" t="s">
        <v>98</v>
      </c>
      <c r="O215" s="49" t="s">
        <v>2</v>
      </c>
      <c r="P215" s="11">
        <v>4</v>
      </c>
      <c r="Q215" s="11" t="s">
        <v>1546</v>
      </c>
      <c r="R215" s="11" t="s">
        <v>1503</v>
      </c>
      <c r="S215" t="str">
        <f>IFERROR(HYPERLINK("#Main!A"&amp;MATCH(A215,Main!A:A,0),"Open"),HYPERLINK("#Main!A1","Open"))</f>
        <v>Open</v>
      </c>
      <c r="T215" t="str">
        <f>IFERROR(HYPERLINK("#Technical!A"&amp;MATCH(A215,Technical!A:A,0),"Open"),HYPERLINK("#Technical!A1","Open"))</f>
        <v>Open</v>
      </c>
    </row>
    <row r="216" spans="1:21" ht="45" customHeight="1" x14ac:dyDescent="0.25">
      <c r="A216" s="59" t="s">
        <v>473</v>
      </c>
      <c r="B216" s="8">
        <v>23001</v>
      </c>
      <c r="C216" s="43" t="s">
        <v>1330</v>
      </c>
      <c r="D216" s="8" t="s">
        <v>1498</v>
      </c>
      <c r="E216" s="61" t="s">
        <v>67</v>
      </c>
      <c r="F216" s="8" t="s">
        <v>1499</v>
      </c>
      <c r="G216" s="36">
        <v>67</v>
      </c>
      <c r="H216" s="8">
        <v>0</v>
      </c>
      <c r="I216" s="8" t="s">
        <v>1500</v>
      </c>
      <c r="J216" s="8" t="s">
        <v>1501</v>
      </c>
      <c r="K216" s="71" t="s">
        <v>10</v>
      </c>
      <c r="L216" s="8" t="s">
        <v>1194</v>
      </c>
      <c r="M216" s="8" t="s">
        <v>94</v>
      </c>
      <c r="N216" s="60" t="s">
        <v>98</v>
      </c>
      <c r="O216" s="49" t="s">
        <v>2</v>
      </c>
      <c r="P216" s="8">
        <v>4</v>
      </c>
      <c r="Q216" s="8" t="s">
        <v>1547</v>
      </c>
      <c r="R216" s="8" t="s">
        <v>1503</v>
      </c>
      <c r="S216" s="9" t="str">
        <f>IFERROR(HYPERLINK("#Main!A"&amp;MATCH(A216,Main!A:A,0),"Open"),HYPERLINK("#Main!A1","Open"))</f>
        <v>Open</v>
      </c>
      <c r="T216" s="9" t="str">
        <f>IFERROR(HYPERLINK("#Technical!A"&amp;MATCH(A216,Technical!A:A,0),"Open"),HYPERLINK("#Technical!A1","Open"))</f>
        <v>Open</v>
      </c>
      <c r="U216" s="9"/>
    </row>
    <row r="217" spans="1:21" ht="45" customHeight="1" x14ac:dyDescent="0.25">
      <c r="A217" s="58" t="s">
        <v>481</v>
      </c>
      <c r="B217" s="11">
        <v>21952</v>
      </c>
      <c r="C217" s="43" t="s">
        <v>1332</v>
      </c>
      <c r="D217" s="11" t="s">
        <v>1498</v>
      </c>
      <c r="E217" s="61" t="s">
        <v>67</v>
      </c>
      <c r="F217" s="11" t="s">
        <v>1499</v>
      </c>
      <c r="G217" s="10">
        <v>67</v>
      </c>
      <c r="H217" s="11">
        <v>0</v>
      </c>
      <c r="I217" s="11" t="s">
        <v>1500</v>
      </c>
      <c r="J217" s="11" t="s">
        <v>1501</v>
      </c>
      <c r="K217" s="72" t="s">
        <v>10</v>
      </c>
      <c r="L217" s="11" t="s">
        <v>1194</v>
      </c>
      <c r="M217" s="11" t="s">
        <v>94</v>
      </c>
      <c r="N217" s="60" t="s">
        <v>98</v>
      </c>
      <c r="O217" s="49" t="s">
        <v>2</v>
      </c>
      <c r="P217" s="11">
        <v>4</v>
      </c>
      <c r="Q217" s="11" t="s">
        <v>1548</v>
      </c>
      <c r="R217" s="11" t="s">
        <v>1503</v>
      </c>
      <c r="S217" t="str">
        <f>IFERROR(HYPERLINK("#Main!A"&amp;MATCH(A217,Main!A:A,0),"Open"),HYPERLINK("#Main!A1","Open"))</f>
        <v>Open</v>
      </c>
      <c r="T217" t="str">
        <f>IFERROR(HYPERLINK("#Technical!A"&amp;MATCH(A217,Technical!A:A,0),"Open"),HYPERLINK("#Technical!A1","Open"))</f>
        <v>Open</v>
      </c>
    </row>
    <row r="218" spans="1:21" ht="45" customHeight="1" x14ac:dyDescent="0.25">
      <c r="A218" s="59" t="s">
        <v>489</v>
      </c>
      <c r="B218" s="8">
        <v>22679</v>
      </c>
      <c r="C218" s="43" t="s">
        <v>1334</v>
      </c>
      <c r="D218" s="8" t="s">
        <v>1498</v>
      </c>
      <c r="E218" s="61" t="s">
        <v>67</v>
      </c>
      <c r="F218" s="8" t="s">
        <v>1499</v>
      </c>
      <c r="G218" s="36">
        <v>67</v>
      </c>
      <c r="H218" s="8">
        <v>0</v>
      </c>
      <c r="I218" s="8" t="s">
        <v>1500</v>
      </c>
      <c r="J218" s="8" t="s">
        <v>1501</v>
      </c>
      <c r="K218" s="71" t="s">
        <v>10</v>
      </c>
      <c r="L218" s="8" t="s">
        <v>1194</v>
      </c>
      <c r="M218" s="8" t="s">
        <v>94</v>
      </c>
      <c r="N218" s="60" t="s">
        <v>98</v>
      </c>
      <c r="O218" s="49" t="s">
        <v>2</v>
      </c>
      <c r="P218" s="8">
        <v>4</v>
      </c>
      <c r="Q218" s="8" t="s">
        <v>1549</v>
      </c>
      <c r="R218" s="8" t="s">
        <v>1503</v>
      </c>
      <c r="S218" s="9" t="str">
        <f>IFERROR(HYPERLINK("#Main!A"&amp;MATCH(A218,Main!A:A,0),"Open"),HYPERLINK("#Main!A1","Open"))</f>
        <v>Open</v>
      </c>
      <c r="T218" s="9" t="str">
        <f>IFERROR(HYPERLINK("#Technical!A"&amp;MATCH(A218,Technical!A:A,0),"Open"),HYPERLINK("#Technical!A1","Open"))</f>
        <v>Open</v>
      </c>
      <c r="U218" s="9"/>
    </row>
    <row r="219" spans="1:21" ht="45" customHeight="1" x14ac:dyDescent="0.25">
      <c r="A219" s="58" t="s">
        <v>497</v>
      </c>
      <c r="B219" s="11">
        <v>32554</v>
      </c>
      <c r="C219" s="43" t="s">
        <v>1336</v>
      </c>
      <c r="D219" s="11" t="s">
        <v>1498</v>
      </c>
      <c r="E219" s="61" t="s">
        <v>67</v>
      </c>
      <c r="F219" s="11" t="s">
        <v>1499</v>
      </c>
      <c r="G219" s="10">
        <v>67</v>
      </c>
      <c r="H219" s="11">
        <v>0</v>
      </c>
      <c r="I219" s="11" t="s">
        <v>1500</v>
      </c>
      <c r="J219" s="11" t="s">
        <v>1501</v>
      </c>
      <c r="K219" s="72" t="s">
        <v>10</v>
      </c>
      <c r="L219" s="11" t="s">
        <v>1194</v>
      </c>
      <c r="M219" s="11" t="s">
        <v>94</v>
      </c>
      <c r="N219" s="60" t="s">
        <v>98</v>
      </c>
      <c r="O219" s="49" t="s">
        <v>2</v>
      </c>
      <c r="P219" s="11">
        <v>4</v>
      </c>
      <c r="Q219" s="11" t="s">
        <v>1550</v>
      </c>
      <c r="R219" s="11" t="s">
        <v>1503</v>
      </c>
      <c r="S219" t="str">
        <f>IFERROR(HYPERLINK("#Main!A"&amp;MATCH(A219,Main!A:A,0),"Open"),HYPERLINK("#Main!A1","Open"))</f>
        <v>Open</v>
      </c>
      <c r="T219" t="str">
        <f>IFERROR(HYPERLINK("#Technical!A"&amp;MATCH(A219,Technical!A:A,0),"Open"),HYPERLINK("#Technical!A1","Open"))</f>
        <v>Open</v>
      </c>
    </row>
    <row r="220" spans="1:21" ht="45" customHeight="1" x14ac:dyDescent="0.25">
      <c r="A220" s="59" t="s">
        <v>505</v>
      </c>
      <c r="B220" s="8">
        <v>34552</v>
      </c>
      <c r="C220" s="43" t="s">
        <v>1338</v>
      </c>
      <c r="D220" s="8" t="s">
        <v>1498</v>
      </c>
      <c r="E220" s="61" t="s">
        <v>67</v>
      </c>
      <c r="F220" s="8" t="s">
        <v>1499</v>
      </c>
      <c r="G220" s="36">
        <v>67</v>
      </c>
      <c r="H220" s="8">
        <v>0</v>
      </c>
      <c r="I220" s="8" t="s">
        <v>1500</v>
      </c>
      <c r="J220" s="8" t="s">
        <v>1501</v>
      </c>
      <c r="K220" s="71" t="s">
        <v>10</v>
      </c>
      <c r="L220" s="8" t="s">
        <v>1194</v>
      </c>
      <c r="M220" s="8" t="s">
        <v>94</v>
      </c>
      <c r="N220" s="60" t="s">
        <v>98</v>
      </c>
      <c r="O220" s="49" t="s">
        <v>2</v>
      </c>
      <c r="P220" s="8">
        <v>4</v>
      </c>
      <c r="Q220" s="8" t="s">
        <v>1551</v>
      </c>
      <c r="R220" s="8" t="s">
        <v>1503</v>
      </c>
      <c r="S220" s="9" t="str">
        <f>IFERROR(HYPERLINK("#Main!A"&amp;MATCH(A220,Main!A:A,0),"Open"),HYPERLINK("#Main!A1","Open"))</f>
        <v>Open</v>
      </c>
      <c r="T220" s="9" t="str">
        <f>IFERROR(HYPERLINK("#Technical!A"&amp;MATCH(A220,Technical!A:A,0),"Open"),HYPERLINK("#Technical!A1","Open"))</f>
        <v>Open</v>
      </c>
      <c r="U220" s="9"/>
    </row>
    <row r="221" spans="1:21" ht="45" customHeight="1" x14ac:dyDescent="0.25">
      <c r="A221" s="58" t="s">
        <v>512</v>
      </c>
      <c r="B221" s="11">
        <v>34622</v>
      </c>
      <c r="C221" s="43" t="s">
        <v>1340</v>
      </c>
      <c r="D221" s="11" t="s">
        <v>1498</v>
      </c>
      <c r="E221" s="61" t="s">
        <v>67</v>
      </c>
      <c r="F221" s="11" t="s">
        <v>1499</v>
      </c>
      <c r="G221" s="10">
        <v>67</v>
      </c>
      <c r="H221" s="11">
        <v>0</v>
      </c>
      <c r="I221" s="11" t="s">
        <v>1500</v>
      </c>
      <c r="J221" s="11" t="s">
        <v>1501</v>
      </c>
      <c r="K221" s="72" t="s">
        <v>10</v>
      </c>
      <c r="L221" s="11" t="s">
        <v>1194</v>
      </c>
      <c r="M221" s="11" t="s">
        <v>94</v>
      </c>
      <c r="N221" s="60" t="s">
        <v>98</v>
      </c>
      <c r="O221" s="49" t="s">
        <v>2</v>
      </c>
      <c r="P221" s="11">
        <v>4</v>
      </c>
      <c r="Q221" s="11" t="s">
        <v>1552</v>
      </c>
      <c r="R221" s="11" t="s">
        <v>1503</v>
      </c>
      <c r="S221" t="str">
        <f>IFERROR(HYPERLINK("#Main!A"&amp;MATCH(A221,Main!A:A,0),"Open"),HYPERLINK("#Main!A1","Open"))</f>
        <v>Open</v>
      </c>
      <c r="T221" t="str">
        <f>IFERROR(HYPERLINK("#Technical!A"&amp;MATCH(A221,Technical!A:A,0),"Open"),HYPERLINK("#Technical!A1","Open"))</f>
        <v>Open</v>
      </c>
    </row>
    <row r="222" spans="1:21" ht="45" customHeight="1" x14ac:dyDescent="0.25">
      <c r="A222" s="59" t="s">
        <v>519</v>
      </c>
      <c r="B222" s="8">
        <v>28742</v>
      </c>
      <c r="C222" s="43" t="s">
        <v>1342</v>
      </c>
      <c r="D222" s="8" t="s">
        <v>1498</v>
      </c>
      <c r="E222" s="61" t="s">
        <v>67</v>
      </c>
      <c r="F222" s="8" t="s">
        <v>1499</v>
      </c>
      <c r="G222" s="36">
        <v>67</v>
      </c>
      <c r="H222" s="8">
        <v>0</v>
      </c>
      <c r="I222" s="8" t="s">
        <v>1500</v>
      </c>
      <c r="J222" s="8" t="s">
        <v>1501</v>
      </c>
      <c r="K222" s="71" t="s">
        <v>10</v>
      </c>
      <c r="L222" s="8" t="s">
        <v>1194</v>
      </c>
      <c r="M222" s="8" t="s">
        <v>94</v>
      </c>
      <c r="N222" s="60" t="s">
        <v>98</v>
      </c>
      <c r="O222" s="49" t="s">
        <v>2</v>
      </c>
      <c r="P222" s="8">
        <v>4</v>
      </c>
      <c r="Q222" s="8" t="s">
        <v>1553</v>
      </c>
      <c r="R222" s="8" t="s">
        <v>1503</v>
      </c>
      <c r="S222" s="9" t="str">
        <f>IFERROR(HYPERLINK("#Main!A"&amp;MATCH(A222,Main!A:A,0),"Open"),HYPERLINK("#Main!A1","Open"))</f>
        <v>Open</v>
      </c>
      <c r="T222" s="9" t="str">
        <f>IFERROR(HYPERLINK("#Technical!A"&amp;MATCH(A222,Technical!A:A,0),"Open"),HYPERLINK("#Technical!A1","Open"))</f>
        <v>Open</v>
      </c>
      <c r="U222" s="9"/>
    </row>
    <row r="223" spans="1:21" ht="45" customHeight="1" x14ac:dyDescent="0.25">
      <c r="A223" s="58" t="s">
        <v>527</v>
      </c>
      <c r="B223" s="11">
        <v>20001</v>
      </c>
      <c r="C223" s="43" t="s">
        <v>1344</v>
      </c>
      <c r="D223" s="11" t="s">
        <v>1498</v>
      </c>
      <c r="E223" s="61" t="s">
        <v>67</v>
      </c>
      <c r="F223" s="11" t="s">
        <v>1499</v>
      </c>
      <c r="G223" s="10">
        <v>67</v>
      </c>
      <c r="H223" s="11">
        <v>0</v>
      </c>
      <c r="I223" s="11" t="s">
        <v>1500</v>
      </c>
      <c r="J223" s="11" t="s">
        <v>1501</v>
      </c>
      <c r="K223" s="72" t="s">
        <v>10</v>
      </c>
      <c r="L223" s="11" t="s">
        <v>1194</v>
      </c>
      <c r="M223" s="11" t="s">
        <v>94</v>
      </c>
      <c r="N223" s="60" t="s">
        <v>98</v>
      </c>
      <c r="O223" s="49" t="s">
        <v>2</v>
      </c>
      <c r="P223" s="11">
        <v>4</v>
      </c>
      <c r="Q223" s="11" t="s">
        <v>1554</v>
      </c>
      <c r="R223" s="11" t="s">
        <v>1503</v>
      </c>
      <c r="S223" t="str">
        <f>IFERROR(HYPERLINK("#Main!A"&amp;MATCH(A223,Main!A:A,0),"Open"),HYPERLINK("#Main!A1","Open"))</f>
        <v>Open</v>
      </c>
      <c r="T223" t="str">
        <f>IFERROR(HYPERLINK("#Technical!A"&amp;MATCH(A223,Technical!A:A,0),"Open"),HYPERLINK("#Technical!A1","Open"))</f>
        <v>Open</v>
      </c>
    </row>
    <row r="224" spans="1:21" ht="45" customHeight="1" x14ac:dyDescent="0.25">
      <c r="A224" s="59" t="s">
        <v>535</v>
      </c>
      <c r="B224" s="8">
        <v>19980</v>
      </c>
      <c r="C224" s="43" t="s">
        <v>1346</v>
      </c>
      <c r="D224" s="8" t="s">
        <v>1498</v>
      </c>
      <c r="E224" s="61" t="s">
        <v>67</v>
      </c>
      <c r="F224" s="8" t="s">
        <v>1499</v>
      </c>
      <c r="G224" s="36">
        <v>67</v>
      </c>
      <c r="H224" s="8">
        <v>0</v>
      </c>
      <c r="I224" s="8" t="s">
        <v>1500</v>
      </c>
      <c r="J224" s="8" t="s">
        <v>1501</v>
      </c>
      <c r="K224" s="71" t="s">
        <v>10</v>
      </c>
      <c r="L224" s="8" t="s">
        <v>1194</v>
      </c>
      <c r="M224" s="8" t="s">
        <v>94</v>
      </c>
      <c r="N224" s="60" t="s">
        <v>98</v>
      </c>
      <c r="O224" s="49" t="s">
        <v>2</v>
      </c>
      <c r="P224" s="8">
        <v>4</v>
      </c>
      <c r="Q224" s="8" t="s">
        <v>1555</v>
      </c>
      <c r="R224" s="8" t="s">
        <v>1503</v>
      </c>
      <c r="S224" s="9" t="str">
        <f>IFERROR(HYPERLINK("#Main!A"&amp;MATCH(A224,Main!A:A,0),"Open"),HYPERLINK("#Main!A1","Open"))</f>
        <v>Open</v>
      </c>
      <c r="T224" s="9" t="str">
        <f>IFERROR(HYPERLINK("#Technical!A"&amp;MATCH(A224,Technical!A:A,0),"Open"),HYPERLINK("#Technical!A1","Open"))</f>
        <v>Open</v>
      </c>
      <c r="U224" s="9"/>
    </row>
    <row r="225" spans="1:21" ht="45" customHeight="1" x14ac:dyDescent="0.25">
      <c r="A225" s="58" t="s">
        <v>543</v>
      </c>
      <c r="B225" s="11">
        <v>10823</v>
      </c>
      <c r="C225" s="43" t="s">
        <v>1348</v>
      </c>
      <c r="D225" s="11" t="s">
        <v>1498</v>
      </c>
      <c r="E225" s="61" t="s">
        <v>67</v>
      </c>
      <c r="F225" s="11" t="s">
        <v>1499</v>
      </c>
      <c r="G225" s="10">
        <v>67</v>
      </c>
      <c r="H225" s="11">
        <v>0</v>
      </c>
      <c r="I225" s="11" t="s">
        <v>1500</v>
      </c>
      <c r="J225" s="11" t="s">
        <v>1501</v>
      </c>
      <c r="K225" s="72" t="s">
        <v>10</v>
      </c>
      <c r="L225" s="11" t="s">
        <v>1194</v>
      </c>
      <c r="M225" s="11" t="s">
        <v>94</v>
      </c>
      <c r="N225" s="60" t="s">
        <v>98</v>
      </c>
      <c r="O225" s="49" t="s">
        <v>2</v>
      </c>
      <c r="P225" s="11">
        <v>4</v>
      </c>
      <c r="Q225" s="11" t="s">
        <v>1556</v>
      </c>
      <c r="R225" s="11" t="s">
        <v>1503</v>
      </c>
      <c r="S225" t="str">
        <f>IFERROR(HYPERLINK("#Main!A"&amp;MATCH(A225,Main!A:A,0),"Open"),HYPERLINK("#Main!A1","Open"))</f>
        <v>Open</v>
      </c>
      <c r="T225" t="str">
        <f>IFERROR(HYPERLINK("#Technical!A"&amp;MATCH(A225,Technical!A:A,0),"Open"),HYPERLINK("#Technical!A1","Open"))</f>
        <v>Open</v>
      </c>
    </row>
    <row r="226" spans="1:21" ht="45" customHeight="1" x14ac:dyDescent="0.25">
      <c r="A226" s="59" t="s">
        <v>551</v>
      </c>
      <c r="B226" s="8">
        <v>9075</v>
      </c>
      <c r="C226" s="43" t="s">
        <v>1350</v>
      </c>
      <c r="D226" s="8" t="s">
        <v>1498</v>
      </c>
      <c r="E226" s="61" t="s">
        <v>67</v>
      </c>
      <c r="F226" s="8" t="s">
        <v>1499</v>
      </c>
      <c r="G226" s="36">
        <v>67</v>
      </c>
      <c r="H226" s="8">
        <v>0</v>
      </c>
      <c r="I226" s="8" t="s">
        <v>1500</v>
      </c>
      <c r="J226" s="8" t="s">
        <v>1501</v>
      </c>
      <c r="K226" s="71" t="s">
        <v>10</v>
      </c>
      <c r="L226" s="8" t="s">
        <v>1194</v>
      </c>
      <c r="M226" s="8" t="s">
        <v>94</v>
      </c>
      <c r="N226" s="60" t="s">
        <v>98</v>
      </c>
      <c r="O226" s="49" t="s">
        <v>2</v>
      </c>
      <c r="P226" s="8">
        <v>4</v>
      </c>
      <c r="Q226" s="8" t="s">
        <v>1557</v>
      </c>
      <c r="R226" s="8" t="s">
        <v>1503</v>
      </c>
      <c r="S226" s="9" t="str">
        <f>IFERROR(HYPERLINK("#Main!A"&amp;MATCH(A226,Main!A:A,0),"Open"),HYPERLINK("#Main!A1","Open"))</f>
        <v>Open</v>
      </c>
      <c r="T226" s="9" t="str">
        <f>IFERROR(HYPERLINK("#Technical!A"&amp;MATCH(A226,Technical!A:A,0),"Open"),HYPERLINK("#Technical!A1","Open"))</f>
        <v>Open</v>
      </c>
      <c r="U226" s="9"/>
    </row>
    <row r="227" spans="1:21" ht="45" customHeight="1" x14ac:dyDescent="0.25">
      <c r="A227" s="58" t="s">
        <v>559</v>
      </c>
      <c r="B227" s="11">
        <v>17908</v>
      </c>
      <c r="C227" s="43" t="s">
        <v>1352</v>
      </c>
      <c r="D227" s="11" t="s">
        <v>1498</v>
      </c>
      <c r="E227" s="61" t="s">
        <v>67</v>
      </c>
      <c r="F227" s="11" t="s">
        <v>1499</v>
      </c>
      <c r="G227" s="10">
        <v>67</v>
      </c>
      <c r="H227" s="11">
        <v>0</v>
      </c>
      <c r="I227" s="11" t="s">
        <v>1500</v>
      </c>
      <c r="J227" s="11" t="s">
        <v>1501</v>
      </c>
      <c r="K227" s="72" t="s">
        <v>10</v>
      </c>
      <c r="L227" s="11" t="s">
        <v>1194</v>
      </c>
      <c r="M227" s="11" t="s">
        <v>94</v>
      </c>
      <c r="N227" s="60" t="s">
        <v>98</v>
      </c>
      <c r="O227" s="49" t="s">
        <v>2</v>
      </c>
      <c r="P227" s="11">
        <v>4</v>
      </c>
      <c r="Q227" s="11" t="s">
        <v>1558</v>
      </c>
      <c r="R227" s="11" t="s">
        <v>1503</v>
      </c>
      <c r="S227" t="str">
        <f>IFERROR(HYPERLINK("#Main!A"&amp;MATCH(A227,Main!A:A,0),"Open"),HYPERLINK("#Main!A1","Open"))</f>
        <v>Open</v>
      </c>
      <c r="T227" t="str">
        <f>IFERROR(HYPERLINK("#Technical!A"&amp;MATCH(A227,Technical!A:A,0),"Open"),HYPERLINK("#Technical!A1","Open"))</f>
        <v>Open</v>
      </c>
    </row>
    <row r="228" spans="1:21" ht="45" customHeight="1" x14ac:dyDescent="0.25">
      <c r="A228" s="59" t="s">
        <v>566</v>
      </c>
      <c r="B228" s="8">
        <v>24640</v>
      </c>
      <c r="C228" s="43" t="s">
        <v>1354</v>
      </c>
      <c r="D228" s="8" t="s">
        <v>1498</v>
      </c>
      <c r="E228" s="61" t="s">
        <v>67</v>
      </c>
      <c r="F228" s="8" t="s">
        <v>1499</v>
      </c>
      <c r="G228" s="36">
        <v>67</v>
      </c>
      <c r="H228" s="8">
        <v>0</v>
      </c>
      <c r="I228" s="8" t="s">
        <v>1500</v>
      </c>
      <c r="J228" s="8" t="s">
        <v>1501</v>
      </c>
      <c r="K228" s="71" t="s">
        <v>10</v>
      </c>
      <c r="L228" s="8" t="s">
        <v>1194</v>
      </c>
      <c r="M228" s="8" t="s">
        <v>94</v>
      </c>
      <c r="N228" s="60" t="s">
        <v>98</v>
      </c>
      <c r="O228" s="49" t="s">
        <v>2</v>
      </c>
      <c r="P228" s="8">
        <v>4</v>
      </c>
      <c r="Q228" s="8" t="s">
        <v>1559</v>
      </c>
      <c r="R228" s="8" t="s">
        <v>1503</v>
      </c>
      <c r="S228" s="9" t="str">
        <f>IFERROR(HYPERLINK("#Main!A"&amp;MATCH(A228,Main!A:A,0),"Open"),HYPERLINK("#Main!A1","Open"))</f>
        <v>Open</v>
      </c>
      <c r="T228" s="9" t="str">
        <f>IFERROR(HYPERLINK("#Technical!A"&amp;MATCH(A228,Technical!A:A,0),"Open"),HYPERLINK("#Technical!A1","Open"))</f>
        <v>Open</v>
      </c>
      <c r="U228" s="9"/>
    </row>
    <row r="229" spans="1:21" ht="45" customHeight="1" x14ac:dyDescent="0.25">
      <c r="A229" s="58" t="s">
        <v>574</v>
      </c>
      <c r="B229" s="11">
        <v>16472</v>
      </c>
      <c r="C229" s="43" t="s">
        <v>1356</v>
      </c>
      <c r="D229" s="11" t="s">
        <v>1498</v>
      </c>
      <c r="E229" s="61" t="s">
        <v>67</v>
      </c>
      <c r="F229" s="11" t="s">
        <v>1499</v>
      </c>
      <c r="G229" s="10">
        <v>67</v>
      </c>
      <c r="H229" s="11">
        <v>0</v>
      </c>
      <c r="I229" s="11" t="s">
        <v>1500</v>
      </c>
      <c r="J229" s="11" t="s">
        <v>1501</v>
      </c>
      <c r="K229" s="72" t="s">
        <v>10</v>
      </c>
      <c r="L229" s="11" t="s">
        <v>1194</v>
      </c>
      <c r="M229" s="11" t="s">
        <v>94</v>
      </c>
      <c r="N229" s="60" t="s">
        <v>98</v>
      </c>
      <c r="O229" s="49" t="s">
        <v>2</v>
      </c>
      <c r="P229" s="11">
        <v>4</v>
      </c>
      <c r="Q229" s="11" t="s">
        <v>1560</v>
      </c>
      <c r="R229" s="11" t="s">
        <v>1503</v>
      </c>
      <c r="S229" t="str">
        <f>IFERROR(HYPERLINK("#Main!A"&amp;MATCH(A229,Main!A:A,0),"Open"),HYPERLINK("#Main!A1","Open"))</f>
        <v>Open</v>
      </c>
      <c r="T229" t="str">
        <f>IFERROR(HYPERLINK("#Technical!A"&amp;MATCH(A229,Technical!A:A,0),"Open"),HYPERLINK("#Technical!A1","Open"))</f>
        <v>Open</v>
      </c>
    </row>
    <row r="230" spans="1:21" ht="45" customHeight="1" x14ac:dyDescent="0.25">
      <c r="A230" s="59" t="s">
        <v>582</v>
      </c>
      <c r="B230" s="8">
        <v>92</v>
      </c>
      <c r="C230" s="43" t="s">
        <v>1358</v>
      </c>
      <c r="D230" s="8" t="s">
        <v>1498</v>
      </c>
      <c r="E230" s="61" t="s">
        <v>67</v>
      </c>
      <c r="F230" s="8" t="s">
        <v>1499</v>
      </c>
      <c r="G230" s="36">
        <v>67</v>
      </c>
      <c r="H230" s="8">
        <v>0</v>
      </c>
      <c r="I230" s="8" t="s">
        <v>1500</v>
      </c>
      <c r="J230" s="8" t="s">
        <v>1501</v>
      </c>
      <c r="K230" s="71" t="s">
        <v>10</v>
      </c>
      <c r="L230" s="8" t="s">
        <v>1194</v>
      </c>
      <c r="M230" s="8" t="s">
        <v>94</v>
      </c>
      <c r="N230" s="60" t="s">
        <v>98</v>
      </c>
      <c r="O230" s="49" t="s">
        <v>2</v>
      </c>
      <c r="P230" s="8">
        <v>4</v>
      </c>
      <c r="Q230" s="8" t="s">
        <v>1561</v>
      </c>
      <c r="R230" s="8" t="s">
        <v>1503</v>
      </c>
      <c r="S230" s="9" t="str">
        <f>IFERROR(HYPERLINK("#Main!A"&amp;MATCH(A230,Main!A:A,0),"Open"),HYPERLINK("#Main!A1","Open"))</f>
        <v>Open</v>
      </c>
      <c r="T230" s="9" t="str">
        <f>IFERROR(HYPERLINK("#Technical!A"&amp;MATCH(A230,Technical!A:A,0),"Open"),HYPERLINK("#Technical!A1","Open"))</f>
        <v>Open</v>
      </c>
      <c r="U230" s="9"/>
    </row>
    <row r="231" spans="1:21" ht="45" customHeight="1" x14ac:dyDescent="0.25">
      <c r="A231" s="58" t="s">
        <v>590</v>
      </c>
      <c r="B231" s="11">
        <v>18478</v>
      </c>
      <c r="C231" s="43" t="s">
        <v>1360</v>
      </c>
      <c r="D231" s="11" t="s">
        <v>1498</v>
      </c>
      <c r="E231" s="61" t="s">
        <v>67</v>
      </c>
      <c r="F231" s="11" t="s">
        <v>1499</v>
      </c>
      <c r="G231" s="10">
        <v>67</v>
      </c>
      <c r="H231" s="11">
        <v>0</v>
      </c>
      <c r="I231" s="11" t="s">
        <v>1500</v>
      </c>
      <c r="J231" s="11" t="s">
        <v>1501</v>
      </c>
      <c r="K231" s="72" t="s">
        <v>10</v>
      </c>
      <c r="L231" s="11" t="s">
        <v>1194</v>
      </c>
      <c r="M231" s="11" t="s">
        <v>94</v>
      </c>
      <c r="N231" s="60" t="s">
        <v>98</v>
      </c>
      <c r="O231" s="49" t="s">
        <v>2</v>
      </c>
      <c r="P231" s="11">
        <v>4</v>
      </c>
      <c r="Q231" s="11" t="s">
        <v>1562</v>
      </c>
      <c r="R231" s="11" t="s">
        <v>1503</v>
      </c>
      <c r="S231" t="str">
        <f>IFERROR(HYPERLINK("#Main!A"&amp;MATCH(A231,Main!A:A,0),"Open"),HYPERLINK("#Main!A1","Open"))</f>
        <v>Open</v>
      </c>
      <c r="T231" t="str">
        <f>IFERROR(HYPERLINK("#Technical!A"&amp;MATCH(A231,Technical!A:A,0),"Open"),HYPERLINK("#Technical!A1","Open"))</f>
        <v>Open</v>
      </c>
    </row>
    <row r="232" spans="1:21" ht="45" customHeight="1" x14ac:dyDescent="0.25">
      <c r="A232" s="59" t="s">
        <v>598</v>
      </c>
      <c r="B232" s="8">
        <v>19172</v>
      </c>
      <c r="C232" s="43" t="s">
        <v>1362</v>
      </c>
      <c r="D232" s="8" t="s">
        <v>1498</v>
      </c>
      <c r="E232" s="61" t="s">
        <v>67</v>
      </c>
      <c r="F232" s="8" t="s">
        <v>1499</v>
      </c>
      <c r="G232" s="36">
        <v>67</v>
      </c>
      <c r="H232" s="8">
        <v>0</v>
      </c>
      <c r="I232" s="8" t="s">
        <v>1500</v>
      </c>
      <c r="J232" s="8" t="s">
        <v>1501</v>
      </c>
      <c r="K232" s="71" t="s">
        <v>10</v>
      </c>
      <c r="L232" s="8" t="s">
        <v>1194</v>
      </c>
      <c r="M232" s="8" t="s">
        <v>94</v>
      </c>
      <c r="N232" s="60" t="s">
        <v>98</v>
      </c>
      <c r="O232" s="49" t="s">
        <v>2</v>
      </c>
      <c r="P232" s="8">
        <v>4</v>
      </c>
      <c r="Q232" s="8" t="s">
        <v>1563</v>
      </c>
      <c r="R232" s="8" t="s">
        <v>1503</v>
      </c>
      <c r="S232" s="9" t="str">
        <f>IFERROR(HYPERLINK("#Main!A"&amp;MATCH(A232,Main!A:A,0),"Open"),HYPERLINK("#Main!A1","Open"))</f>
        <v>Open</v>
      </c>
      <c r="T232" s="9" t="str">
        <f>IFERROR(HYPERLINK("#Technical!A"&amp;MATCH(A232,Technical!A:A,0),"Open"),HYPERLINK("#Technical!A1","Open"))</f>
        <v>Open</v>
      </c>
      <c r="U232" s="9"/>
    </row>
    <row r="233" spans="1:21" ht="45" customHeight="1" x14ac:dyDescent="0.25">
      <c r="A233" s="58" t="s">
        <v>606</v>
      </c>
      <c r="B233" s="11">
        <v>88</v>
      </c>
      <c r="C233" s="43" t="s">
        <v>1364</v>
      </c>
      <c r="D233" s="11" t="s">
        <v>1498</v>
      </c>
      <c r="E233" s="61" t="s">
        <v>67</v>
      </c>
      <c r="F233" s="11" t="s">
        <v>1499</v>
      </c>
      <c r="G233" s="10">
        <v>67</v>
      </c>
      <c r="H233" s="11">
        <v>0</v>
      </c>
      <c r="I233" s="11" t="s">
        <v>1500</v>
      </c>
      <c r="J233" s="11" t="s">
        <v>1501</v>
      </c>
      <c r="K233" s="72" t="s">
        <v>10</v>
      </c>
      <c r="L233" s="11" t="s">
        <v>1194</v>
      </c>
      <c r="M233" s="11" t="s">
        <v>94</v>
      </c>
      <c r="N233" s="60" t="s">
        <v>98</v>
      </c>
      <c r="O233" s="49" t="s">
        <v>2</v>
      </c>
      <c r="P233" s="11">
        <v>4</v>
      </c>
      <c r="Q233" s="11" t="s">
        <v>1564</v>
      </c>
      <c r="R233" s="11" t="s">
        <v>1503</v>
      </c>
      <c r="S233" t="str">
        <f>IFERROR(HYPERLINK("#Main!A"&amp;MATCH(A233,Main!A:A,0),"Open"),HYPERLINK("#Main!A1","Open"))</f>
        <v>Open</v>
      </c>
      <c r="T233" t="str">
        <f>IFERROR(HYPERLINK("#Technical!A"&amp;MATCH(A233,Technical!A:A,0),"Open"),HYPERLINK("#Technical!A1","Open"))</f>
        <v>Open</v>
      </c>
    </row>
    <row r="234" spans="1:21" ht="45" customHeight="1" x14ac:dyDescent="0.25">
      <c r="A234" s="59" t="s">
        <v>614</v>
      </c>
      <c r="B234" s="8">
        <v>16548</v>
      </c>
      <c r="C234" s="43" t="s">
        <v>1366</v>
      </c>
      <c r="D234" s="8" t="s">
        <v>1498</v>
      </c>
      <c r="E234" s="61" t="s">
        <v>67</v>
      </c>
      <c r="F234" s="8" t="s">
        <v>1499</v>
      </c>
      <c r="G234" s="36">
        <v>67</v>
      </c>
      <c r="H234" s="8">
        <v>0</v>
      </c>
      <c r="I234" s="8" t="s">
        <v>1500</v>
      </c>
      <c r="J234" s="8" t="s">
        <v>1501</v>
      </c>
      <c r="K234" s="71" t="s">
        <v>10</v>
      </c>
      <c r="L234" s="8" t="s">
        <v>1194</v>
      </c>
      <c r="M234" s="8" t="s">
        <v>94</v>
      </c>
      <c r="N234" s="60" t="s">
        <v>98</v>
      </c>
      <c r="O234" s="49" t="s">
        <v>2</v>
      </c>
      <c r="P234" s="8">
        <v>4</v>
      </c>
      <c r="Q234" s="8" t="s">
        <v>1565</v>
      </c>
      <c r="R234" s="8" t="s">
        <v>1503</v>
      </c>
      <c r="S234" s="9" t="str">
        <f>IFERROR(HYPERLINK("#Main!A"&amp;MATCH(A234,Main!A:A,0),"Open"),HYPERLINK("#Main!A1","Open"))</f>
        <v>Open</v>
      </c>
      <c r="T234" s="9" t="str">
        <f>IFERROR(HYPERLINK("#Technical!A"&amp;MATCH(A234,Technical!A:A,0),"Open"),HYPERLINK("#Technical!A1","Open"))</f>
        <v>Open</v>
      </c>
      <c r="U234" s="9"/>
    </row>
    <row r="235" spans="1:21" ht="45" customHeight="1" x14ac:dyDescent="0.25">
      <c r="A235" s="58" t="s">
        <v>622</v>
      </c>
      <c r="B235" s="11">
        <v>20341</v>
      </c>
      <c r="C235" s="43" t="s">
        <v>1241</v>
      </c>
      <c r="D235" s="11" t="s">
        <v>1498</v>
      </c>
      <c r="E235" s="61" t="s">
        <v>67</v>
      </c>
      <c r="F235" s="11" t="s">
        <v>1499</v>
      </c>
      <c r="G235" s="10">
        <v>67</v>
      </c>
      <c r="H235" s="11">
        <v>0</v>
      </c>
      <c r="I235" s="11" t="s">
        <v>1500</v>
      </c>
      <c r="J235" s="11" t="s">
        <v>1501</v>
      </c>
      <c r="K235" s="72" t="s">
        <v>10</v>
      </c>
      <c r="L235" s="11" t="s">
        <v>1194</v>
      </c>
      <c r="M235" s="11" t="s">
        <v>94</v>
      </c>
      <c r="N235" s="60" t="s">
        <v>98</v>
      </c>
      <c r="O235" s="49" t="s">
        <v>2</v>
      </c>
      <c r="P235" s="11">
        <v>4</v>
      </c>
      <c r="Q235" s="11" t="s">
        <v>1566</v>
      </c>
      <c r="R235" s="11" t="s">
        <v>1503</v>
      </c>
      <c r="S235" t="str">
        <f>IFERROR(HYPERLINK("#Main!A"&amp;MATCH(A235,Main!A:A,0),"Open"),HYPERLINK("#Main!A1","Open"))</f>
        <v>Open</v>
      </c>
      <c r="T235" t="str">
        <f>IFERROR(HYPERLINK("#Technical!A"&amp;MATCH(A235,Technical!A:A,0),"Open"),HYPERLINK("#Technical!A1","Open"))</f>
        <v>Open</v>
      </c>
    </row>
    <row r="236" spans="1:21" ht="45" customHeight="1" x14ac:dyDescent="0.25">
      <c r="A236" s="59" t="s">
        <v>627</v>
      </c>
      <c r="B236" s="8">
        <v>31820</v>
      </c>
      <c r="C236" s="43" t="s">
        <v>1369</v>
      </c>
      <c r="D236" s="8" t="s">
        <v>1498</v>
      </c>
      <c r="E236" s="61" t="s">
        <v>67</v>
      </c>
      <c r="F236" s="8" t="s">
        <v>1499</v>
      </c>
      <c r="G236" s="36">
        <v>67</v>
      </c>
      <c r="H236" s="8">
        <v>0</v>
      </c>
      <c r="I236" s="8" t="s">
        <v>1500</v>
      </c>
      <c r="J236" s="8" t="s">
        <v>1501</v>
      </c>
      <c r="K236" s="71" t="s">
        <v>10</v>
      </c>
      <c r="L236" s="8" t="s">
        <v>1194</v>
      </c>
      <c r="M236" s="8" t="s">
        <v>94</v>
      </c>
      <c r="N236" s="60" t="s">
        <v>98</v>
      </c>
      <c r="O236" s="49" t="s">
        <v>2</v>
      </c>
      <c r="P236" s="8">
        <v>4</v>
      </c>
      <c r="Q236" s="8" t="s">
        <v>1567</v>
      </c>
      <c r="R236" s="8" t="s">
        <v>1503</v>
      </c>
      <c r="S236" s="9" t="str">
        <f>IFERROR(HYPERLINK("#Main!A"&amp;MATCH(A236,Main!A:A,0),"Open"),HYPERLINK("#Main!A1","Open"))</f>
        <v>Open</v>
      </c>
      <c r="T236" s="9" t="str">
        <f>IFERROR(HYPERLINK("#Technical!A"&amp;MATCH(A236,Technical!A:A,0),"Open"),HYPERLINK("#Technical!A1","Open"))</f>
        <v>Open</v>
      </c>
      <c r="U236" s="9"/>
    </row>
    <row r="237" spans="1:21" ht="45" customHeight="1" x14ac:dyDescent="0.25">
      <c r="A237" s="58" t="s">
        <v>635</v>
      </c>
      <c r="B237" s="11">
        <v>5597</v>
      </c>
      <c r="C237" s="43" t="s">
        <v>1371</v>
      </c>
      <c r="D237" s="11" t="s">
        <v>1498</v>
      </c>
      <c r="E237" s="61" t="s">
        <v>67</v>
      </c>
      <c r="F237" s="11" t="s">
        <v>1499</v>
      </c>
      <c r="G237" s="10">
        <v>67</v>
      </c>
      <c r="H237" s="11">
        <v>0</v>
      </c>
      <c r="I237" s="11" t="s">
        <v>1500</v>
      </c>
      <c r="J237" s="11" t="s">
        <v>1501</v>
      </c>
      <c r="K237" s="72" t="s">
        <v>10</v>
      </c>
      <c r="L237" s="11" t="s">
        <v>1194</v>
      </c>
      <c r="M237" s="11" t="s">
        <v>94</v>
      </c>
      <c r="N237" s="60" t="s">
        <v>98</v>
      </c>
      <c r="O237" s="49" t="s">
        <v>2</v>
      </c>
      <c r="P237" s="11">
        <v>4</v>
      </c>
      <c r="Q237" s="11" t="s">
        <v>1568</v>
      </c>
      <c r="R237" s="11" t="s">
        <v>1503</v>
      </c>
      <c r="S237" t="str">
        <f>IFERROR(HYPERLINK("#Main!A"&amp;MATCH(A237,Main!A:A,0),"Open"),HYPERLINK("#Main!A1","Open"))</f>
        <v>Open</v>
      </c>
      <c r="T237" t="str">
        <f>IFERROR(HYPERLINK("#Technical!A"&amp;MATCH(A237,Technical!A:A,0),"Open"),HYPERLINK("#Technical!A1","Open"))</f>
        <v>Open</v>
      </c>
    </row>
    <row r="238" spans="1:21" ht="45" customHeight="1" x14ac:dyDescent="0.25">
      <c r="A238" s="59" t="s">
        <v>642</v>
      </c>
      <c r="B238" s="8">
        <v>33050</v>
      </c>
      <c r="C238" s="43" t="s">
        <v>1373</v>
      </c>
      <c r="D238" s="8" t="s">
        <v>1498</v>
      </c>
      <c r="E238" s="61" t="s">
        <v>67</v>
      </c>
      <c r="F238" s="8" t="s">
        <v>1499</v>
      </c>
      <c r="G238" s="36">
        <v>67</v>
      </c>
      <c r="H238" s="8">
        <v>0</v>
      </c>
      <c r="I238" s="8" t="s">
        <v>1500</v>
      </c>
      <c r="J238" s="8" t="s">
        <v>1501</v>
      </c>
      <c r="K238" s="71" t="s">
        <v>10</v>
      </c>
      <c r="L238" s="8" t="s">
        <v>1194</v>
      </c>
      <c r="M238" s="8" t="s">
        <v>94</v>
      </c>
      <c r="N238" s="60" t="s">
        <v>98</v>
      </c>
      <c r="O238" s="49" t="s">
        <v>2</v>
      </c>
      <c r="P238" s="8">
        <v>4</v>
      </c>
      <c r="Q238" s="8" t="s">
        <v>1569</v>
      </c>
      <c r="R238" s="8" t="s">
        <v>1503</v>
      </c>
      <c r="S238" s="9" t="str">
        <f>IFERROR(HYPERLINK("#Main!A"&amp;MATCH(A238,Main!A:A,0),"Open"),HYPERLINK("#Main!A1","Open"))</f>
        <v>Open</v>
      </c>
      <c r="T238" s="9" t="str">
        <f>IFERROR(HYPERLINK("#Technical!A"&amp;MATCH(A238,Technical!A:A,0),"Open"),HYPERLINK("#Technical!A1","Open"))</f>
        <v>Open</v>
      </c>
      <c r="U238" s="9"/>
    </row>
    <row r="239" spans="1:21" ht="45" customHeight="1" x14ac:dyDescent="0.25">
      <c r="A239" s="58" t="s">
        <v>650</v>
      </c>
      <c r="B239" s="11">
        <v>86</v>
      </c>
      <c r="C239" s="43" t="s">
        <v>1375</v>
      </c>
      <c r="D239" s="11" t="s">
        <v>1498</v>
      </c>
      <c r="E239" s="61" t="s">
        <v>67</v>
      </c>
      <c r="F239" s="11" t="s">
        <v>1499</v>
      </c>
      <c r="G239" s="10">
        <v>67</v>
      </c>
      <c r="H239" s="11">
        <v>0</v>
      </c>
      <c r="I239" s="11" t="s">
        <v>1500</v>
      </c>
      <c r="J239" s="11" t="s">
        <v>1501</v>
      </c>
      <c r="K239" s="72" t="s">
        <v>10</v>
      </c>
      <c r="L239" s="11" t="s">
        <v>1194</v>
      </c>
      <c r="M239" s="11" t="s">
        <v>94</v>
      </c>
      <c r="N239" s="60" t="s">
        <v>98</v>
      </c>
      <c r="O239" s="49" t="s">
        <v>2</v>
      </c>
      <c r="P239" s="11">
        <v>4</v>
      </c>
      <c r="Q239" s="11" t="s">
        <v>1570</v>
      </c>
      <c r="R239" s="11" t="s">
        <v>1503</v>
      </c>
      <c r="S239" t="str">
        <f>IFERROR(HYPERLINK("#Main!A"&amp;MATCH(A239,Main!A:A,0),"Open"),HYPERLINK("#Main!A1","Open"))</f>
        <v>Open</v>
      </c>
      <c r="T239" t="str">
        <f>IFERROR(HYPERLINK("#Technical!A"&amp;MATCH(A239,Technical!A:A,0),"Open"),HYPERLINK("#Technical!A1","Open"))</f>
        <v>Open</v>
      </c>
    </row>
    <row r="240" spans="1:21" ht="45" customHeight="1" x14ac:dyDescent="0.25">
      <c r="A240" s="59" t="s">
        <v>658</v>
      </c>
      <c r="B240" s="8">
        <v>2196</v>
      </c>
      <c r="C240" s="43" t="s">
        <v>1377</v>
      </c>
      <c r="D240" s="8" t="s">
        <v>1498</v>
      </c>
      <c r="E240" s="61" t="s">
        <v>67</v>
      </c>
      <c r="F240" s="8" t="s">
        <v>1499</v>
      </c>
      <c r="G240" s="36">
        <v>67</v>
      </c>
      <c r="H240" s="8">
        <v>0</v>
      </c>
      <c r="I240" s="8" t="s">
        <v>1500</v>
      </c>
      <c r="J240" s="8" t="s">
        <v>1501</v>
      </c>
      <c r="K240" s="71" t="s">
        <v>10</v>
      </c>
      <c r="L240" s="8" t="s">
        <v>1194</v>
      </c>
      <c r="M240" s="8" t="s">
        <v>94</v>
      </c>
      <c r="N240" s="60" t="s">
        <v>98</v>
      </c>
      <c r="O240" s="49" t="s">
        <v>2</v>
      </c>
      <c r="P240" s="8">
        <v>4</v>
      </c>
      <c r="Q240" s="8" t="s">
        <v>1571</v>
      </c>
      <c r="R240" s="8" t="s">
        <v>1503</v>
      </c>
      <c r="S240" s="9" t="str">
        <f>IFERROR(HYPERLINK("#Main!A"&amp;MATCH(A240,Main!A:A,0),"Open"),HYPERLINK("#Main!A1","Open"))</f>
        <v>Open</v>
      </c>
      <c r="T240" s="9" t="str">
        <f>IFERROR(HYPERLINK("#Technical!A"&amp;MATCH(A240,Technical!A:A,0),"Open"),HYPERLINK("#Technical!A1","Open"))</f>
        <v>Open</v>
      </c>
      <c r="U240" s="9"/>
    </row>
    <row r="241" spans="1:21" ht="45" customHeight="1" x14ac:dyDescent="0.25">
      <c r="A241" s="58" t="s">
        <v>666</v>
      </c>
      <c r="B241" s="11">
        <v>3</v>
      </c>
      <c r="C241" s="43" t="s">
        <v>1379</v>
      </c>
      <c r="D241" s="11" t="s">
        <v>1498</v>
      </c>
      <c r="E241" s="61" t="s">
        <v>67</v>
      </c>
      <c r="F241" s="11" t="s">
        <v>1499</v>
      </c>
      <c r="G241" s="10">
        <v>67</v>
      </c>
      <c r="H241" s="11">
        <v>0</v>
      </c>
      <c r="I241" s="11" t="s">
        <v>1500</v>
      </c>
      <c r="J241" s="11" t="s">
        <v>1501</v>
      </c>
      <c r="K241" s="72" t="s">
        <v>10</v>
      </c>
      <c r="L241" s="11" t="s">
        <v>1194</v>
      </c>
      <c r="M241" s="11" t="s">
        <v>94</v>
      </c>
      <c r="N241" s="60" t="s">
        <v>98</v>
      </c>
      <c r="O241" s="49" t="s">
        <v>2</v>
      </c>
      <c r="P241" s="11">
        <v>4</v>
      </c>
      <c r="Q241" s="11" t="s">
        <v>1572</v>
      </c>
      <c r="R241" s="11" t="s">
        <v>1503</v>
      </c>
      <c r="S241" t="str">
        <f>IFERROR(HYPERLINK("#Main!A"&amp;MATCH(A241,Main!A:A,0),"Open"),HYPERLINK("#Main!A1","Open"))</f>
        <v>Open</v>
      </c>
      <c r="T241" t="str">
        <f>IFERROR(HYPERLINK("#Technical!A"&amp;MATCH(A241,Technical!A:A,0),"Open"),HYPERLINK("#Technical!A1","Open"))</f>
        <v>Open</v>
      </c>
    </row>
    <row r="242" spans="1:21" ht="45" customHeight="1" x14ac:dyDescent="0.25">
      <c r="A242" s="59" t="s">
        <v>674</v>
      </c>
      <c r="B242" s="8">
        <v>9047</v>
      </c>
      <c r="C242" s="43" t="s">
        <v>1381</v>
      </c>
      <c r="D242" s="8" t="s">
        <v>1498</v>
      </c>
      <c r="E242" s="61" t="s">
        <v>67</v>
      </c>
      <c r="F242" s="8" t="s">
        <v>1499</v>
      </c>
      <c r="G242" s="36">
        <v>67</v>
      </c>
      <c r="H242" s="8">
        <v>0</v>
      </c>
      <c r="I242" s="8" t="s">
        <v>1500</v>
      </c>
      <c r="J242" s="8" t="s">
        <v>1501</v>
      </c>
      <c r="K242" s="71" t="s">
        <v>10</v>
      </c>
      <c r="L242" s="8" t="s">
        <v>1194</v>
      </c>
      <c r="M242" s="8" t="s">
        <v>94</v>
      </c>
      <c r="N242" s="60" t="s">
        <v>98</v>
      </c>
      <c r="O242" s="49" t="s">
        <v>2</v>
      </c>
      <c r="P242" s="8">
        <v>4</v>
      </c>
      <c r="Q242" s="8" t="s">
        <v>1573</v>
      </c>
      <c r="R242" s="8" t="s">
        <v>1503</v>
      </c>
      <c r="S242" s="9" t="str">
        <f>IFERROR(HYPERLINK("#Main!A"&amp;MATCH(A242,Main!A:A,0),"Open"),HYPERLINK("#Main!A1","Open"))</f>
        <v>Open</v>
      </c>
      <c r="T242" s="9" t="str">
        <f>IFERROR(HYPERLINK("#Technical!A"&amp;MATCH(A242,Technical!A:A,0),"Open"),HYPERLINK("#Technical!A1","Open"))</f>
        <v>Open</v>
      </c>
      <c r="U242" s="9"/>
    </row>
    <row r="243" spans="1:21" ht="45" customHeight="1" x14ac:dyDescent="0.25">
      <c r="A243" s="58" t="s">
        <v>682</v>
      </c>
      <c r="B243" s="11">
        <v>3686</v>
      </c>
      <c r="C243" s="43" t="s">
        <v>1383</v>
      </c>
      <c r="D243" s="11" t="s">
        <v>1498</v>
      </c>
      <c r="E243" s="61" t="s">
        <v>67</v>
      </c>
      <c r="F243" s="11" t="s">
        <v>1499</v>
      </c>
      <c r="G243" s="10">
        <v>67</v>
      </c>
      <c r="H243" s="11">
        <v>0</v>
      </c>
      <c r="I243" s="11" t="s">
        <v>1500</v>
      </c>
      <c r="J243" s="11" t="s">
        <v>1501</v>
      </c>
      <c r="K243" s="72" t="s">
        <v>10</v>
      </c>
      <c r="L243" s="11" t="s">
        <v>1194</v>
      </c>
      <c r="M243" s="11" t="s">
        <v>94</v>
      </c>
      <c r="N243" s="60" t="s">
        <v>98</v>
      </c>
      <c r="O243" s="49" t="s">
        <v>2</v>
      </c>
      <c r="P243" s="11">
        <v>4</v>
      </c>
      <c r="Q243" s="11" t="s">
        <v>1574</v>
      </c>
      <c r="R243" s="11" t="s">
        <v>1503</v>
      </c>
      <c r="S243" t="str">
        <f>IFERROR(HYPERLINK("#Main!A"&amp;MATCH(A243,Main!A:A,0),"Open"),HYPERLINK("#Main!A1","Open"))</f>
        <v>Open</v>
      </c>
      <c r="T243" t="str">
        <f>IFERROR(HYPERLINK("#Technical!A"&amp;MATCH(A243,Technical!A:A,0),"Open"),HYPERLINK("#Technical!A1","Open"))</f>
        <v>Open</v>
      </c>
    </row>
    <row r="244" spans="1:21" ht="45" customHeight="1" x14ac:dyDescent="0.25">
      <c r="A244" s="59" t="s">
        <v>690</v>
      </c>
      <c r="B244" s="8">
        <v>21962</v>
      </c>
      <c r="C244" s="43" t="s">
        <v>1385</v>
      </c>
      <c r="D244" s="8" t="s">
        <v>1498</v>
      </c>
      <c r="E244" s="61" t="s">
        <v>67</v>
      </c>
      <c r="F244" s="8" t="s">
        <v>1499</v>
      </c>
      <c r="G244" s="36">
        <v>67</v>
      </c>
      <c r="H244" s="8">
        <v>0</v>
      </c>
      <c r="I244" s="8" t="s">
        <v>1500</v>
      </c>
      <c r="J244" s="8" t="s">
        <v>1501</v>
      </c>
      <c r="K244" s="71" t="s">
        <v>10</v>
      </c>
      <c r="L244" s="8" t="s">
        <v>1194</v>
      </c>
      <c r="M244" s="8" t="s">
        <v>94</v>
      </c>
      <c r="N244" s="60" t="s">
        <v>98</v>
      </c>
      <c r="O244" s="49" t="s">
        <v>2</v>
      </c>
      <c r="P244" s="8">
        <v>4</v>
      </c>
      <c r="Q244" s="8" t="s">
        <v>1575</v>
      </c>
      <c r="R244" s="8" t="s">
        <v>1503</v>
      </c>
      <c r="S244" s="9" t="str">
        <f>IFERROR(HYPERLINK("#Main!A"&amp;MATCH(A244,Main!A:A,0),"Open"),HYPERLINK("#Main!A1","Open"))</f>
        <v>Open</v>
      </c>
      <c r="T244" s="9" t="str">
        <f>IFERROR(HYPERLINK("#Technical!A"&amp;MATCH(A244,Technical!A:A,0),"Open"),HYPERLINK("#Technical!A1","Open"))</f>
        <v>Open</v>
      </c>
      <c r="U244" s="9"/>
    </row>
    <row r="245" spans="1:21" ht="45" customHeight="1" x14ac:dyDescent="0.25">
      <c r="A245" s="58" t="s">
        <v>698</v>
      </c>
      <c r="B245" s="11">
        <v>3252</v>
      </c>
      <c r="C245" s="43" t="s">
        <v>1387</v>
      </c>
      <c r="D245" s="11" t="s">
        <v>1498</v>
      </c>
      <c r="E245" s="61" t="s">
        <v>67</v>
      </c>
      <c r="F245" s="11" t="s">
        <v>1499</v>
      </c>
      <c r="G245" s="10">
        <v>67</v>
      </c>
      <c r="H245" s="11">
        <v>0</v>
      </c>
      <c r="I245" s="11" t="s">
        <v>1500</v>
      </c>
      <c r="J245" s="11" t="s">
        <v>1501</v>
      </c>
      <c r="K245" s="72" t="s">
        <v>10</v>
      </c>
      <c r="L245" s="11" t="s">
        <v>1194</v>
      </c>
      <c r="M245" s="11" t="s">
        <v>94</v>
      </c>
      <c r="N245" s="60" t="s">
        <v>98</v>
      </c>
      <c r="O245" s="49" t="s">
        <v>2</v>
      </c>
      <c r="P245" s="11">
        <v>4</v>
      </c>
      <c r="Q245" s="11" t="s">
        <v>1576</v>
      </c>
      <c r="R245" s="11" t="s">
        <v>1503</v>
      </c>
      <c r="S245" t="str">
        <f>IFERROR(HYPERLINK("#Main!A"&amp;MATCH(A245,Main!A:A,0),"Open"),HYPERLINK("#Main!A1","Open"))</f>
        <v>Open</v>
      </c>
      <c r="T245" t="str">
        <f>IFERROR(HYPERLINK("#Technical!A"&amp;MATCH(A245,Technical!A:A,0),"Open"),HYPERLINK("#Technical!A1","Open"))</f>
        <v>Open</v>
      </c>
    </row>
    <row r="246" spans="1:21" ht="45" customHeight="1" x14ac:dyDescent="0.25">
      <c r="A246" s="59" t="s">
        <v>704</v>
      </c>
      <c r="B246" s="8">
        <v>3634</v>
      </c>
      <c r="C246" s="43" t="s">
        <v>1389</v>
      </c>
      <c r="D246" s="8" t="s">
        <v>1498</v>
      </c>
      <c r="E246" s="61" t="s">
        <v>67</v>
      </c>
      <c r="F246" s="8" t="s">
        <v>1499</v>
      </c>
      <c r="G246" s="36">
        <v>67</v>
      </c>
      <c r="H246" s="8">
        <v>0</v>
      </c>
      <c r="I246" s="8" t="s">
        <v>1500</v>
      </c>
      <c r="J246" s="8" t="s">
        <v>1501</v>
      </c>
      <c r="K246" s="71" t="s">
        <v>10</v>
      </c>
      <c r="L246" s="8" t="s">
        <v>1194</v>
      </c>
      <c r="M246" s="8" t="s">
        <v>94</v>
      </c>
      <c r="N246" s="60" t="s">
        <v>98</v>
      </c>
      <c r="O246" s="49" t="s">
        <v>2</v>
      </c>
      <c r="P246" s="8">
        <v>4</v>
      </c>
      <c r="Q246" s="8" t="s">
        <v>1577</v>
      </c>
      <c r="R246" s="8" t="s">
        <v>1503</v>
      </c>
      <c r="S246" s="9" t="str">
        <f>IFERROR(HYPERLINK("#Main!A"&amp;MATCH(A246,Main!A:A,0),"Open"),HYPERLINK("#Main!A1","Open"))</f>
        <v>Open</v>
      </c>
      <c r="T246" s="9" t="str">
        <f>IFERROR(HYPERLINK("#Technical!A"&amp;MATCH(A246,Technical!A:A,0),"Open"),HYPERLINK("#Technical!A1","Open"))</f>
        <v>Open</v>
      </c>
      <c r="U246" s="9"/>
    </row>
    <row r="247" spans="1:21" ht="45" customHeight="1" x14ac:dyDescent="0.25">
      <c r="A247" s="58" t="s">
        <v>712</v>
      </c>
      <c r="B247" s="11">
        <v>7781</v>
      </c>
      <c r="C247" s="43" t="s">
        <v>1391</v>
      </c>
      <c r="D247" s="11" t="s">
        <v>1498</v>
      </c>
      <c r="E247" s="61" t="s">
        <v>67</v>
      </c>
      <c r="F247" s="11" t="s">
        <v>1499</v>
      </c>
      <c r="G247" s="10">
        <v>67</v>
      </c>
      <c r="H247" s="11">
        <v>0</v>
      </c>
      <c r="I247" s="11" t="s">
        <v>1500</v>
      </c>
      <c r="J247" s="11" t="s">
        <v>1501</v>
      </c>
      <c r="K247" s="72" t="s">
        <v>10</v>
      </c>
      <c r="L247" s="11" t="s">
        <v>1194</v>
      </c>
      <c r="M247" s="11" t="s">
        <v>94</v>
      </c>
      <c r="N247" s="60" t="s">
        <v>98</v>
      </c>
      <c r="O247" s="49" t="s">
        <v>2</v>
      </c>
      <c r="P247" s="11">
        <v>4</v>
      </c>
      <c r="Q247" s="11" t="s">
        <v>1578</v>
      </c>
      <c r="R247" s="11" t="s">
        <v>1503</v>
      </c>
      <c r="S247" t="str">
        <f>IFERROR(HYPERLINK("#Main!A"&amp;MATCH(A247,Main!A:A,0),"Open"),HYPERLINK("#Main!A1","Open"))</f>
        <v>Open</v>
      </c>
      <c r="T247" t="str">
        <f>IFERROR(HYPERLINK("#Technical!A"&amp;MATCH(A247,Technical!A:A,0),"Open"),HYPERLINK("#Technical!A1","Open"))</f>
        <v>Open</v>
      </c>
    </row>
    <row r="248" spans="1:21" ht="45" customHeight="1" x14ac:dyDescent="0.25">
      <c r="A248" s="59" t="s">
        <v>720</v>
      </c>
      <c r="B248" s="8">
        <v>5490</v>
      </c>
      <c r="C248" s="43" t="s">
        <v>1393</v>
      </c>
      <c r="D248" s="8" t="s">
        <v>1498</v>
      </c>
      <c r="E248" s="61" t="s">
        <v>67</v>
      </c>
      <c r="F248" s="8" t="s">
        <v>1499</v>
      </c>
      <c r="G248" s="36">
        <v>67</v>
      </c>
      <c r="H248" s="8">
        <v>0</v>
      </c>
      <c r="I248" s="8" t="s">
        <v>1500</v>
      </c>
      <c r="J248" s="8" t="s">
        <v>1501</v>
      </c>
      <c r="K248" s="71" t="s">
        <v>10</v>
      </c>
      <c r="L248" s="8" t="s">
        <v>1194</v>
      </c>
      <c r="M248" s="8" t="s">
        <v>94</v>
      </c>
      <c r="N248" s="60" t="s">
        <v>98</v>
      </c>
      <c r="O248" s="49" t="s">
        <v>2</v>
      </c>
      <c r="P248" s="8">
        <v>4</v>
      </c>
      <c r="Q248" s="8" t="s">
        <v>1579</v>
      </c>
      <c r="R248" s="8" t="s">
        <v>1503</v>
      </c>
      <c r="S248" s="9" t="str">
        <f>IFERROR(HYPERLINK("#Main!A"&amp;MATCH(A248,Main!A:A,0),"Open"),HYPERLINK("#Main!A1","Open"))</f>
        <v>Open</v>
      </c>
      <c r="T248" s="9" t="str">
        <f>IFERROR(HYPERLINK("#Technical!A"&amp;MATCH(A248,Technical!A:A,0),"Open"),HYPERLINK("#Technical!A1","Open"))</f>
        <v>Open</v>
      </c>
      <c r="U248" s="9"/>
    </row>
    <row r="249" spans="1:21" ht="45" customHeight="1" x14ac:dyDescent="0.25">
      <c r="A249" s="58" t="s">
        <v>727</v>
      </c>
      <c r="B249" s="11">
        <v>27352</v>
      </c>
      <c r="C249" s="43" t="s">
        <v>1395</v>
      </c>
      <c r="D249" s="11" t="s">
        <v>1498</v>
      </c>
      <c r="E249" s="61" t="s">
        <v>67</v>
      </c>
      <c r="F249" s="11" t="s">
        <v>1499</v>
      </c>
      <c r="G249" s="10">
        <v>67</v>
      </c>
      <c r="H249" s="11">
        <v>0</v>
      </c>
      <c r="I249" s="11" t="s">
        <v>1500</v>
      </c>
      <c r="J249" s="11" t="s">
        <v>1501</v>
      </c>
      <c r="K249" s="72" t="s">
        <v>10</v>
      </c>
      <c r="L249" s="11" t="s">
        <v>1194</v>
      </c>
      <c r="M249" s="11" t="s">
        <v>94</v>
      </c>
      <c r="N249" s="60" t="s">
        <v>98</v>
      </c>
      <c r="O249" s="49" t="s">
        <v>2</v>
      </c>
      <c r="P249" s="11">
        <v>4</v>
      </c>
      <c r="Q249" s="11" t="s">
        <v>1580</v>
      </c>
      <c r="R249" s="11" t="s">
        <v>1503</v>
      </c>
      <c r="S249" t="str">
        <f>IFERROR(HYPERLINK("#Main!A"&amp;MATCH(A249,Main!A:A,0),"Open"),HYPERLINK("#Main!A1","Open"))</f>
        <v>Open</v>
      </c>
      <c r="T249" t="str">
        <f>IFERROR(HYPERLINK("#Technical!A"&amp;MATCH(A249,Technical!A:A,0),"Open"),HYPERLINK("#Technical!A1","Open"))</f>
        <v>Open</v>
      </c>
    </row>
    <row r="250" spans="1:21" ht="45" customHeight="1" x14ac:dyDescent="0.25">
      <c r="A250" s="59" t="s">
        <v>735</v>
      </c>
      <c r="B250" s="8">
        <v>21591</v>
      </c>
      <c r="C250" s="43" t="s">
        <v>1397</v>
      </c>
      <c r="D250" s="8" t="s">
        <v>1498</v>
      </c>
      <c r="E250" s="61" t="s">
        <v>67</v>
      </c>
      <c r="F250" s="8" t="s">
        <v>1499</v>
      </c>
      <c r="G250" s="36">
        <v>67</v>
      </c>
      <c r="H250" s="8">
        <v>0</v>
      </c>
      <c r="I250" s="8" t="s">
        <v>1500</v>
      </c>
      <c r="J250" s="8" t="s">
        <v>1501</v>
      </c>
      <c r="K250" s="71" t="s">
        <v>10</v>
      </c>
      <c r="L250" s="8" t="s">
        <v>1194</v>
      </c>
      <c r="M250" s="8" t="s">
        <v>94</v>
      </c>
      <c r="N250" s="60" t="s">
        <v>98</v>
      </c>
      <c r="O250" s="49" t="s">
        <v>2</v>
      </c>
      <c r="P250" s="8">
        <v>4</v>
      </c>
      <c r="Q250" s="8" t="s">
        <v>1581</v>
      </c>
      <c r="R250" s="8" t="s">
        <v>1503</v>
      </c>
      <c r="S250" s="9" t="str">
        <f>IFERROR(HYPERLINK("#Main!A"&amp;MATCH(A250,Main!A:A,0),"Open"),HYPERLINK("#Main!A1","Open"))</f>
        <v>Open</v>
      </c>
      <c r="T250" s="9" t="str">
        <f>IFERROR(HYPERLINK("#Technical!A"&amp;MATCH(A250,Technical!A:A,0),"Open"),HYPERLINK("#Technical!A1","Open"))</f>
        <v>Open</v>
      </c>
      <c r="U250" s="9"/>
    </row>
    <row r="251" spans="1:21" ht="45" customHeight="1" x14ac:dyDescent="0.25">
      <c r="A251" s="58" t="s">
        <v>743</v>
      </c>
      <c r="B251" s="11">
        <v>17195</v>
      </c>
      <c r="C251" s="43" t="s">
        <v>1399</v>
      </c>
      <c r="D251" s="11" t="s">
        <v>1498</v>
      </c>
      <c r="E251" s="61" t="s">
        <v>67</v>
      </c>
      <c r="F251" s="11" t="s">
        <v>1499</v>
      </c>
      <c r="G251" s="10">
        <v>67</v>
      </c>
      <c r="H251" s="11">
        <v>0</v>
      </c>
      <c r="I251" s="11" t="s">
        <v>1500</v>
      </c>
      <c r="J251" s="11" t="s">
        <v>1501</v>
      </c>
      <c r="K251" s="72" t="s">
        <v>10</v>
      </c>
      <c r="L251" s="11" t="s">
        <v>1194</v>
      </c>
      <c r="M251" s="11" t="s">
        <v>94</v>
      </c>
      <c r="N251" s="60" t="s">
        <v>98</v>
      </c>
      <c r="O251" s="49" t="s">
        <v>2</v>
      </c>
      <c r="P251" s="11">
        <v>4</v>
      </c>
      <c r="Q251" s="11" t="s">
        <v>1582</v>
      </c>
      <c r="R251" s="11" t="s">
        <v>1503</v>
      </c>
      <c r="S251" t="str">
        <f>IFERROR(HYPERLINK("#Main!A"&amp;MATCH(A251,Main!A:A,0),"Open"),HYPERLINK("#Main!A1","Open"))</f>
        <v>Open</v>
      </c>
      <c r="T251" t="str">
        <f>IFERROR(HYPERLINK("#Technical!A"&amp;MATCH(A251,Technical!A:A,0),"Open"),HYPERLINK("#Technical!A1","Open"))</f>
        <v>Open</v>
      </c>
    </row>
    <row r="252" spans="1:21" ht="45" customHeight="1" x14ac:dyDescent="0.25">
      <c r="A252" s="59" t="s">
        <v>750</v>
      </c>
      <c r="B252" s="8">
        <v>7916</v>
      </c>
      <c r="C252" s="43" t="s">
        <v>1401</v>
      </c>
      <c r="D252" s="8" t="s">
        <v>1498</v>
      </c>
      <c r="E252" s="61" t="s">
        <v>67</v>
      </c>
      <c r="F252" s="8" t="s">
        <v>1499</v>
      </c>
      <c r="G252" s="36">
        <v>67</v>
      </c>
      <c r="H252" s="8">
        <v>0</v>
      </c>
      <c r="I252" s="8" t="s">
        <v>1500</v>
      </c>
      <c r="J252" s="8" t="s">
        <v>1501</v>
      </c>
      <c r="K252" s="71" t="s">
        <v>10</v>
      </c>
      <c r="L252" s="8" t="s">
        <v>1194</v>
      </c>
      <c r="M252" s="8" t="s">
        <v>94</v>
      </c>
      <c r="N252" s="60" t="s">
        <v>98</v>
      </c>
      <c r="O252" s="49" t="s">
        <v>2</v>
      </c>
      <c r="P252" s="8">
        <v>4</v>
      </c>
      <c r="Q252" s="8" t="s">
        <v>1583</v>
      </c>
      <c r="R252" s="8" t="s">
        <v>1503</v>
      </c>
      <c r="S252" s="9" t="str">
        <f>IFERROR(HYPERLINK("#Main!A"&amp;MATCH(A252,Main!A:A,0),"Open"),HYPERLINK("#Main!A1","Open"))</f>
        <v>Open</v>
      </c>
      <c r="T252" s="9" t="str">
        <f>IFERROR(HYPERLINK("#Technical!A"&amp;MATCH(A252,Technical!A:A,0),"Open"),HYPERLINK("#Technical!A1","Open"))</f>
        <v>Open</v>
      </c>
      <c r="U252" s="9"/>
    </row>
    <row r="253" spans="1:21" ht="45" customHeight="1" x14ac:dyDescent="0.25">
      <c r="A253" s="58" t="s">
        <v>758</v>
      </c>
      <c r="B253" s="11">
        <v>17000</v>
      </c>
      <c r="C253" s="43" t="s">
        <v>1403</v>
      </c>
      <c r="D253" s="11" t="s">
        <v>1498</v>
      </c>
      <c r="E253" s="61" t="s">
        <v>67</v>
      </c>
      <c r="F253" s="11" t="s">
        <v>1499</v>
      </c>
      <c r="G253" s="10">
        <v>67</v>
      </c>
      <c r="H253" s="11">
        <v>0</v>
      </c>
      <c r="I253" s="11" t="s">
        <v>1500</v>
      </c>
      <c r="J253" s="11" t="s">
        <v>1501</v>
      </c>
      <c r="K253" s="72" t="s">
        <v>10</v>
      </c>
      <c r="L253" s="11" t="s">
        <v>1194</v>
      </c>
      <c r="M253" s="11" t="s">
        <v>94</v>
      </c>
      <c r="N253" s="60" t="s">
        <v>98</v>
      </c>
      <c r="O253" s="49" t="s">
        <v>2</v>
      </c>
      <c r="P253" s="11">
        <v>4</v>
      </c>
      <c r="Q253" s="11" t="s">
        <v>1584</v>
      </c>
      <c r="R253" s="11" t="s">
        <v>1503</v>
      </c>
      <c r="S253" t="str">
        <f>IFERROR(HYPERLINK("#Main!A"&amp;MATCH(A253,Main!A:A,0),"Open"),HYPERLINK("#Main!A1","Open"))</f>
        <v>Open</v>
      </c>
      <c r="T253" t="str">
        <f>IFERROR(HYPERLINK("#Technical!A"&amp;MATCH(A253,Technical!A:A,0),"Open"),HYPERLINK("#Technical!A1","Open"))</f>
        <v>Open</v>
      </c>
    </row>
    <row r="254" spans="1:21" ht="45" customHeight="1" x14ac:dyDescent="0.25">
      <c r="A254" s="59" t="s">
        <v>766</v>
      </c>
      <c r="B254" s="8">
        <v>17196</v>
      </c>
      <c r="C254" s="43" t="s">
        <v>1405</v>
      </c>
      <c r="D254" s="8" t="s">
        <v>1498</v>
      </c>
      <c r="E254" s="61" t="s">
        <v>67</v>
      </c>
      <c r="F254" s="8" t="s">
        <v>1499</v>
      </c>
      <c r="G254" s="36">
        <v>67</v>
      </c>
      <c r="H254" s="8">
        <v>0</v>
      </c>
      <c r="I254" s="8" t="s">
        <v>1500</v>
      </c>
      <c r="J254" s="8" t="s">
        <v>1501</v>
      </c>
      <c r="K254" s="71" t="s">
        <v>10</v>
      </c>
      <c r="L254" s="8" t="s">
        <v>1194</v>
      </c>
      <c r="M254" s="8" t="s">
        <v>94</v>
      </c>
      <c r="N254" s="60" t="s">
        <v>98</v>
      </c>
      <c r="O254" s="49" t="s">
        <v>2</v>
      </c>
      <c r="P254" s="8">
        <v>4</v>
      </c>
      <c r="Q254" s="8" t="s">
        <v>1585</v>
      </c>
      <c r="R254" s="8" t="s">
        <v>1503</v>
      </c>
      <c r="S254" s="9" t="str">
        <f>IFERROR(HYPERLINK("#Main!A"&amp;MATCH(A254,Main!A:A,0),"Open"),HYPERLINK("#Main!A1","Open"))</f>
        <v>Open</v>
      </c>
      <c r="T254" s="9" t="str">
        <f>IFERROR(HYPERLINK("#Technical!A"&amp;MATCH(A254,Technical!A:A,0),"Open"),HYPERLINK("#Technical!A1","Open"))</f>
        <v>Open</v>
      </c>
      <c r="U254" s="9"/>
    </row>
    <row r="255" spans="1:21" ht="45" customHeight="1" x14ac:dyDescent="0.25">
      <c r="A255" s="58" t="s">
        <v>774</v>
      </c>
      <c r="B255" s="11">
        <v>4909</v>
      </c>
      <c r="C255" s="43" t="s">
        <v>1407</v>
      </c>
      <c r="D255" s="11" t="s">
        <v>1498</v>
      </c>
      <c r="E255" s="61" t="s">
        <v>67</v>
      </c>
      <c r="F255" s="11" t="s">
        <v>1499</v>
      </c>
      <c r="G255" s="10">
        <v>67</v>
      </c>
      <c r="H255" s="11">
        <v>0</v>
      </c>
      <c r="I255" s="11" t="s">
        <v>1500</v>
      </c>
      <c r="J255" s="11" t="s">
        <v>1501</v>
      </c>
      <c r="K255" s="72" t="s">
        <v>10</v>
      </c>
      <c r="L255" s="11" t="s">
        <v>1194</v>
      </c>
      <c r="M255" s="11" t="s">
        <v>94</v>
      </c>
      <c r="N255" s="60" t="s">
        <v>98</v>
      </c>
      <c r="O255" s="49" t="s">
        <v>2</v>
      </c>
      <c r="P255" s="11">
        <v>4</v>
      </c>
      <c r="Q255" s="11" t="s">
        <v>1586</v>
      </c>
      <c r="R255" s="11" t="s">
        <v>1503</v>
      </c>
      <c r="S255" t="str">
        <f>IFERROR(HYPERLINK("#Main!A"&amp;MATCH(A255,Main!A:A,0),"Open"),HYPERLINK("#Main!A1","Open"))</f>
        <v>Open</v>
      </c>
      <c r="T255" t="str">
        <f>IFERROR(HYPERLINK("#Technical!A"&amp;MATCH(A255,Technical!A:A,0),"Open"),HYPERLINK("#Technical!A1","Open"))</f>
        <v>Open</v>
      </c>
    </row>
    <row r="256" spans="1:21" ht="45" customHeight="1" x14ac:dyDescent="0.25">
      <c r="A256" s="59" t="s">
        <v>782</v>
      </c>
      <c r="B256" s="8">
        <v>5290</v>
      </c>
      <c r="C256" s="43" t="s">
        <v>1409</v>
      </c>
      <c r="D256" s="8" t="s">
        <v>1498</v>
      </c>
      <c r="E256" s="61" t="s">
        <v>67</v>
      </c>
      <c r="F256" s="8" t="s">
        <v>1499</v>
      </c>
      <c r="G256" s="36">
        <v>67</v>
      </c>
      <c r="H256" s="8">
        <v>0</v>
      </c>
      <c r="I256" s="8" t="s">
        <v>1500</v>
      </c>
      <c r="J256" s="8" t="s">
        <v>1501</v>
      </c>
      <c r="K256" s="71" t="s">
        <v>10</v>
      </c>
      <c r="L256" s="8" t="s">
        <v>1194</v>
      </c>
      <c r="M256" s="8" t="s">
        <v>94</v>
      </c>
      <c r="N256" s="60" t="s">
        <v>98</v>
      </c>
      <c r="O256" s="49" t="s">
        <v>2</v>
      </c>
      <c r="P256" s="8">
        <v>4</v>
      </c>
      <c r="Q256" s="8" t="s">
        <v>1587</v>
      </c>
      <c r="R256" s="8" t="s">
        <v>1503</v>
      </c>
      <c r="S256" s="9" t="str">
        <f>IFERROR(HYPERLINK("#Main!A"&amp;MATCH(A256,Main!A:A,0),"Open"),HYPERLINK("#Main!A1","Open"))</f>
        <v>Open</v>
      </c>
      <c r="T256" s="9" t="str">
        <f>IFERROR(HYPERLINK("#Technical!A"&amp;MATCH(A256,Technical!A:A,0),"Open"),HYPERLINK("#Technical!A1","Open"))</f>
        <v>Open</v>
      </c>
      <c r="U256" s="9"/>
    </row>
    <row r="257" spans="1:21" ht="30" customHeight="1" x14ac:dyDescent="0.25">
      <c r="A257" s="58" t="s">
        <v>338</v>
      </c>
      <c r="B257" s="11"/>
      <c r="C257" s="11"/>
      <c r="D257" s="11" t="s">
        <v>890</v>
      </c>
      <c r="E257" s="61" t="s">
        <v>67</v>
      </c>
      <c r="F257" s="11" t="s">
        <v>1588</v>
      </c>
      <c r="G257" s="10">
        <v>67</v>
      </c>
      <c r="H257" s="11" t="s">
        <v>1232</v>
      </c>
      <c r="I257" s="11" t="s">
        <v>1589</v>
      </c>
      <c r="J257" s="11" t="s">
        <v>1590</v>
      </c>
      <c r="K257" s="72" t="s">
        <v>6</v>
      </c>
      <c r="L257" s="11" t="s">
        <v>890</v>
      </c>
      <c r="M257" s="11" t="s">
        <v>94</v>
      </c>
      <c r="N257" s="60" t="s">
        <v>98</v>
      </c>
      <c r="O257" s="49" t="s">
        <v>2</v>
      </c>
      <c r="P257" s="11">
        <v>4</v>
      </c>
      <c r="Q257" s="11" t="s">
        <v>1591</v>
      </c>
      <c r="R257" s="11" t="s">
        <v>1592</v>
      </c>
      <c r="S257" t="str">
        <f>IFERROR(HYPERLINK("#Main!A"&amp;MATCH(A257,Main!A:A,0),"Open"),HYPERLINK("#Main!A1","Open"))</f>
        <v>Open</v>
      </c>
      <c r="T257" t="str">
        <f>IFERROR(HYPERLINK("#Technical!A"&amp;MATCH(A257,Technical!A:A,0),"Open"),HYPERLINK("#Technical!A1","Open"))</f>
        <v>Open</v>
      </c>
    </row>
    <row r="258" spans="1:21" ht="30" customHeight="1" x14ac:dyDescent="0.25">
      <c r="A258" s="59" t="s">
        <v>433</v>
      </c>
      <c r="B258" s="8"/>
      <c r="C258" s="8"/>
      <c r="D258" s="8" t="s">
        <v>890</v>
      </c>
      <c r="E258" s="61" t="s">
        <v>67</v>
      </c>
      <c r="F258" s="8" t="s">
        <v>1588</v>
      </c>
      <c r="G258" s="36">
        <v>67</v>
      </c>
      <c r="H258" s="8" t="s">
        <v>1232</v>
      </c>
      <c r="I258" s="8" t="s">
        <v>1589</v>
      </c>
      <c r="J258" s="8" t="s">
        <v>1590</v>
      </c>
      <c r="K258" s="71" t="s">
        <v>6</v>
      </c>
      <c r="L258" s="8" t="s">
        <v>890</v>
      </c>
      <c r="M258" s="8" t="s">
        <v>94</v>
      </c>
      <c r="N258" s="60" t="s">
        <v>98</v>
      </c>
      <c r="O258" s="49" t="s">
        <v>2</v>
      </c>
      <c r="P258" s="8">
        <v>4</v>
      </c>
      <c r="Q258" s="8" t="s">
        <v>1593</v>
      </c>
      <c r="R258" s="8" t="s">
        <v>1592</v>
      </c>
      <c r="S258" s="9" t="str">
        <f>IFERROR(HYPERLINK("#Main!A"&amp;MATCH(A258,Main!A:A,0),"Open"),HYPERLINK("#Main!A1","Open"))</f>
        <v>Open</v>
      </c>
      <c r="T258" s="9" t="str">
        <f>IFERROR(HYPERLINK("#Technical!A"&amp;MATCH(A258,Technical!A:A,0),"Open"),HYPERLINK("#Technical!A1","Open"))</f>
        <v>Open</v>
      </c>
      <c r="U258" s="9"/>
    </row>
    <row r="259" spans="1:21" ht="30" customHeight="1" x14ac:dyDescent="0.25">
      <c r="A259" s="58" t="s">
        <v>140</v>
      </c>
      <c r="B259" s="11">
        <v>8</v>
      </c>
      <c r="C259" s="43" t="s">
        <v>1243</v>
      </c>
      <c r="D259" s="11" t="s">
        <v>1223</v>
      </c>
      <c r="E259" s="64" t="s">
        <v>68</v>
      </c>
      <c r="F259" s="11" t="s">
        <v>1594</v>
      </c>
      <c r="G259" s="10">
        <v>37</v>
      </c>
      <c r="H259" s="11">
        <v>0</v>
      </c>
      <c r="I259" s="11" t="s">
        <v>1595</v>
      </c>
      <c r="J259" s="11" t="s">
        <v>1596</v>
      </c>
      <c r="K259" s="72" t="s">
        <v>11</v>
      </c>
      <c r="L259" s="11" t="s">
        <v>1201</v>
      </c>
      <c r="M259" s="11" t="s">
        <v>864</v>
      </c>
      <c r="N259" s="60" t="s">
        <v>98</v>
      </c>
      <c r="O259" s="49" t="s">
        <v>2</v>
      </c>
      <c r="P259" s="11">
        <v>4</v>
      </c>
      <c r="Q259" s="11" t="s">
        <v>1597</v>
      </c>
      <c r="R259" s="11" t="s">
        <v>1598</v>
      </c>
      <c r="S259" t="str">
        <f>IFERROR(HYPERLINK("#Main!A"&amp;MATCH(A259,Main!A:A,0),"Open"),HYPERLINK("#Main!A1","Open"))</f>
        <v>Open</v>
      </c>
      <c r="T259" t="str">
        <f>IFERROR(HYPERLINK("#Technical!A"&amp;MATCH(A259,Technical!A:A,0),"Open"),HYPERLINK("#Technical!A1","Open"))</f>
        <v>Open</v>
      </c>
    </row>
    <row r="260" spans="1:21" ht="30" customHeight="1" x14ac:dyDescent="0.25">
      <c r="A260" s="59" t="s">
        <v>148</v>
      </c>
      <c r="B260" s="8">
        <v>84</v>
      </c>
      <c r="C260" s="43" t="s">
        <v>1249</v>
      </c>
      <c r="D260" s="8" t="s">
        <v>1223</v>
      </c>
      <c r="E260" s="64" t="s">
        <v>68</v>
      </c>
      <c r="F260" s="8" t="s">
        <v>1599</v>
      </c>
      <c r="G260" s="36">
        <v>37</v>
      </c>
      <c r="H260" s="8">
        <v>405</v>
      </c>
      <c r="I260" s="8" t="s">
        <v>1233</v>
      </c>
      <c r="J260" s="8" t="s">
        <v>1600</v>
      </c>
      <c r="K260" s="71" t="s">
        <v>6</v>
      </c>
      <c r="L260" s="8" t="s">
        <v>891</v>
      </c>
      <c r="M260" s="8" t="s">
        <v>864</v>
      </c>
      <c r="N260" s="60" t="s">
        <v>98</v>
      </c>
      <c r="O260" s="49" t="s">
        <v>2</v>
      </c>
      <c r="P260" s="8">
        <v>4</v>
      </c>
      <c r="Q260" s="8" t="s">
        <v>1601</v>
      </c>
      <c r="R260" s="8" t="s">
        <v>1602</v>
      </c>
      <c r="S260" s="9" t="str">
        <f>IFERROR(HYPERLINK("#Main!A"&amp;MATCH(A260,Main!A:A,0),"Open"),HYPERLINK("#Main!A1","Open"))</f>
        <v>Open</v>
      </c>
      <c r="T260" s="9" t="str">
        <f>IFERROR(HYPERLINK("#Technical!A"&amp;MATCH(A260,Technical!A:A,0),"Open"),HYPERLINK("#Technical!A1","Open"))</f>
        <v>Open</v>
      </c>
      <c r="U260" s="9"/>
    </row>
    <row r="261" spans="1:21" ht="30" customHeight="1" x14ac:dyDescent="0.25">
      <c r="A261" s="58" t="s">
        <v>148</v>
      </c>
      <c r="B261" s="11">
        <v>84</v>
      </c>
      <c r="C261" s="43" t="s">
        <v>1249</v>
      </c>
      <c r="D261" s="11" t="s">
        <v>1223</v>
      </c>
      <c r="E261" s="64" t="s">
        <v>68</v>
      </c>
      <c r="F261" s="11" t="s">
        <v>1594</v>
      </c>
      <c r="G261" s="10">
        <v>37</v>
      </c>
      <c r="H261" s="11">
        <v>0</v>
      </c>
      <c r="I261" s="11" t="s">
        <v>1595</v>
      </c>
      <c r="J261" s="11" t="s">
        <v>1596</v>
      </c>
      <c r="K261" s="72" t="s">
        <v>11</v>
      </c>
      <c r="L261" s="11" t="s">
        <v>1201</v>
      </c>
      <c r="M261" s="11" t="s">
        <v>864</v>
      </c>
      <c r="N261" s="60" t="s">
        <v>98</v>
      </c>
      <c r="O261" s="49" t="s">
        <v>2</v>
      </c>
      <c r="P261" s="11">
        <v>4</v>
      </c>
      <c r="Q261" s="11" t="s">
        <v>1603</v>
      </c>
      <c r="R261" s="11" t="s">
        <v>1598</v>
      </c>
      <c r="S261" t="str">
        <f>IFERROR(HYPERLINK("#Main!A"&amp;MATCH(A261,Main!A:A,0),"Open"),HYPERLINK("#Main!A1","Open"))</f>
        <v>Open</v>
      </c>
      <c r="T261" t="str">
        <f>IFERROR(HYPERLINK("#Technical!A"&amp;MATCH(A261,Technical!A:A,0),"Open"),HYPERLINK("#Technical!A1","Open"))</f>
        <v>Open</v>
      </c>
    </row>
    <row r="262" spans="1:21" ht="30" customHeight="1" x14ac:dyDescent="0.25">
      <c r="A262" s="59" t="s">
        <v>156</v>
      </c>
      <c r="B262" s="8">
        <v>28165</v>
      </c>
      <c r="C262" s="43" t="s">
        <v>1251</v>
      </c>
      <c r="D262" s="8" t="s">
        <v>1223</v>
      </c>
      <c r="E262" s="64" t="s">
        <v>68</v>
      </c>
      <c r="F262" s="8" t="s">
        <v>1599</v>
      </c>
      <c r="G262" s="36">
        <v>37</v>
      </c>
      <c r="H262" s="8">
        <v>423</v>
      </c>
      <c r="I262" s="8" t="s">
        <v>1233</v>
      </c>
      <c r="J262" s="8" t="s">
        <v>1600</v>
      </c>
      <c r="K262" s="71" t="s">
        <v>6</v>
      </c>
      <c r="L262" s="8" t="s">
        <v>891</v>
      </c>
      <c r="M262" s="8" t="s">
        <v>864</v>
      </c>
      <c r="N262" s="60" t="s">
        <v>98</v>
      </c>
      <c r="O262" s="49" t="s">
        <v>2</v>
      </c>
      <c r="P262" s="8">
        <v>4</v>
      </c>
      <c r="Q262" s="8" t="s">
        <v>1604</v>
      </c>
      <c r="R262" s="8" t="s">
        <v>1602</v>
      </c>
      <c r="S262" s="9" t="str">
        <f>IFERROR(HYPERLINK("#Main!A"&amp;MATCH(A262,Main!A:A,0),"Open"),HYPERLINK("#Main!A1","Open"))</f>
        <v>Open</v>
      </c>
      <c r="T262" s="9" t="str">
        <f>IFERROR(HYPERLINK("#Technical!A"&amp;MATCH(A262,Technical!A:A,0),"Open"),HYPERLINK("#Technical!A1","Open"))</f>
        <v>Open</v>
      </c>
      <c r="U262" s="9"/>
    </row>
    <row r="263" spans="1:21" ht="30" customHeight="1" x14ac:dyDescent="0.25">
      <c r="A263" s="58" t="s">
        <v>156</v>
      </c>
      <c r="B263" s="11">
        <v>28165</v>
      </c>
      <c r="C263" s="43" t="s">
        <v>1251</v>
      </c>
      <c r="D263" s="11" t="s">
        <v>1223</v>
      </c>
      <c r="E263" s="64" t="s">
        <v>68</v>
      </c>
      <c r="F263" s="11" t="s">
        <v>1594</v>
      </c>
      <c r="G263" s="10">
        <v>37</v>
      </c>
      <c r="H263" s="11">
        <v>0</v>
      </c>
      <c r="I263" s="11" t="s">
        <v>1595</v>
      </c>
      <c r="J263" s="11" t="s">
        <v>1596</v>
      </c>
      <c r="K263" s="72" t="s">
        <v>11</v>
      </c>
      <c r="L263" s="11" t="s">
        <v>1201</v>
      </c>
      <c r="M263" s="11" t="s">
        <v>864</v>
      </c>
      <c r="N263" s="60" t="s">
        <v>98</v>
      </c>
      <c r="O263" s="49" t="s">
        <v>2</v>
      </c>
      <c r="P263" s="11">
        <v>4</v>
      </c>
      <c r="Q263" s="11" t="s">
        <v>1605</v>
      </c>
      <c r="R263" s="11" t="s">
        <v>1598</v>
      </c>
      <c r="S263" t="str">
        <f>IFERROR(HYPERLINK("#Main!A"&amp;MATCH(A263,Main!A:A,0),"Open"),HYPERLINK("#Main!A1","Open"))</f>
        <v>Open</v>
      </c>
      <c r="T263" t="str">
        <f>IFERROR(HYPERLINK("#Technical!A"&amp;MATCH(A263,Technical!A:A,0),"Open"),HYPERLINK("#Technical!A1","Open"))</f>
        <v>Open</v>
      </c>
    </row>
    <row r="264" spans="1:21" ht="30" customHeight="1" x14ac:dyDescent="0.25">
      <c r="A264" s="59" t="s">
        <v>164</v>
      </c>
      <c r="B264" s="8">
        <v>16125</v>
      </c>
      <c r="C264" s="43" t="s">
        <v>1253</v>
      </c>
      <c r="D264" s="8" t="s">
        <v>1223</v>
      </c>
      <c r="E264" s="64" t="s">
        <v>68</v>
      </c>
      <c r="F264" s="8" t="s">
        <v>1599</v>
      </c>
      <c r="G264" s="36">
        <v>37</v>
      </c>
      <c r="H264" s="8">
        <v>406</v>
      </c>
      <c r="I264" s="8" t="s">
        <v>1233</v>
      </c>
      <c r="J264" s="8" t="s">
        <v>1600</v>
      </c>
      <c r="K264" s="71" t="s">
        <v>6</v>
      </c>
      <c r="L264" s="8" t="s">
        <v>891</v>
      </c>
      <c r="M264" s="8" t="s">
        <v>864</v>
      </c>
      <c r="N264" s="60" t="s">
        <v>98</v>
      </c>
      <c r="O264" s="49" t="s">
        <v>2</v>
      </c>
      <c r="P264" s="8">
        <v>4</v>
      </c>
      <c r="Q264" s="8" t="s">
        <v>1606</v>
      </c>
      <c r="R264" s="8" t="s">
        <v>1602</v>
      </c>
      <c r="S264" s="9" t="str">
        <f>IFERROR(HYPERLINK("#Main!A"&amp;MATCH(A264,Main!A:A,0),"Open"),HYPERLINK("#Main!A1","Open"))</f>
        <v>Open</v>
      </c>
      <c r="T264" s="9" t="str">
        <f>IFERROR(HYPERLINK("#Technical!A"&amp;MATCH(A264,Technical!A:A,0),"Open"),HYPERLINK("#Technical!A1","Open"))</f>
        <v>Open</v>
      </c>
      <c r="U264" s="9"/>
    </row>
    <row r="265" spans="1:21" ht="30" customHeight="1" x14ac:dyDescent="0.25">
      <c r="A265" s="58" t="s">
        <v>164</v>
      </c>
      <c r="B265" s="11">
        <v>16125</v>
      </c>
      <c r="C265" s="43" t="s">
        <v>1253</v>
      </c>
      <c r="D265" s="11" t="s">
        <v>1223</v>
      </c>
      <c r="E265" s="64" t="s">
        <v>68</v>
      </c>
      <c r="F265" s="11" t="s">
        <v>1594</v>
      </c>
      <c r="G265" s="10">
        <v>37</v>
      </c>
      <c r="H265" s="11">
        <v>0</v>
      </c>
      <c r="I265" s="11" t="s">
        <v>1595</v>
      </c>
      <c r="J265" s="11" t="s">
        <v>1596</v>
      </c>
      <c r="K265" s="72" t="s">
        <v>11</v>
      </c>
      <c r="L265" s="11" t="s">
        <v>1201</v>
      </c>
      <c r="M265" s="11" t="s">
        <v>864</v>
      </c>
      <c r="N265" s="60" t="s">
        <v>98</v>
      </c>
      <c r="O265" s="49" t="s">
        <v>2</v>
      </c>
      <c r="P265" s="11">
        <v>4</v>
      </c>
      <c r="Q265" s="11" t="s">
        <v>1607</v>
      </c>
      <c r="R265" s="11" t="s">
        <v>1598</v>
      </c>
      <c r="S265" t="str">
        <f>IFERROR(HYPERLINK("#Main!A"&amp;MATCH(A265,Main!A:A,0),"Open"),HYPERLINK("#Main!A1","Open"))</f>
        <v>Open</v>
      </c>
      <c r="T265" t="str">
        <f>IFERROR(HYPERLINK("#Technical!A"&amp;MATCH(A265,Technical!A:A,0),"Open"),HYPERLINK("#Technical!A1","Open"))</f>
        <v>Open</v>
      </c>
    </row>
    <row r="266" spans="1:21" ht="30" customHeight="1" x14ac:dyDescent="0.25">
      <c r="A266" s="59" t="s">
        <v>172</v>
      </c>
      <c r="B266" s="8">
        <v>5619</v>
      </c>
      <c r="C266" s="43" t="s">
        <v>1255</v>
      </c>
      <c r="D266" s="8" t="s">
        <v>1223</v>
      </c>
      <c r="E266" s="64" t="s">
        <v>68</v>
      </c>
      <c r="F266" s="8" t="s">
        <v>1599</v>
      </c>
      <c r="G266" s="36">
        <v>37</v>
      </c>
      <c r="H266" s="8">
        <v>335</v>
      </c>
      <c r="I266" s="8" t="s">
        <v>1233</v>
      </c>
      <c r="J266" s="8" t="s">
        <v>1600</v>
      </c>
      <c r="K266" s="71" t="s">
        <v>6</v>
      </c>
      <c r="L266" s="8" t="s">
        <v>891</v>
      </c>
      <c r="M266" s="8" t="s">
        <v>864</v>
      </c>
      <c r="N266" s="60" t="s">
        <v>98</v>
      </c>
      <c r="O266" s="49" t="s">
        <v>2</v>
      </c>
      <c r="P266" s="8">
        <v>4</v>
      </c>
      <c r="Q266" s="8" t="s">
        <v>1608</v>
      </c>
      <c r="R266" s="8" t="s">
        <v>1602</v>
      </c>
      <c r="S266" s="9" t="str">
        <f>IFERROR(HYPERLINK("#Main!A"&amp;MATCH(A266,Main!A:A,0),"Open"),HYPERLINK("#Main!A1","Open"))</f>
        <v>Open</v>
      </c>
      <c r="T266" s="9" t="str">
        <f>IFERROR(HYPERLINK("#Technical!A"&amp;MATCH(A266,Technical!A:A,0),"Open"),HYPERLINK("#Technical!A1","Open"))</f>
        <v>Open</v>
      </c>
      <c r="U266" s="9"/>
    </row>
    <row r="267" spans="1:21" ht="30" customHeight="1" x14ac:dyDescent="0.25">
      <c r="A267" s="58" t="s">
        <v>172</v>
      </c>
      <c r="B267" s="11">
        <v>5619</v>
      </c>
      <c r="C267" s="43" t="s">
        <v>1255</v>
      </c>
      <c r="D267" s="11" t="s">
        <v>1223</v>
      </c>
      <c r="E267" s="64" t="s">
        <v>68</v>
      </c>
      <c r="F267" s="11" t="s">
        <v>1594</v>
      </c>
      <c r="G267" s="10">
        <v>37</v>
      </c>
      <c r="H267" s="11">
        <v>0</v>
      </c>
      <c r="I267" s="11" t="s">
        <v>1595</v>
      </c>
      <c r="J267" s="11" t="s">
        <v>1596</v>
      </c>
      <c r="K267" s="72" t="s">
        <v>11</v>
      </c>
      <c r="L267" s="11" t="s">
        <v>1201</v>
      </c>
      <c r="M267" s="11" t="s">
        <v>864</v>
      </c>
      <c r="N267" s="60" t="s">
        <v>98</v>
      </c>
      <c r="O267" s="49" t="s">
        <v>2</v>
      </c>
      <c r="P267" s="11">
        <v>4</v>
      </c>
      <c r="Q267" s="11" t="s">
        <v>1609</v>
      </c>
      <c r="R267" s="11" t="s">
        <v>1598</v>
      </c>
      <c r="S267" t="str">
        <f>IFERROR(HYPERLINK("#Main!A"&amp;MATCH(A267,Main!A:A,0),"Open"),HYPERLINK("#Main!A1","Open"))</f>
        <v>Open</v>
      </c>
      <c r="T267" t="str">
        <f>IFERROR(HYPERLINK("#Technical!A"&amp;MATCH(A267,Technical!A:A,0),"Open"),HYPERLINK("#Technical!A1","Open"))</f>
        <v>Open</v>
      </c>
    </row>
    <row r="268" spans="1:21" ht="30" customHeight="1" x14ac:dyDescent="0.25">
      <c r="A268" s="59" t="s">
        <v>180</v>
      </c>
      <c r="B268" s="8">
        <v>4941</v>
      </c>
      <c r="C268" s="43" t="s">
        <v>1257</v>
      </c>
      <c r="D268" s="8" t="s">
        <v>1223</v>
      </c>
      <c r="E268" s="64" t="s">
        <v>68</v>
      </c>
      <c r="F268" s="8" t="s">
        <v>1599</v>
      </c>
      <c r="G268" s="36">
        <v>37</v>
      </c>
      <c r="H268" s="8">
        <v>337</v>
      </c>
      <c r="I268" s="8" t="s">
        <v>1233</v>
      </c>
      <c r="J268" s="8" t="s">
        <v>1600</v>
      </c>
      <c r="K268" s="71" t="s">
        <v>6</v>
      </c>
      <c r="L268" s="8" t="s">
        <v>891</v>
      </c>
      <c r="M268" s="8" t="s">
        <v>864</v>
      </c>
      <c r="N268" s="60" t="s">
        <v>98</v>
      </c>
      <c r="O268" s="49" t="s">
        <v>2</v>
      </c>
      <c r="P268" s="8">
        <v>4</v>
      </c>
      <c r="Q268" s="8" t="s">
        <v>1610</v>
      </c>
      <c r="R268" s="8" t="s">
        <v>1602</v>
      </c>
      <c r="S268" s="9" t="str">
        <f>IFERROR(HYPERLINK("#Main!A"&amp;MATCH(A268,Main!A:A,0),"Open"),HYPERLINK("#Main!A1","Open"))</f>
        <v>Open</v>
      </c>
      <c r="T268" s="9" t="str">
        <f>IFERROR(HYPERLINK("#Technical!A"&amp;MATCH(A268,Technical!A:A,0),"Open"),HYPERLINK("#Technical!A1","Open"))</f>
        <v>Open</v>
      </c>
      <c r="U268" s="9"/>
    </row>
    <row r="269" spans="1:21" ht="30" customHeight="1" x14ac:dyDescent="0.25">
      <c r="A269" s="58" t="s">
        <v>180</v>
      </c>
      <c r="B269" s="11">
        <v>4941</v>
      </c>
      <c r="C269" s="43" t="s">
        <v>1257</v>
      </c>
      <c r="D269" s="11" t="s">
        <v>1223</v>
      </c>
      <c r="E269" s="64" t="s">
        <v>68</v>
      </c>
      <c r="F269" s="11" t="s">
        <v>1594</v>
      </c>
      <c r="G269" s="10">
        <v>37</v>
      </c>
      <c r="H269" s="11">
        <v>0</v>
      </c>
      <c r="I269" s="11" t="s">
        <v>1595</v>
      </c>
      <c r="J269" s="11" t="s">
        <v>1596</v>
      </c>
      <c r="K269" s="72" t="s">
        <v>11</v>
      </c>
      <c r="L269" s="11" t="s">
        <v>1201</v>
      </c>
      <c r="M269" s="11" t="s">
        <v>864</v>
      </c>
      <c r="N269" s="60" t="s">
        <v>98</v>
      </c>
      <c r="O269" s="49" t="s">
        <v>2</v>
      </c>
      <c r="P269" s="11">
        <v>4</v>
      </c>
      <c r="Q269" s="11" t="s">
        <v>1611</v>
      </c>
      <c r="R269" s="11" t="s">
        <v>1598</v>
      </c>
      <c r="S269" t="str">
        <f>IFERROR(HYPERLINK("#Main!A"&amp;MATCH(A269,Main!A:A,0),"Open"),HYPERLINK("#Main!A1","Open"))</f>
        <v>Open</v>
      </c>
      <c r="T269" t="str">
        <f>IFERROR(HYPERLINK("#Technical!A"&amp;MATCH(A269,Technical!A:A,0),"Open"),HYPERLINK("#Technical!A1","Open"))</f>
        <v>Open</v>
      </c>
    </row>
    <row r="270" spans="1:21" ht="30" customHeight="1" x14ac:dyDescent="0.25">
      <c r="A270" s="59" t="s">
        <v>188</v>
      </c>
      <c r="B270" s="8">
        <v>4494</v>
      </c>
      <c r="C270" s="43" t="s">
        <v>1259</v>
      </c>
      <c r="D270" s="8" t="s">
        <v>1223</v>
      </c>
      <c r="E270" s="64" t="s">
        <v>68</v>
      </c>
      <c r="F270" s="8" t="s">
        <v>1599</v>
      </c>
      <c r="G270" s="36">
        <v>37</v>
      </c>
      <c r="H270" s="8">
        <v>387</v>
      </c>
      <c r="I270" s="8" t="s">
        <v>1233</v>
      </c>
      <c r="J270" s="8" t="s">
        <v>1600</v>
      </c>
      <c r="K270" s="71" t="s">
        <v>6</v>
      </c>
      <c r="L270" s="8" t="s">
        <v>891</v>
      </c>
      <c r="M270" s="8" t="s">
        <v>864</v>
      </c>
      <c r="N270" s="60" t="s">
        <v>98</v>
      </c>
      <c r="O270" s="49" t="s">
        <v>2</v>
      </c>
      <c r="P270" s="8">
        <v>4</v>
      </c>
      <c r="Q270" s="8" t="s">
        <v>1612</v>
      </c>
      <c r="R270" s="8" t="s">
        <v>1602</v>
      </c>
      <c r="S270" s="9" t="str">
        <f>IFERROR(HYPERLINK("#Main!A"&amp;MATCH(A270,Main!A:A,0),"Open"),HYPERLINK("#Main!A1","Open"))</f>
        <v>Open</v>
      </c>
      <c r="T270" s="9" t="str">
        <f>IFERROR(HYPERLINK("#Technical!A"&amp;MATCH(A270,Technical!A:A,0),"Open"),HYPERLINK("#Technical!A1","Open"))</f>
        <v>Open</v>
      </c>
      <c r="U270" s="9"/>
    </row>
    <row r="271" spans="1:21" ht="30" customHeight="1" x14ac:dyDescent="0.25">
      <c r="A271" s="58" t="s">
        <v>188</v>
      </c>
      <c r="B271" s="11">
        <v>4494</v>
      </c>
      <c r="C271" s="43" t="s">
        <v>1259</v>
      </c>
      <c r="D271" s="11" t="s">
        <v>1223</v>
      </c>
      <c r="E271" s="64" t="s">
        <v>68</v>
      </c>
      <c r="F271" s="11" t="s">
        <v>1594</v>
      </c>
      <c r="G271" s="10">
        <v>37</v>
      </c>
      <c r="H271" s="11">
        <v>0</v>
      </c>
      <c r="I271" s="11" t="s">
        <v>1595</v>
      </c>
      <c r="J271" s="11" t="s">
        <v>1596</v>
      </c>
      <c r="K271" s="72" t="s">
        <v>11</v>
      </c>
      <c r="L271" s="11" t="s">
        <v>1201</v>
      </c>
      <c r="M271" s="11" t="s">
        <v>864</v>
      </c>
      <c r="N271" s="60" t="s">
        <v>98</v>
      </c>
      <c r="O271" s="49" t="s">
        <v>2</v>
      </c>
      <c r="P271" s="11">
        <v>4</v>
      </c>
      <c r="Q271" s="11" t="s">
        <v>1613</v>
      </c>
      <c r="R271" s="11" t="s">
        <v>1598</v>
      </c>
      <c r="S271" t="str">
        <f>IFERROR(HYPERLINK("#Main!A"&amp;MATCH(A271,Main!A:A,0),"Open"),HYPERLINK("#Main!A1","Open"))</f>
        <v>Open</v>
      </c>
      <c r="T271" t="str">
        <f>IFERROR(HYPERLINK("#Technical!A"&amp;MATCH(A271,Technical!A:A,0),"Open"),HYPERLINK("#Technical!A1","Open"))</f>
        <v>Open</v>
      </c>
    </row>
    <row r="272" spans="1:21" ht="30" customHeight="1" x14ac:dyDescent="0.25">
      <c r="A272" s="59" t="s">
        <v>196</v>
      </c>
      <c r="B272" s="8">
        <v>12371</v>
      </c>
      <c r="C272" s="43" t="s">
        <v>1261</v>
      </c>
      <c r="D272" s="8" t="s">
        <v>1223</v>
      </c>
      <c r="E272" s="64" t="s">
        <v>68</v>
      </c>
      <c r="F272" s="8" t="s">
        <v>1599</v>
      </c>
      <c r="G272" s="36">
        <v>37</v>
      </c>
      <c r="H272" s="8">
        <v>398</v>
      </c>
      <c r="I272" s="8" t="s">
        <v>1233</v>
      </c>
      <c r="J272" s="8" t="s">
        <v>1600</v>
      </c>
      <c r="K272" s="71" t="s">
        <v>6</v>
      </c>
      <c r="L272" s="8" t="s">
        <v>891</v>
      </c>
      <c r="M272" s="8" t="s">
        <v>864</v>
      </c>
      <c r="N272" s="60" t="s">
        <v>98</v>
      </c>
      <c r="O272" s="49" t="s">
        <v>2</v>
      </c>
      <c r="P272" s="8">
        <v>4</v>
      </c>
      <c r="Q272" s="8" t="s">
        <v>1614</v>
      </c>
      <c r="R272" s="8" t="s">
        <v>1602</v>
      </c>
      <c r="S272" s="9" t="str">
        <f>IFERROR(HYPERLINK("#Main!A"&amp;MATCH(A272,Main!A:A,0),"Open"),HYPERLINK("#Main!A1","Open"))</f>
        <v>Open</v>
      </c>
      <c r="T272" s="9" t="str">
        <f>IFERROR(HYPERLINK("#Technical!A"&amp;MATCH(A272,Technical!A:A,0),"Open"),HYPERLINK("#Technical!A1","Open"))</f>
        <v>Open</v>
      </c>
      <c r="U272" s="9"/>
    </row>
    <row r="273" spans="1:21" ht="30" customHeight="1" x14ac:dyDescent="0.25">
      <c r="A273" s="58" t="s">
        <v>196</v>
      </c>
      <c r="B273" s="11">
        <v>12371</v>
      </c>
      <c r="C273" s="43" t="s">
        <v>1261</v>
      </c>
      <c r="D273" s="11" t="s">
        <v>1223</v>
      </c>
      <c r="E273" s="64" t="s">
        <v>68</v>
      </c>
      <c r="F273" s="11" t="s">
        <v>1594</v>
      </c>
      <c r="G273" s="10">
        <v>37</v>
      </c>
      <c r="H273" s="11">
        <v>0</v>
      </c>
      <c r="I273" s="11" t="s">
        <v>1595</v>
      </c>
      <c r="J273" s="11" t="s">
        <v>1596</v>
      </c>
      <c r="K273" s="72" t="s">
        <v>11</v>
      </c>
      <c r="L273" s="11" t="s">
        <v>1201</v>
      </c>
      <c r="M273" s="11" t="s">
        <v>864</v>
      </c>
      <c r="N273" s="60" t="s">
        <v>98</v>
      </c>
      <c r="O273" s="49" t="s">
        <v>2</v>
      </c>
      <c r="P273" s="11">
        <v>4</v>
      </c>
      <c r="Q273" s="11" t="s">
        <v>1615</v>
      </c>
      <c r="R273" s="11" t="s">
        <v>1598</v>
      </c>
      <c r="S273" t="str">
        <f>IFERROR(HYPERLINK("#Main!A"&amp;MATCH(A273,Main!A:A,0),"Open"),HYPERLINK("#Main!A1","Open"))</f>
        <v>Open</v>
      </c>
      <c r="T273" t="str">
        <f>IFERROR(HYPERLINK("#Technical!A"&amp;MATCH(A273,Technical!A:A,0),"Open"),HYPERLINK("#Technical!A1","Open"))</f>
        <v>Open</v>
      </c>
    </row>
    <row r="274" spans="1:21" ht="30" customHeight="1" x14ac:dyDescent="0.25">
      <c r="A274" s="59" t="s">
        <v>99</v>
      </c>
      <c r="B274" s="8">
        <v>13164</v>
      </c>
      <c r="C274" s="43" t="s">
        <v>1230</v>
      </c>
      <c r="D274" s="8" t="s">
        <v>1223</v>
      </c>
      <c r="E274" s="64" t="s">
        <v>68</v>
      </c>
      <c r="F274" s="8" t="s">
        <v>1594</v>
      </c>
      <c r="G274" s="36">
        <v>37</v>
      </c>
      <c r="H274" s="8">
        <v>0</v>
      </c>
      <c r="I274" s="8" t="s">
        <v>1595</v>
      </c>
      <c r="J274" s="8" t="s">
        <v>1596</v>
      </c>
      <c r="K274" s="71" t="s">
        <v>11</v>
      </c>
      <c r="L274" s="8" t="s">
        <v>1201</v>
      </c>
      <c r="M274" s="8" t="s">
        <v>864</v>
      </c>
      <c r="N274" s="60" t="s">
        <v>98</v>
      </c>
      <c r="O274" s="49" t="s">
        <v>2</v>
      </c>
      <c r="P274" s="8">
        <v>4</v>
      </c>
      <c r="Q274" s="8" t="s">
        <v>1616</v>
      </c>
      <c r="R274" s="8" t="s">
        <v>1598</v>
      </c>
      <c r="S274" s="9" t="str">
        <f>IFERROR(HYPERLINK("#Main!A"&amp;MATCH(A274,Main!A:A,0),"Open"),HYPERLINK("#Main!A1","Open"))</f>
        <v>Open</v>
      </c>
      <c r="T274" s="9" t="str">
        <f>IFERROR(HYPERLINK("#Technical!A"&amp;MATCH(A274,Technical!A:A,0),"Open"),HYPERLINK("#Technical!A1","Open"))</f>
        <v>Open</v>
      </c>
      <c r="U274" s="9"/>
    </row>
    <row r="275" spans="1:21" ht="30" customHeight="1" x14ac:dyDescent="0.25">
      <c r="A275" s="58" t="s">
        <v>210</v>
      </c>
      <c r="B275" s="11">
        <v>12954</v>
      </c>
      <c r="C275" s="43" t="s">
        <v>1264</v>
      </c>
      <c r="D275" s="11" t="s">
        <v>1223</v>
      </c>
      <c r="E275" s="64" t="s">
        <v>68</v>
      </c>
      <c r="F275" s="11" t="s">
        <v>1599</v>
      </c>
      <c r="G275" s="10">
        <v>37</v>
      </c>
      <c r="H275" s="11">
        <v>432</v>
      </c>
      <c r="I275" s="11" t="s">
        <v>1233</v>
      </c>
      <c r="J275" s="11" t="s">
        <v>1600</v>
      </c>
      <c r="K275" s="72" t="s">
        <v>6</v>
      </c>
      <c r="L275" s="11" t="s">
        <v>891</v>
      </c>
      <c r="M275" s="11" t="s">
        <v>864</v>
      </c>
      <c r="N275" s="60" t="s">
        <v>98</v>
      </c>
      <c r="O275" s="49" t="s">
        <v>2</v>
      </c>
      <c r="P275" s="11">
        <v>4</v>
      </c>
      <c r="Q275" s="11" t="s">
        <v>1617</v>
      </c>
      <c r="R275" s="11" t="s">
        <v>1602</v>
      </c>
      <c r="S275" t="str">
        <f>IFERROR(HYPERLINK("#Main!A"&amp;MATCH(A275,Main!A:A,0),"Open"),HYPERLINK("#Main!A1","Open"))</f>
        <v>Open</v>
      </c>
      <c r="T275" t="str">
        <f>IFERROR(HYPERLINK("#Technical!A"&amp;MATCH(A275,Technical!A:A,0),"Open"),HYPERLINK("#Technical!A1","Open"))</f>
        <v>Open</v>
      </c>
    </row>
    <row r="276" spans="1:21" ht="30" customHeight="1" x14ac:dyDescent="0.25">
      <c r="A276" s="59" t="s">
        <v>210</v>
      </c>
      <c r="B276" s="8">
        <v>12954</v>
      </c>
      <c r="C276" s="43" t="s">
        <v>1264</v>
      </c>
      <c r="D276" s="8" t="s">
        <v>1223</v>
      </c>
      <c r="E276" s="64" t="s">
        <v>68</v>
      </c>
      <c r="F276" s="8" t="s">
        <v>1594</v>
      </c>
      <c r="G276" s="36">
        <v>37</v>
      </c>
      <c r="H276" s="8">
        <v>0</v>
      </c>
      <c r="I276" s="8" t="s">
        <v>1595</v>
      </c>
      <c r="J276" s="8" t="s">
        <v>1596</v>
      </c>
      <c r="K276" s="71" t="s">
        <v>11</v>
      </c>
      <c r="L276" s="8" t="s">
        <v>1201</v>
      </c>
      <c r="M276" s="8" t="s">
        <v>864</v>
      </c>
      <c r="N276" s="60" t="s">
        <v>98</v>
      </c>
      <c r="O276" s="49" t="s">
        <v>2</v>
      </c>
      <c r="P276" s="8">
        <v>4</v>
      </c>
      <c r="Q276" s="8" t="s">
        <v>1618</v>
      </c>
      <c r="R276" s="8" t="s">
        <v>1598</v>
      </c>
      <c r="S276" s="9" t="str">
        <f>IFERROR(HYPERLINK("#Main!A"&amp;MATCH(A276,Main!A:A,0),"Open"),HYPERLINK("#Main!A1","Open"))</f>
        <v>Open</v>
      </c>
      <c r="T276" s="9" t="str">
        <f>IFERROR(HYPERLINK("#Technical!A"&amp;MATCH(A276,Technical!A:A,0),"Open"),HYPERLINK("#Technical!A1","Open"))</f>
        <v>Open</v>
      </c>
      <c r="U276" s="9"/>
    </row>
    <row r="277" spans="1:21" ht="30" customHeight="1" x14ac:dyDescent="0.25">
      <c r="A277" s="58" t="s">
        <v>218</v>
      </c>
      <c r="B277" s="11">
        <v>12497</v>
      </c>
      <c r="C277" s="43" t="s">
        <v>1266</v>
      </c>
      <c r="D277" s="11" t="s">
        <v>1223</v>
      </c>
      <c r="E277" s="64" t="s">
        <v>68</v>
      </c>
      <c r="F277" s="11" t="s">
        <v>1599</v>
      </c>
      <c r="G277" s="10">
        <v>37</v>
      </c>
      <c r="H277" s="11">
        <v>379</v>
      </c>
      <c r="I277" s="11" t="s">
        <v>1233</v>
      </c>
      <c r="J277" s="11" t="s">
        <v>1600</v>
      </c>
      <c r="K277" s="72" t="s">
        <v>6</v>
      </c>
      <c r="L277" s="11" t="s">
        <v>891</v>
      </c>
      <c r="M277" s="11" t="s">
        <v>864</v>
      </c>
      <c r="N277" s="60" t="s">
        <v>98</v>
      </c>
      <c r="O277" s="49" t="s">
        <v>2</v>
      </c>
      <c r="P277" s="11">
        <v>4</v>
      </c>
      <c r="Q277" s="11" t="s">
        <v>1619</v>
      </c>
      <c r="R277" s="11" t="s">
        <v>1602</v>
      </c>
      <c r="S277" t="str">
        <f>IFERROR(HYPERLINK("#Main!A"&amp;MATCH(A277,Main!A:A,0),"Open"),HYPERLINK("#Main!A1","Open"))</f>
        <v>Open</v>
      </c>
      <c r="T277" t="str">
        <f>IFERROR(HYPERLINK("#Technical!A"&amp;MATCH(A277,Technical!A:A,0),"Open"),HYPERLINK("#Technical!A1","Open"))</f>
        <v>Open</v>
      </c>
    </row>
    <row r="278" spans="1:21" ht="30" customHeight="1" x14ac:dyDescent="0.25">
      <c r="A278" s="59" t="s">
        <v>218</v>
      </c>
      <c r="B278" s="8">
        <v>12497</v>
      </c>
      <c r="C278" s="43" t="s">
        <v>1266</v>
      </c>
      <c r="D278" s="8" t="s">
        <v>1223</v>
      </c>
      <c r="E278" s="64" t="s">
        <v>68</v>
      </c>
      <c r="F278" s="8" t="s">
        <v>1594</v>
      </c>
      <c r="G278" s="36">
        <v>37</v>
      </c>
      <c r="H278" s="8">
        <v>0</v>
      </c>
      <c r="I278" s="8" t="s">
        <v>1595</v>
      </c>
      <c r="J278" s="8" t="s">
        <v>1596</v>
      </c>
      <c r="K278" s="71" t="s">
        <v>11</v>
      </c>
      <c r="L278" s="8" t="s">
        <v>1201</v>
      </c>
      <c r="M278" s="8" t="s">
        <v>864</v>
      </c>
      <c r="N278" s="60" t="s">
        <v>98</v>
      </c>
      <c r="O278" s="49" t="s">
        <v>2</v>
      </c>
      <c r="P278" s="8">
        <v>4</v>
      </c>
      <c r="Q278" s="8" t="s">
        <v>1620</v>
      </c>
      <c r="R278" s="8" t="s">
        <v>1598</v>
      </c>
      <c r="S278" s="9" t="str">
        <f>IFERROR(HYPERLINK("#Main!A"&amp;MATCH(A278,Main!A:A,0),"Open"),HYPERLINK("#Main!A1","Open"))</f>
        <v>Open</v>
      </c>
      <c r="T278" s="9" t="str">
        <f>IFERROR(HYPERLINK("#Technical!A"&amp;MATCH(A278,Technical!A:A,0),"Open"),HYPERLINK("#Technical!A1","Open"))</f>
        <v>Open</v>
      </c>
      <c r="U278" s="9"/>
    </row>
    <row r="279" spans="1:21" ht="30" customHeight="1" x14ac:dyDescent="0.25">
      <c r="A279" s="58" t="s">
        <v>226</v>
      </c>
      <c r="B279" s="11">
        <v>12407</v>
      </c>
      <c r="C279" s="43" t="s">
        <v>1268</v>
      </c>
      <c r="D279" s="11" t="s">
        <v>1223</v>
      </c>
      <c r="E279" s="64" t="s">
        <v>68</v>
      </c>
      <c r="F279" s="11" t="s">
        <v>1599</v>
      </c>
      <c r="G279" s="10">
        <v>37</v>
      </c>
      <c r="H279" s="11">
        <v>316</v>
      </c>
      <c r="I279" s="11" t="s">
        <v>1233</v>
      </c>
      <c r="J279" s="11" t="s">
        <v>1600</v>
      </c>
      <c r="K279" s="72" t="s">
        <v>6</v>
      </c>
      <c r="L279" s="11" t="s">
        <v>891</v>
      </c>
      <c r="M279" s="11" t="s">
        <v>864</v>
      </c>
      <c r="N279" s="60" t="s">
        <v>98</v>
      </c>
      <c r="O279" s="49" t="s">
        <v>2</v>
      </c>
      <c r="P279" s="11">
        <v>4</v>
      </c>
      <c r="Q279" s="11" t="s">
        <v>1621</v>
      </c>
      <c r="R279" s="11" t="s">
        <v>1602</v>
      </c>
      <c r="S279" t="str">
        <f>IFERROR(HYPERLINK("#Main!A"&amp;MATCH(A279,Main!A:A,0),"Open"),HYPERLINK("#Main!A1","Open"))</f>
        <v>Open</v>
      </c>
      <c r="T279" t="str">
        <f>IFERROR(HYPERLINK("#Technical!A"&amp;MATCH(A279,Technical!A:A,0),"Open"),HYPERLINK("#Technical!A1","Open"))</f>
        <v>Open</v>
      </c>
    </row>
    <row r="280" spans="1:21" ht="30" customHeight="1" x14ac:dyDescent="0.25">
      <c r="A280" s="59" t="s">
        <v>226</v>
      </c>
      <c r="B280" s="8">
        <v>12407</v>
      </c>
      <c r="C280" s="43" t="s">
        <v>1268</v>
      </c>
      <c r="D280" s="8" t="s">
        <v>1223</v>
      </c>
      <c r="E280" s="64" t="s">
        <v>68</v>
      </c>
      <c r="F280" s="8" t="s">
        <v>1594</v>
      </c>
      <c r="G280" s="36">
        <v>37</v>
      </c>
      <c r="H280" s="8">
        <v>0</v>
      </c>
      <c r="I280" s="8" t="s">
        <v>1595</v>
      </c>
      <c r="J280" s="8" t="s">
        <v>1596</v>
      </c>
      <c r="K280" s="71" t="s">
        <v>11</v>
      </c>
      <c r="L280" s="8" t="s">
        <v>1201</v>
      </c>
      <c r="M280" s="8" t="s">
        <v>864</v>
      </c>
      <c r="N280" s="60" t="s">
        <v>98</v>
      </c>
      <c r="O280" s="49" t="s">
        <v>2</v>
      </c>
      <c r="P280" s="8">
        <v>4</v>
      </c>
      <c r="Q280" s="8" t="s">
        <v>1622</v>
      </c>
      <c r="R280" s="8" t="s">
        <v>1598</v>
      </c>
      <c r="S280" s="9" t="str">
        <f>IFERROR(HYPERLINK("#Main!A"&amp;MATCH(A280,Main!A:A,0),"Open"),HYPERLINK("#Main!A1","Open"))</f>
        <v>Open</v>
      </c>
      <c r="T280" s="9" t="str">
        <f>IFERROR(HYPERLINK("#Technical!A"&amp;MATCH(A280,Technical!A:A,0),"Open"),HYPERLINK("#Technical!A1","Open"))</f>
        <v>Open</v>
      </c>
      <c r="U280" s="9"/>
    </row>
    <row r="281" spans="1:21" ht="30" customHeight="1" x14ac:dyDescent="0.25">
      <c r="A281" s="58" t="s">
        <v>234</v>
      </c>
      <c r="B281" s="11">
        <v>13098</v>
      </c>
      <c r="C281" s="43" t="s">
        <v>1270</v>
      </c>
      <c r="D281" s="11" t="s">
        <v>1223</v>
      </c>
      <c r="E281" s="64" t="s">
        <v>68</v>
      </c>
      <c r="F281" s="11" t="s">
        <v>1599</v>
      </c>
      <c r="G281" s="10">
        <v>37</v>
      </c>
      <c r="H281" s="11">
        <v>340</v>
      </c>
      <c r="I281" s="11" t="s">
        <v>1233</v>
      </c>
      <c r="J281" s="11" t="s">
        <v>1600</v>
      </c>
      <c r="K281" s="72" t="s">
        <v>6</v>
      </c>
      <c r="L281" s="11" t="s">
        <v>891</v>
      </c>
      <c r="M281" s="11" t="s">
        <v>864</v>
      </c>
      <c r="N281" s="60" t="s">
        <v>98</v>
      </c>
      <c r="O281" s="49" t="s">
        <v>2</v>
      </c>
      <c r="P281" s="11">
        <v>4</v>
      </c>
      <c r="Q281" s="11" t="s">
        <v>1623</v>
      </c>
      <c r="R281" s="11" t="s">
        <v>1602</v>
      </c>
      <c r="S281" t="str">
        <f>IFERROR(HYPERLINK("#Main!A"&amp;MATCH(A281,Main!A:A,0),"Open"),HYPERLINK("#Main!A1","Open"))</f>
        <v>Open</v>
      </c>
      <c r="T281" t="str">
        <f>IFERROR(HYPERLINK("#Technical!A"&amp;MATCH(A281,Technical!A:A,0),"Open"),HYPERLINK("#Technical!A1","Open"))</f>
        <v>Open</v>
      </c>
    </row>
    <row r="282" spans="1:21" ht="30" customHeight="1" x14ac:dyDescent="0.25">
      <c r="A282" s="59" t="s">
        <v>234</v>
      </c>
      <c r="B282" s="8">
        <v>13098</v>
      </c>
      <c r="C282" s="43" t="s">
        <v>1270</v>
      </c>
      <c r="D282" s="8" t="s">
        <v>1223</v>
      </c>
      <c r="E282" s="64" t="s">
        <v>68</v>
      </c>
      <c r="F282" s="8" t="s">
        <v>1594</v>
      </c>
      <c r="G282" s="36">
        <v>37</v>
      </c>
      <c r="H282" s="8">
        <v>0</v>
      </c>
      <c r="I282" s="8" t="s">
        <v>1595</v>
      </c>
      <c r="J282" s="8" t="s">
        <v>1596</v>
      </c>
      <c r="K282" s="71" t="s">
        <v>11</v>
      </c>
      <c r="L282" s="8" t="s">
        <v>1201</v>
      </c>
      <c r="M282" s="8" t="s">
        <v>864</v>
      </c>
      <c r="N282" s="60" t="s">
        <v>98</v>
      </c>
      <c r="O282" s="49" t="s">
        <v>2</v>
      </c>
      <c r="P282" s="8">
        <v>4</v>
      </c>
      <c r="Q282" s="8" t="s">
        <v>1624</v>
      </c>
      <c r="R282" s="8" t="s">
        <v>1598</v>
      </c>
      <c r="S282" s="9" t="str">
        <f>IFERROR(HYPERLINK("#Main!A"&amp;MATCH(A282,Main!A:A,0),"Open"),HYPERLINK("#Main!A1","Open"))</f>
        <v>Open</v>
      </c>
      <c r="T282" s="9" t="str">
        <f>IFERROR(HYPERLINK("#Technical!A"&amp;MATCH(A282,Technical!A:A,0),"Open"),HYPERLINK("#Technical!A1","Open"))</f>
        <v>Open</v>
      </c>
      <c r="U282" s="9"/>
    </row>
    <row r="283" spans="1:21" ht="30" customHeight="1" x14ac:dyDescent="0.25">
      <c r="A283" s="58" t="s">
        <v>242</v>
      </c>
      <c r="B283" s="11">
        <v>13549</v>
      </c>
      <c r="C283" s="43" t="s">
        <v>1272</v>
      </c>
      <c r="D283" s="11" t="s">
        <v>1223</v>
      </c>
      <c r="E283" s="64" t="s">
        <v>68</v>
      </c>
      <c r="F283" s="11" t="s">
        <v>1625</v>
      </c>
      <c r="G283" s="10">
        <v>37</v>
      </c>
      <c r="H283" s="11">
        <v>88</v>
      </c>
      <c r="I283" s="11" t="s">
        <v>1233</v>
      </c>
      <c r="J283" s="11" t="s">
        <v>1626</v>
      </c>
      <c r="K283" s="72" t="s">
        <v>6</v>
      </c>
      <c r="L283" s="11" t="s">
        <v>891</v>
      </c>
      <c r="M283" s="11" t="s">
        <v>864</v>
      </c>
      <c r="N283" s="60" t="s">
        <v>98</v>
      </c>
      <c r="O283" s="49" t="s">
        <v>2</v>
      </c>
      <c r="P283" s="11">
        <v>4</v>
      </c>
      <c r="Q283" s="11" t="s">
        <v>1627</v>
      </c>
      <c r="R283" s="11" t="s">
        <v>1628</v>
      </c>
      <c r="S283" t="str">
        <f>IFERROR(HYPERLINK("#Main!A"&amp;MATCH(A283,Main!A:A,0),"Open"),HYPERLINK("#Main!A1","Open"))</f>
        <v>Open</v>
      </c>
      <c r="T283" t="str">
        <f>IFERROR(HYPERLINK("#Technical!A"&amp;MATCH(A283,Technical!A:A,0),"Open"),HYPERLINK("#Technical!A1","Open"))</f>
        <v>Open</v>
      </c>
    </row>
    <row r="284" spans="1:21" ht="30" customHeight="1" x14ac:dyDescent="0.25">
      <c r="A284" s="59" t="s">
        <v>242</v>
      </c>
      <c r="B284" s="8">
        <v>13549</v>
      </c>
      <c r="C284" s="43" t="s">
        <v>1272</v>
      </c>
      <c r="D284" s="8" t="s">
        <v>1223</v>
      </c>
      <c r="E284" s="64" t="s">
        <v>68</v>
      </c>
      <c r="F284" s="8" t="s">
        <v>1594</v>
      </c>
      <c r="G284" s="36">
        <v>37</v>
      </c>
      <c r="H284" s="8">
        <v>0</v>
      </c>
      <c r="I284" s="8" t="s">
        <v>1595</v>
      </c>
      <c r="J284" s="8" t="s">
        <v>1596</v>
      </c>
      <c r="K284" s="71" t="s">
        <v>11</v>
      </c>
      <c r="L284" s="8" t="s">
        <v>1201</v>
      </c>
      <c r="M284" s="8" t="s">
        <v>864</v>
      </c>
      <c r="N284" s="60" t="s">
        <v>98</v>
      </c>
      <c r="O284" s="49" t="s">
        <v>2</v>
      </c>
      <c r="P284" s="8">
        <v>4</v>
      </c>
      <c r="Q284" s="8" t="s">
        <v>1629</v>
      </c>
      <c r="R284" s="8" t="s">
        <v>1598</v>
      </c>
      <c r="S284" s="9" t="str">
        <f>IFERROR(HYPERLINK("#Main!A"&amp;MATCH(A284,Main!A:A,0),"Open"),HYPERLINK("#Main!A1","Open"))</f>
        <v>Open</v>
      </c>
      <c r="T284" s="9" t="str">
        <f>IFERROR(HYPERLINK("#Technical!A"&amp;MATCH(A284,Technical!A:A,0),"Open"),HYPERLINK("#Technical!A1","Open"))</f>
        <v>Open</v>
      </c>
      <c r="U284" s="9"/>
    </row>
    <row r="285" spans="1:21" ht="30" customHeight="1" x14ac:dyDescent="0.25">
      <c r="A285" s="58" t="s">
        <v>250</v>
      </c>
      <c r="B285" s="11">
        <v>13282</v>
      </c>
      <c r="C285" s="43" t="s">
        <v>1274</v>
      </c>
      <c r="D285" s="11" t="s">
        <v>1223</v>
      </c>
      <c r="E285" s="64" t="s">
        <v>68</v>
      </c>
      <c r="F285" s="11" t="s">
        <v>1625</v>
      </c>
      <c r="G285" s="10">
        <v>37</v>
      </c>
      <c r="H285" s="11">
        <v>37</v>
      </c>
      <c r="I285" s="11" t="s">
        <v>1233</v>
      </c>
      <c r="J285" s="11" t="s">
        <v>1626</v>
      </c>
      <c r="K285" s="72" t="s">
        <v>6</v>
      </c>
      <c r="L285" s="11" t="s">
        <v>891</v>
      </c>
      <c r="M285" s="11" t="s">
        <v>864</v>
      </c>
      <c r="N285" s="60" t="s">
        <v>98</v>
      </c>
      <c r="O285" s="49" t="s">
        <v>2</v>
      </c>
      <c r="P285" s="11">
        <v>4</v>
      </c>
      <c r="Q285" s="11" t="s">
        <v>1630</v>
      </c>
      <c r="R285" s="11" t="s">
        <v>1628</v>
      </c>
      <c r="S285" t="str">
        <f>IFERROR(HYPERLINK("#Main!A"&amp;MATCH(A285,Main!A:A,0),"Open"),HYPERLINK("#Main!A1","Open"))</f>
        <v>Open</v>
      </c>
      <c r="T285" t="str">
        <f>IFERROR(HYPERLINK("#Technical!A"&amp;MATCH(A285,Technical!A:A,0),"Open"),HYPERLINK("#Technical!A1","Open"))</f>
        <v>Open</v>
      </c>
    </row>
    <row r="286" spans="1:21" ht="30" customHeight="1" x14ac:dyDescent="0.25">
      <c r="A286" s="59" t="s">
        <v>250</v>
      </c>
      <c r="B286" s="8">
        <v>13282</v>
      </c>
      <c r="C286" s="43" t="s">
        <v>1274</v>
      </c>
      <c r="D286" s="8" t="s">
        <v>1223</v>
      </c>
      <c r="E286" s="64" t="s">
        <v>68</v>
      </c>
      <c r="F286" s="8" t="s">
        <v>1594</v>
      </c>
      <c r="G286" s="36">
        <v>37</v>
      </c>
      <c r="H286" s="8">
        <v>0</v>
      </c>
      <c r="I286" s="8" t="s">
        <v>1595</v>
      </c>
      <c r="J286" s="8" t="s">
        <v>1596</v>
      </c>
      <c r="K286" s="71" t="s">
        <v>11</v>
      </c>
      <c r="L286" s="8" t="s">
        <v>1201</v>
      </c>
      <c r="M286" s="8" t="s">
        <v>864</v>
      </c>
      <c r="N286" s="60" t="s">
        <v>98</v>
      </c>
      <c r="O286" s="49" t="s">
        <v>2</v>
      </c>
      <c r="P286" s="8">
        <v>4</v>
      </c>
      <c r="Q286" s="8" t="s">
        <v>1631</v>
      </c>
      <c r="R286" s="8" t="s">
        <v>1598</v>
      </c>
      <c r="S286" s="9" t="str">
        <f>IFERROR(HYPERLINK("#Main!A"&amp;MATCH(A286,Main!A:A,0),"Open"),HYPERLINK("#Main!A1","Open"))</f>
        <v>Open</v>
      </c>
      <c r="T286" s="9" t="str">
        <f>IFERROR(HYPERLINK("#Technical!A"&amp;MATCH(A286,Technical!A:A,0),"Open"),HYPERLINK("#Technical!A1","Open"))</f>
        <v>Open</v>
      </c>
      <c r="U286" s="9"/>
    </row>
    <row r="287" spans="1:21" ht="30" customHeight="1" x14ac:dyDescent="0.25">
      <c r="A287" s="58" t="s">
        <v>258</v>
      </c>
      <c r="B287" s="11">
        <v>12945</v>
      </c>
      <c r="C287" s="43" t="s">
        <v>1276</v>
      </c>
      <c r="D287" s="11" t="s">
        <v>1223</v>
      </c>
      <c r="E287" s="64" t="s">
        <v>68</v>
      </c>
      <c r="F287" s="11" t="s">
        <v>1599</v>
      </c>
      <c r="G287" s="10">
        <v>37</v>
      </c>
      <c r="H287" s="11">
        <v>362</v>
      </c>
      <c r="I287" s="11" t="s">
        <v>1233</v>
      </c>
      <c r="J287" s="11" t="s">
        <v>1600</v>
      </c>
      <c r="K287" s="72" t="s">
        <v>6</v>
      </c>
      <c r="L287" s="11" t="s">
        <v>891</v>
      </c>
      <c r="M287" s="11" t="s">
        <v>864</v>
      </c>
      <c r="N287" s="60" t="s">
        <v>98</v>
      </c>
      <c r="O287" s="49" t="s">
        <v>2</v>
      </c>
      <c r="P287" s="11">
        <v>4</v>
      </c>
      <c r="Q287" s="11" t="s">
        <v>1632</v>
      </c>
      <c r="R287" s="11" t="s">
        <v>1602</v>
      </c>
      <c r="S287" t="str">
        <f>IFERROR(HYPERLINK("#Main!A"&amp;MATCH(A287,Main!A:A,0),"Open"),HYPERLINK("#Main!A1","Open"))</f>
        <v>Open</v>
      </c>
      <c r="T287" t="str">
        <f>IFERROR(HYPERLINK("#Technical!A"&amp;MATCH(A287,Technical!A:A,0),"Open"),HYPERLINK("#Technical!A1","Open"))</f>
        <v>Open</v>
      </c>
    </row>
    <row r="288" spans="1:21" ht="30" customHeight="1" x14ac:dyDescent="0.25">
      <c r="A288" s="59" t="s">
        <v>258</v>
      </c>
      <c r="B288" s="8">
        <v>12945</v>
      </c>
      <c r="C288" s="43" t="s">
        <v>1276</v>
      </c>
      <c r="D288" s="8" t="s">
        <v>1223</v>
      </c>
      <c r="E288" s="64" t="s">
        <v>68</v>
      </c>
      <c r="F288" s="8" t="s">
        <v>1594</v>
      </c>
      <c r="G288" s="36">
        <v>37</v>
      </c>
      <c r="H288" s="8">
        <v>0</v>
      </c>
      <c r="I288" s="8" t="s">
        <v>1595</v>
      </c>
      <c r="J288" s="8" t="s">
        <v>1596</v>
      </c>
      <c r="K288" s="71" t="s">
        <v>11</v>
      </c>
      <c r="L288" s="8" t="s">
        <v>1201</v>
      </c>
      <c r="M288" s="8" t="s">
        <v>864</v>
      </c>
      <c r="N288" s="60" t="s">
        <v>98</v>
      </c>
      <c r="O288" s="49" t="s">
        <v>2</v>
      </c>
      <c r="P288" s="8">
        <v>4</v>
      </c>
      <c r="Q288" s="8" t="s">
        <v>1633</v>
      </c>
      <c r="R288" s="8" t="s">
        <v>1598</v>
      </c>
      <c r="S288" s="9" t="str">
        <f>IFERROR(HYPERLINK("#Main!A"&amp;MATCH(A288,Main!A:A,0),"Open"),HYPERLINK("#Main!A1","Open"))</f>
        <v>Open</v>
      </c>
      <c r="T288" s="9" t="str">
        <f>IFERROR(HYPERLINK("#Technical!A"&amp;MATCH(A288,Technical!A:A,0),"Open"),HYPERLINK("#Technical!A1","Open"))</f>
        <v>Open</v>
      </c>
      <c r="U288" s="9"/>
    </row>
    <row r="289" spans="1:21" ht="30" customHeight="1" x14ac:dyDescent="0.25">
      <c r="A289" s="58" t="s">
        <v>266</v>
      </c>
      <c r="B289" s="11">
        <v>13179</v>
      </c>
      <c r="C289" s="43" t="s">
        <v>1278</v>
      </c>
      <c r="D289" s="11" t="s">
        <v>1223</v>
      </c>
      <c r="E289" s="64" t="s">
        <v>68</v>
      </c>
      <c r="F289" s="11" t="s">
        <v>1599</v>
      </c>
      <c r="G289" s="10">
        <v>37</v>
      </c>
      <c r="H289" s="11">
        <v>354</v>
      </c>
      <c r="I289" s="11" t="s">
        <v>1233</v>
      </c>
      <c r="J289" s="11" t="s">
        <v>1600</v>
      </c>
      <c r="K289" s="72" t="s">
        <v>6</v>
      </c>
      <c r="L289" s="11" t="s">
        <v>891</v>
      </c>
      <c r="M289" s="11" t="s">
        <v>864</v>
      </c>
      <c r="N289" s="60" t="s">
        <v>98</v>
      </c>
      <c r="O289" s="49" t="s">
        <v>2</v>
      </c>
      <c r="P289" s="11">
        <v>4</v>
      </c>
      <c r="Q289" s="11" t="s">
        <v>1634</v>
      </c>
      <c r="R289" s="11" t="s">
        <v>1602</v>
      </c>
      <c r="S289" t="str">
        <f>IFERROR(HYPERLINK("#Main!A"&amp;MATCH(A289,Main!A:A,0),"Open"),HYPERLINK("#Main!A1","Open"))</f>
        <v>Open</v>
      </c>
      <c r="T289" t="str">
        <f>IFERROR(HYPERLINK("#Technical!A"&amp;MATCH(A289,Technical!A:A,0),"Open"),HYPERLINK("#Technical!A1","Open"))</f>
        <v>Open</v>
      </c>
    </row>
    <row r="290" spans="1:21" ht="30" customHeight="1" x14ac:dyDescent="0.25">
      <c r="A290" s="59" t="s">
        <v>266</v>
      </c>
      <c r="B290" s="8">
        <v>13179</v>
      </c>
      <c r="C290" s="43" t="s">
        <v>1278</v>
      </c>
      <c r="D290" s="8" t="s">
        <v>1223</v>
      </c>
      <c r="E290" s="64" t="s">
        <v>68</v>
      </c>
      <c r="F290" s="8" t="s">
        <v>1594</v>
      </c>
      <c r="G290" s="36">
        <v>37</v>
      </c>
      <c r="H290" s="8">
        <v>0</v>
      </c>
      <c r="I290" s="8" t="s">
        <v>1595</v>
      </c>
      <c r="J290" s="8" t="s">
        <v>1596</v>
      </c>
      <c r="K290" s="71" t="s">
        <v>11</v>
      </c>
      <c r="L290" s="8" t="s">
        <v>1201</v>
      </c>
      <c r="M290" s="8" t="s">
        <v>864</v>
      </c>
      <c r="N290" s="60" t="s">
        <v>98</v>
      </c>
      <c r="O290" s="49" t="s">
        <v>2</v>
      </c>
      <c r="P290" s="8">
        <v>4</v>
      </c>
      <c r="Q290" s="8" t="s">
        <v>1635</v>
      </c>
      <c r="R290" s="8" t="s">
        <v>1598</v>
      </c>
      <c r="S290" s="9" t="str">
        <f>IFERROR(HYPERLINK("#Main!A"&amp;MATCH(A290,Main!A:A,0),"Open"),HYPERLINK("#Main!A1","Open"))</f>
        <v>Open</v>
      </c>
      <c r="T290" s="9" t="str">
        <f>IFERROR(HYPERLINK("#Technical!A"&amp;MATCH(A290,Technical!A:A,0),"Open"),HYPERLINK("#Technical!A1","Open"))</f>
        <v>Open</v>
      </c>
      <c r="U290" s="9"/>
    </row>
    <row r="291" spans="1:21" ht="30" customHeight="1" x14ac:dyDescent="0.25">
      <c r="A291" s="58" t="s">
        <v>274</v>
      </c>
      <c r="B291" s="11">
        <v>22401</v>
      </c>
      <c r="C291" s="43" t="s">
        <v>1280</v>
      </c>
      <c r="D291" s="11" t="s">
        <v>1223</v>
      </c>
      <c r="E291" s="64" t="s">
        <v>68</v>
      </c>
      <c r="F291" s="11" t="s">
        <v>1599</v>
      </c>
      <c r="G291" s="10">
        <v>37</v>
      </c>
      <c r="H291" s="11">
        <v>377</v>
      </c>
      <c r="I291" s="11" t="s">
        <v>1233</v>
      </c>
      <c r="J291" s="11" t="s">
        <v>1600</v>
      </c>
      <c r="K291" s="72" t="s">
        <v>6</v>
      </c>
      <c r="L291" s="11" t="s">
        <v>891</v>
      </c>
      <c r="M291" s="11" t="s">
        <v>864</v>
      </c>
      <c r="N291" s="60" t="s">
        <v>98</v>
      </c>
      <c r="O291" s="49" t="s">
        <v>2</v>
      </c>
      <c r="P291" s="11">
        <v>4</v>
      </c>
      <c r="Q291" s="11" t="s">
        <v>1636</v>
      </c>
      <c r="R291" s="11" t="s">
        <v>1602</v>
      </c>
      <c r="S291" t="str">
        <f>IFERROR(HYPERLINK("#Main!A"&amp;MATCH(A291,Main!A:A,0),"Open"),HYPERLINK("#Main!A1","Open"))</f>
        <v>Open</v>
      </c>
      <c r="T291" t="str">
        <f>IFERROR(HYPERLINK("#Technical!A"&amp;MATCH(A291,Technical!A:A,0),"Open"),HYPERLINK("#Technical!A1","Open"))</f>
        <v>Open</v>
      </c>
    </row>
    <row r="292" spans="1:21" ht="30" customHeight="1" x14ac:dyDescent="0.25">
      <c r="A292" s="59" t="s">
        <v>274</v>
      </c>
      <c r="B292" s="8">
        <v>22401</v>
      </c>
      <c r="C292" s="43" t="s">
        <v>1280</v>
      </c>
      <c r="D292" s="8" t="s">
        <v>1223</v>
      </c>
      <c r="E292" s="64" t="s">
        <v>68</v>
      </c>
      <c r="F292" s="8" t="s">
        <v>1594</v>
      </c>
      <c r="G292" s="36">
        <v>37</v>
      </c>
      <c r="H292" s="8">
        <v>0</v>
      </c>
      <c r="I292" s="8" t="s">
        <v>1595</v>
      </c>
      <c r="J292" s="8" t="s">
        <v>1596</v>
      </c>
      <c r="K292" s="71" t="s">
        <v>11</v>
      </c>
      <c r="L292" s="8" t="s">
        <v>1201</v>
      </c>
      <c r="M292" s="8" t="s">
        <v>864</v>
      </c>
      <c r="N292" s="60" t="s">
        <v>98</v>
      </c>
      <c r="O292" s="49" t="s">
        <v>2</v>
      </c>
      <c r="P292" s="8">
        <v>4</v>
      </c>
      <c r="Q292" s="8" t="s">
        <v>1637</v>
      </c>
      <c r="R292" s="8" t="s">
        <v>1598</v>
      </c>
      <c r="S292" s="9" t="str">
        <f>IFERROR(HYPERLINK("#Main!A"&amp;MATCH(A292,Main!A:A,0),"Open"),HYPERLINK("#Main!A1","Open"))</f>
        <v>Open</v>
      </c>
      <c r="T292" s="9" t="str">
        <f>IFERROR(HYPERLINK("#Technical!A"&amp;MATCH(A292,Technical!A:A,0),"Open"),HYPERLINK("#Technical!A1","Open"))</f>
        <v>Open</v>
      </c>
      <c r="U292" s="9"/>
    </row>
    <row r="293" spans="1:21" ht="30" customHeight="1" x14ac:dyDescent="0.25">
      <c r="A293" s="58" t="s">
        <v>282</v>
      </c>
      <c r="B293" s="11">
        <v>18318</v>
      </c>
      <c r="C293" s="43" t="s">
        <v>1282</v>
      </c>
      <c r="D293" s="11" t="s">
        <v>1223</v>
      </c>
      <c r="E293" s="64" t="s">
        <v>68</v>
      </c>
      <c r="F293" s="11" t="s">
        <v>1599</v>
      </c>
      <c r="G293" s="10">
        <v>37</v>
      </c>
      <c r="H293" s="11">
        <v>339</v>
      </c>
      <c r="I293" s="11" t="s">
        <v>1233</v>
      </c>
      <c r="J293" s="11" t="s">
        <v>1600</v>
      </c>
      <c r="K293" s="72" t="s">
        <v>6</v>
      </c>
      <c r="L293" s="11" t="s">
        <v>891</v>
      </c>
      <c r="M293" s="11" t="s">
        <v>864</v>
      </c>
      <c r="N293" s="60" t="s">
        <v>98</v>
      </c>
      <c r="O293" s="49" t="s">
        <v>2</v>
      </c>
      <c r="P293" s="11">
        <v>4</v>
      </c>
      <c r="Q293" s="11" t="s">
        <v>1638</v>
      </c>
      <c r="R293" s="11" t="s">
        <v>1602</v>
      </c>
      <c r="S293" t="str">
        <f>IFERROR(HYPERLINK("#Main!A"&amp;MATCH(A293,Main!A:A,0),"Open"),HYPERLINK("#Main!A1","Open"))</f>
        <v>Open</v>
      </c>
      <c r="T293" t="str">
        <f>IFERROR(HYPERLINK("#Technical!A"&amp;MATCH(A293,Technical!A:A,0),"Open"),HYPERLINK("#Technical!A1","Open"))</f>
        <v>Open</v>
      </c>
    </row>
    <row r="294" spans="1:21" ht="30" customHeight="1" x14ac:dyDescent="0.25">
      <c r="A294" s="59" t="s">
        <v>282</v>
      </c>
      <c r="B294" s="8">
        <v>18318</v>
      </c>
      <c r="C294" s="43" t="s">
        <v>1282</v>
      </c>
      <c r="D294" s="8" t="s">
        <v>1223</v>
      </c>
      <c r="E294" s="64" t="s">
        <v>68</v>
      </c>
      <c r="F294" s="8" t="s">
        <v>1594</v>
      </c>
      <c r="G294" s="36">
        <v>37</v>
      </c>
      <c r="H294" s="8">
        <v>0</v>
      </c>
      <c r="I294" s="8" t="s">
        <v>1595</v>
      </c>
      <c r="J294" s="8" t="s">
        <v>1596</v>
      </c>
      <c r="K294" s="71" t="s">
        <v>11</v>
      </c>
      <c r="L294" s="8" t="s">
        <v>1201</v>
      </c>
      <c r="M294" s="8" t="s">
        <v>864</v>
      </c>
      <c r="N294" s="60" t="s">
        <v>98</v>
      </c>
      <c r="O294" s="49" t="s">
        <v>2</v>
      </c>
      <c r="P294" s="8">
        <v>4</v>
      </c>
      <c r="Q294" s="8" t="s">
        <v>1639</v>
      </c>
      <c r="R294" s="8" t="s">
        <v>1598</v>
      </c>
      <c r="S294" s="9" t="str">
        <f>IFERROR(HYPERLINK("#Main!A"&amp;MATCH(A294,Main!A:A,0),"Open"),HYPERLINK("#Main!A1","Open"))</f>
        <v>Open</v>
      </c>
      <c r="T294" s="9" t="str">
        <f>IFERROR(HYPERLINK("#Technical!A"&amp;MATCH(A294,Technical!A:A,0),"Open"),HYPERLINK("#Technical!A1","Open"))</f>
        <v>Open</v>
      </c>
      <c r="U294" s="9"/>
    </row>
    <row r="295" spans="1:21" ht="30" customHeight="1" x14ac:dyDescent="0.25">
      <c r="A295" s="58" t="s">
        <v>290</v>
      </c>
      <c r="B295" s="11">
        <v>30257</v>
      </c>
      <c r="C295" s="43" t="s">
        <v>1284</v>
      </c>
      <c r="D295" s="11" t="s">
        <v>1223</v>
      </c>
      <c r="E295" s="64" t="s">
        <v>68</v>
      </c>
      <c r="F295" s="11" t="s">
        <v>1599</v>
      </c>
      <c r="G295" s="10">
        <v>37</v>
      </c>
      <c r="H295" s="11">
        <v>437</v>
      </c>
      <c r="I295" s="11" t="s">
        <v>1233</v>
      </c>
      <c r="J295" s="11" t="s">
        <v>1600</v>
      </c>
      <c r="K295" s="72" t="s">
        <v>6</v>
      </c>
      <c r="L295" s="11" t="s">
        <v>891</v>
      </c>
      <c r="M295" s="11" t="s">
        <v>864</v>
      </c>
      <c r="N295" s="60" t="s">
        <v>98</v>
      </c>
      <c r="O295" s="49" t="s">
        <v>2</v>
      </c>
      <c r="P295" s="11">
        <v>4</v>
      </c>
      <c r="Q295" s="11" t="s">
        <v>1640</v>
      </c>
      <c r="R295" s="11" t="s">
        <v>1602</v>
      </c>
      <c r="S295" t="str">
        <f>IFERROR(HYPERLINK("#Main!A"&amp;MATCH(A295,Main!A:A,0),"Open"),HYPERLINK("#Main!A1","Open"))</f>
        <v>Open</v>
      </c>
      <c r="T295" t="str">
        <f>IFERROR(HYPERLINK("#Technical!A"&amp;MATCH(A295,Technical!A:A,0),"Open"),HYPERLINK("#Technical!A1","Open"))</f>
        <v>Open</v>
      </c>
    </row>
    <row r="296" spans="1:21" ht="30" customHeight="1" x14ac:dyDescent="0.25">
      <c r="A296" s="59" t="s">
        <v>290</v>
      </c>
      <c r="B296" s="8">
        <v>30257</v>
      </c>
      <c r="C296" s="43" t="s">
        <v>1284</v>
      </c>
      <c r="D296" s="8" t="s">
        <v>1223</v>
      </c>
      <c r="E296" s="64" t="s">
        <v>68</v>
      </c>
      <c r="F296" s="8" t="s">
        <v>1594</v>
      </c>
      <c r="G296" s="36">
        <v>37</v>
      </c>
      <c r="H296" s="8">
        <v>0</v>
      </c>
      <c r="I296" s="8" t="s">
        <v>1595</v>
      </c>
      <c r="J296" s="8" t="s">
        <v>1596</v>
      </c>
      <c r="K296" s="71" t="s">
        <v>11</v>
      </c>
      <c r="L296" s="8" t="s">
        <v>1201</v>
      </c>
      <c r="M296" s="8" t="s">
        <v>864</v>
      </c>
      <c r="N296" s="60" t="s">
        <v>98</v>
      </c>
      <c r="O296" s="49" t="s">
        <v>2</v>
      </c>
      <c r="P296" s="8">
        <v>4</v>
      </c>
      <c r="Q296" s="8" t="s">
        <v>1641</v>
      </c>
      <c r="R296" s="8" t="s">
        <v>1598</v>
      </c>
      <c r="S296" s="9" t="str">
        <f>IFERROR(HYPERLINK("#Main!A"&amp;MATCH(A296,Main!A:A,0),"Open"),HYPERLINK("#Main!A1","Open"))</f>
        <v>Open</v>
      </c>
      <c r="T296" s="9" t="str">
        <f>IFERROR(HYPERLINK("#Technical!A"&amp;MATCH(A296,Technical!A:A,0),"Open"),HYPERLINK("#Technical!A1","Open"))</f>
        <v>Open</v>
      </c>
      <c r="U296" s="9"/>
    </row>
    <row r="297" spans="1:21" ht="30" customHeight="1" x14ac:dyDescent="0.25">
      <c r="A297" s="58" t="s">
        <v>298</v>
      </c>
      <c r="B297" s="11">
        <v>23710</v>
      </c>
      <c r="C297" s="43" t="s">
        <v>1286</v>
      </c>
      <c r="D297" s="11" t="s">
        <v>1223</v>
      </c>
      <c r="E297" s="64" t="s">
        <v>68</v>
      </c>
      <c r="F297" s="11" t="s">
        <v>1594</v>
      </c>
      <c r="G297" s="10">
        <v>37</v>
      </c>
      <c r="H297" s="11">
        <v>0</v>
      </c>
      <c r="I297" s="11" t="s">
        <v>1595</v>
      </c>
      <c r="J297" s="11" t="s">
        <v>1596</v>
      </c>
      <c r="K297" s="72" t="s">
        <v>11</v>
      </c>
      <c r="L297" s="11" t="s">
        <v>1201</v>
      </c>
      <c r="M297" s="11" t="s">
        <v>864</v>
      </c>
      <c r="N297" s="60" t="s">
        <v>98</v>
      </c>
      <c r="O297" s="49" t="s">
        <v>2</v>
      </c>
      <c r="P297" s="11">
        <v>4</v>
      </c>
      <c r="Q297" s="11" t="s">
        <v>1642</v>
      </c>
      <c r="R297" s="11" t="s">
        <v>1598</v>
      </c>
      <c r="S297" t="str">
        <f>IFERROR(HYPERLINK("#Main!A"&amp;MATCH(A297,Main!A:A,0),"Open"),HYPERLINK("#Main!A1","Open"))</f>
        <v>Open</v>
      </c>
      <c r="T297" t="str">
        <f>IFERROR(HYPERLINK("#Technical!A"&amp;MATCH(A297,Technical!A:A,0),"Open"),HYPERLINK("#Technical!A1","Open"))</f>
        <v>Open</v>
      </c>
    </row>
    <row r="298" spans="1:21" ht="30" customHeight="1" x14ac:dyDescent="0.25">
      <c r="A298" s="59" t="s">
        <v>306</v>
      </c>
      <c r="B298" s="8">
        <v>33280</v>
      </c>
      <c r="C298" s="43" t="s">
        <v>1288</v>
      </c>
      <c r="D298" s="8" t="s">
        <v>1223</v>
      </c>
      <c r="E298" s="64" t="s">
        <v>68</v>
      </c>
      <c r="F298" s="8" t="s">
        <v>1599</v>
      </c>
      <c r="G298" s="36">
        <v>37</v>
      </c>
      <c r="H298" s="8">
        <v>353</v>
      </c>
      <c r="I298" s="8" t="s">
        <v>1233</v>
      </c>
      <c r="J298" s="8" t="s">
        <v>1600</v>
      </c>
      <c r="K298" s="71" t="s">
        <v>6</v>
      </c>
      <c r="L298" s="8" t="s">
        <v>891</v>
      </c>
      <c r="M298" s="8" t="s">
        <v>864</v>
      </c>
      <c r="N298" s="60" t="s">
        <v>98</v>
      </c>
      <c r="O298" s="49" t="s">
        <v>2</v>
      </c>
      <c r="P298" s="8">
        <v>4</v>
      </c>
      <c r="Q298" s="8" t="s">
        <v>1643</v>
      </c>
      <c r="R298" s="8" t="s">
        <v>1602</v>
      </c>
      <c r="S298" s="9" t="str">
        <f>IFERROR(HYPERLINK("#Main!A"&amp;MATCH(A298,Main!A:A,0),"Open"),HYPERLINK("#Main!A1","Open"))</f>
        <v>Open</v>
      </c>
      <c r="T298" s="9" t="str">
        <f>IFERROR(HYPERLINK("#Technical!A"&amp;MATCH(A298,Technical!A:A,0),"Open"),HYPERLINK("#Technical!A1","Open"))</f>
        <v>Open</v>
      </c>
      <c r="U298" s="9"/>
    </row>
    <row r="299" spans="1:21" ht="30" customHeight="1" x14ac:dyDescent="0.25">
      <c r="A299" s="58" t="s">
        <v>306</v>
      </c>
      <c r="B299" s="11">
        <v>33280</v>
      </c>
      <c r="C299" s="43" t="s">
        <v>1288</v>
      </c>
      <c r="D299" s="11" t="s">
        <v>1223</v>
      </c>
      <c r="E299" s="64" t="s">
        <v>68</v>
      </c>
      <c r="F299" s="11" t="s">
        <v>1594</v>
      </c>
      <c r="G299" s="10">
        <v>37</v>
      </c>
      <c r="H299" s="11">
        <v>0</v>
      </c>
      <c r="I299" s="11" t="s">
        <v>1595</v>
      </c>
      <c r="J299" s="11" t="s">
        <v>1596</v>
      </c>
      <c r="K299" s="72" t="s">
        <v>11</v>
      </c>
      <c r="L299" s="11" t="s">
        <v>1201</v>
      </c>
      <c r="M299" s="11" t="s">
        <v>864</v>
      </c>
      <c r="N299" s="60" t="s">
        <v>98</v>
      </c>
      <c r="O299" s="49" t="s">
        <v>2</v>
      </c>
      <c r="P299" s="11">
        <v>4</v>
      </c>
      <c r="Q299" s="11" t="s">
        <v>1644</v>
      </c>
      <c r="R299" s="11" t="s">
        <v>1598</v>
      </c>
      <c r="S299" t="str">
        <f>IFERROR(HYPERLINK("#Main!A"&amp;MATCH(A299,Main!A:A,0),"Open"),HYPERLINK("#Main!A1","Open"))</f>
        <v>Open</v>
      </c>
      <c r="T299" t="str">
        <f>IFERROR(HYPERLINK("#Technical!A"&amp;MATCH(A299,Technical!A:A,0),"Open"),HYPERLINK("#Technical!A1","Open"))</f>
        <v>Open</v>
      </c>
    </row>
    <row r="300" spans="1:21" ht="30" customHeight="1" x14ac:dyDescent="0.25">
      <c r="A300" s="59" t="s">
        <v>314</v>
      </c>
      <c r="B300" s="8">
        <v>22778</v>
      </c>
      <c r="C300" s="43" t="s">
        <v>1290</v>
      </c>
      <c r="D300" s="8" t="s">
        <v>1223</v>
      </c>
      <c r="E300" s="64" t="s">
        <v>68</v>
      </c>
      <c r="F300" s="8" t="s">
        <v>1599</v>
      </c>
      <c r="G300" s="36">
        <v>37</v>
      </c>
      <c r="H300" s="8">
        <v>411</v>
      </c>
      <c r="I300" s="8" t="s">
        <v>1233</v>
      </c>
      <c r="J300" s="8" t="s">
        <v>1600</v>
      </c>
      <c r="K300" s="71" t="s">
        <v>6</v>
      </c>
      <c r="L300" s="8" t="s">
        <v>891</v>
      </c>
      <c r="M300" s="8" t="s">
        <v>864</v>
      </c>
      <c r="N300" s="60" t="s">
        <v>98</v>
      </c>
      <c r="O300" s="49" t="s">
        <v>2</v>
      </c>
      <c r="P300" s="8">
        <v>4</v>
      </c>
      <c r="Q300" s="8" t="s">
        <v>1645</v>
      </c>
      <c r="R300" s="8" t="s">
        <v>1602</v>
      </c>
      <c r="S300" s="9" t="str">
        <f>IFERROR(HYPERLINK("#Main!A"&amp;MATCH(A300,Main!A:A,0),"Open"),HYPERLINK("#Main!A1","Open"))</f>
        <v>Open</v>
      </c>
      <c r="T300" s="9" t="str">
        <f>IFERROR(HYPERLINK("#Technical!A"&amp;MATCH(A300,Technical!A:A,0),"Open"),HYPERLINK("#Technical!A1","Open"))</f>
        <v>Open</v>
      </c>
      <c r="U300" s="9"/>
    </row>
    <row r="301" spans="1:21" ht="30" customHeight="1" x14ac:dyDescent="0.25">
      <c r="A301" s="58" t="s">
        <v>314</v>
      </c>
      <c r="B301" s="11">
        <v>22778</v>
      </c>
      <c r="C301" s="43" t="s">
        <v>1290</v>
      </c>
      <c r="D301" s="11" t="s">
        <v>1223</v>
      </c>
      <c r="E301" s="64" t="s">
        <v>68</v>
      </c>
      <c r="F301" s="11" t="s">
        <v>1594</v>
      </c>
      <c r="G301" s="10">
        <v>37</v>
      </c>
      <c r="H301" s="11">
        <v>0</v>
      </c>
      <c r="I301" s="11" t="s">
        <v>1595</v>
      </c>
      <c r="J301" s="11" t="s">
        <v>1596</v>
      </c>
      <c r="K301" s="72" t="s">
        <v>11</v>
      </c>
      <c r="L301" s="11" t="s">
        <v>1201</v>
      </c>
      <c r="M301" s="11" t="s">
        <v>864</v>
      </c>
      <c r="N301" s="60" t="s">
        <v>98</v>
      </c>
      <c r="O301" s="49" t="s">
        <v>2</v>
      </c>
      <c r="P301" s="11">
        <v>4</v>
      </c>
      <c r="Q301" s="11" t="s">
        <v>1646</v>
      </c>
      <c r="R301" s="11" t="s">
        <v>1598</v>
      </c>
      <c r="S301" t="str">
        <f>IFERROR(HYPERLINK("#Main!A"&amp;MATCH(A301,Main!A:A,0),"Open"),HYPERLINK("#Main!A1","Open"))</f>
        <v>Open</v>
      </c>
      <c r="T301" t="str">
        <f>IFERROR(HYPERLINK("#Technical!A"&amp;MATCH(A301,Technical!A:A,0),"Open"),HYPERLINK("#Technical!A1","Open"))</f>
        <v>Open</v>
      </c>
    </row>
    <row r="302" spans="1:21" ht="30" customHeight="1" x14ac:dyDescent="0.25">
      <c r="A302" s="59" t="s">
        <v>322</v>
      </c>
      <c r="B302" s="8">
        <v>31478</v>
      </c>
      <c r="C302" s="43" t="s">
        <v>1292</v>
      </c>
      <c r="D302" s="8" t="s">
        <v>1223</v>
      </c>
      <c r="E302" s="64" t="s">
        <v>68</v>
      </c>
      <c r="F302" s="8" t="s">
        <v>1599</v>
      </c>
      <c r="G302" s="36">
        <v>37</v>
      </c>
      <c r="H302" s="8">
        <v>357</v>
      </c>
      <c r="I302" s="8" t="s">
        <v>1233</v>
      </c>
      <c r="J302" s="8" t="s">
        <v>1600</v>
      </c>
      <c r="K302" s="71" t="s">
        <v>6</v>
      </c>
      <c r="L302" s="8" t="s">
        <v>891</v>
      </c>
      <c r="M302" s="8" t="s">
        <v>864</v>
      </c>
      <c r="N302" s="60" t="s">
        <v>98</v>
      </c>
      <c r="O302" s="49" t="s">
        <v>2</v>
      </c>
      <c r="P302" s="8">
        <v>4</v>
      </c>
      <c r="Q302" s="8" t="s">
        <v>1647</v>
      </c>
      <c r="R302" s="8" t="s">
        <v>1602</v>
      </c>
      <c r="S302" s="9" t="str">
        <f>IFERROR(HYPERLINK("#Main!A"&amp;MATCH(A302,Main!A:A,0),"Open"),HYPERLINK("#Main!A1","Open"))</f>
        <v>Open</v>
      </c>
      <c r="T302" s="9" t="str">
        <f>IFERROR(HYPERLINK("#Technical!A"&amp;MATCH(A302,Technical!A:A,0),"Open"),HYPERLINK("#Technical!A1","Open"))</f>
        <v>Open</v>
      </c>
      <c r="U302" s="9"/>
    </row>
    <row r="303" spans="1:21" ht="30" customHeight="1" x14ac:dyDescent="0.25">
      <c r="A303" s="58" t="s">
        <v>322</v>
      </c>
      <c r="B303" s="11">
        <v>31478</v>
      </c>
      <c r="C303" s="43" t="s">
        <v>1292</v>
      </c>
      <c r="D303" s="11" t="s">
        <v>1223</v>
      </c>
      <c r="E303" s="64" t="s">
        <v>68</v>
      </c>
      <c r="F303" s="11" t="s">
        <v>1594</v>
      </c>
      <c r="G303" s="10">
        <v>37</v>
      </c>
      <c r="H303" s="11">
        <v>0</v>
      </c>
      <c r="I303" s="11" t="s">
        <v>1595</v>
      </c>
      <c r="J303" s="11" t="s">
        <v>1596</v>
      </c>
      <c r="K303" s="72" t="s">
        <v>11</v>
      </c>
      <c r="L303" s="11" t="s">
        <v>1201</v>
      </c>
      <c r="M303" s="11" t="s">
        <v>864</v>
      </c>
      <c r="N303" s="60" t="s">
        <v>98</v>
      </c>
      <c r="O303" s="49" t="s">
        <v>2</v>
      </c>
      <c r="P303" s="11">
        <v>4</v>
      </c>
      <c r="Q303" s="11" t="s">
        <v>1648</v>
      </c>
      <c r="R303" s="11" t="s">
        <v>1598</v>
      </c>
      <c r="S303" t="str">
        <f>IFERROR(HYPERLINK("#Main!A"&amp;MATCH(A303,Main!A:A,0),"Open"),HYPERLINK("#Main!A1","Open"))</f>
        <v>Open</v>
      </c>
      <c r="T303" t="str">
        <f>IFERROR(HYPERLINK("#Technical!A"&amp;MATCH(A303,Technical!A:A,0),"Open"),HYPERLINK("#Technical!A1","Open"))</f>
        <v>Open</v>
      </c>
    </row>
    <row r="304" spans="1:21" ht="30" customHeight="1" x14ac:dyDescent="0.25">
      <c r="A304" s="59" t="s">
        <v>330</v>
      </c>
      <c r="B304" s="8">
        <v>5057</v>
      </c>
      <c r="C304" s="43" t="s">
        <v>1294</v>
      </c>
      <c r="D304" s="8" t="s">
        <v>1223</v>
      </c>
      <c r="E304" s="64" t="s">
        <v>68</v>
      </c>
      <c r="F304" s="8" t="s">
        <v>1599</v>
      </c>
      <c r="G304" s="36">
        <v>37</v>
      </c>
      <c r="H304" s="8">
        <v>347</v>
      </c>
      <c r="I304" s="8" t="s">
        <v>1233</v>
      </c>
      <c r="J304" s="8" t="s">
        <v>1600</v>
      </c>
      <c r="K304" s="71" t="s">
        <v>6</v>
      </c>
      <c r="L304" s="8" t="s">
        <v>891</v>
      </c>
      <c r="M304" s="8" t="s">
        <v>864</v>
      </c>
      <c r="N304" s="60" t="s">
        <v>98</v>
      </c>
      <c r="O304" s="49" t="s">
        <v>2</v>
      </c>
      <c r="P304" s="8">
        <v>4</v>
      </c>
      <c r="Q304" s="8" t="s">
        <v>1649</v>
      </c>
      <c r="R304" s="8" t="s">
        <v>1602</v>
      </c>
      <c r="S304" s="9" t="str">
        <f>IFERROR(HYPERLINK("#Main!A"&amp;MATCH(A304,Main!A:A,0),"Open"),HYPERLINK("#Main!A1","Open"))</f>
        <v>Open</v>
      </c>
      <c r="T304" s="9" t="str">
        <f>IFERROR(HYPERLINK("#Technical!A"&amp;MATCH(A304,Technical!A:A,0),"Open"),HYPERLINK("#Technical!A1","Open"))</f>
        <v>Open</v>
      </c>
      <c r="U304" s="9"/>
    </row>
    <row r="305" spans="1:21" ht="30" customHeight="1" x14ac:dyDescent="0.25">
      <c r="A305" s="58" t="s">
        <v>330</v>
      </c>
      <c r="B305" s="11">
        <v>5057</v>
      </c>
      <c r="C305" s="43" t="s">
        <v>1294</v>
      </c>
      <c r="D305" s="11" t="s">
        <v>1223</v>
      </c>
      <c r="E305" s="64" t="s">
        <v>68</v>
      </c>
      <c r="F305" s="11" t="s">
        <v>1594</v>
      </c>
      <c r="G305" s="10">
        <v>37</v>
      </c>
      <c r="H305" s="11">
        <v>0</v>
      </c>
      <c r="I305" s="11" t="s">
        <v>1595</v>
      </c>
      <c r="J305" s="11" t="s">
        <v>1596</v>
      </c>
      <c r="K305" s="72" t="s">
        <v>11</v>
      </c>
      <c r="L305" s="11" t="s">
        <v>1201</v>
      </c>
      <c r="M305" s="11" t="s">
        <v>864</v>
      </c>
      <c r="N305" s="60" t="s">
        <v>98</v>
      </c>
      <c r="O305" s="49" t="s">
        <v>2</v>
      </c>
      <c r="P305" s="11">
        <v>4</v>
      </c>
      <c r="Q305" s="11" t="s">
        <v>1650</v>
      </c>
      <c r="R305" s="11" t="s">
        <v>1598</v>
      </c>
      <c r="S305" t="str">
        <f>IFERROR(HYPERLINK("#Main!A"&amp;MATCH(A305,Main!A:A,0),"Open"),HYPERLINK("#Main!A1","Open"))</f>
        <v>Open</v>
      </c>
      <c r="T305" t="str">
        <f>IFERROR(HYPERLINK("#Technical!A"&amp;MATCH(A305,Technical!A:A,0),"Open"),HYPERLINK("#Technical!A1","Open"))</f>
        <v>Open</v>
      </c>
    </row>
    <row r="306" spans="1:21" ht="30" customHeight="1" x14ac:dyDescent="0.25">
      <c r="A306" s="59" t="s">
        <v>338</v>
      </c>
      <c r="B306" s="8"/>
      <c r="C306" s="8"/>
      <c r="D306" s="8" t="s">
        <v>1223</v>
      </c>
      <c r="E306" s="64" t="s">
        <v>68</v>
      </c>
      <c r="F306" s="8" t="s">
        <v>1594</v>
      </c>
      <c r="G306" s="36">
        <v>37</v>
      </c>
      <c r="H306" s="8">
        <v>0</v>
      </c>
      <c r="I306" s="8" t="s">
        <v>1595</v>
      </c>
      <c r="J306" s="8" t="s">
        <v>1596</v>
      </c>
      <c r="K306" s="71" t="s">
        <v>11</v>
      </c>
      <c r="L306" s="8" t="s">
        <v>1201</v>
      </c>
      <c r="M306" s="8" t="s">
        <v>864</v>
      </c>
      <c r="N306" s="60" t="s">
        <v>98</v>
      </c>
      <c r="O306" s="49" t="s">
        <v>2</v>
      </c>
      <c r="P306" s="8">
        <v>4</v>
      </c>
      <c r="Q306" s="8" t="s">
        <v>1651</v>
      </c>
      <c r="R306" s="8" t="s">
        <v>1598</v>
      </c>
      <c r="S306" s="9" t="str">
        <f>IFERROR(HYPERLINK("#Main!A"&amp;MATCH(A306,Main!A:A,0),"Open"),HYPERLINK("#Main!A1","Open"))</f>
        <v>Open</v>
      </c>
      <c r="T306" s="9" t="str">
        <f>IFERROR(HYPERLINK("#Technical!A"&amp;MATCH(A306,Technical!A:A,0),"Open"),HYPERLINK("#Technical!A1","Open"))</f>
        <v>Open</v>
      </c>
      <c r="U306" s="9"/>
    </row>
    <row r="307" spans="1:21" ht="30" customHeight="1" x14ac:dyDescent="0.25">
      <c r="A307" s="58" t="s">
        <v>342</v>
      </c>
      <c r="B307" s="11">
        <v>12477</v>
      </c>
      <c r="C307" s="43" t="s">
        <v>1297</v>
      </c>
      <c r="D307" s="11" t="s">
        <v>1223</v>
      </c>
      <c r="E307" s="64" t="s">
        <v>68</v>
      </c>
      <c r="F307" s="11" t="s">
        <v>1599</v>
      </c>
      <c r="G307" s="10">
        <v>37</v>
      </c>
      <c r="H307" s="11">
        <v>379</v>
      </c>
      <c r="I307" s="11" t="s">
        <v>1233</v>
      </c>
      <c r="J307" s="11" t="s">
        <v>1600</v>
      </c>
      <c r="K307" s="72" t="s">
        <v>6</v>
      </c>
      <c r="L307" s="11" t="s">
        <v>891</v>
      </c>
      <c r="M307" s="11" t="s">
        <v>864</v>
      </c>
      <c r="N307" s="60" t="s">
        <v>98</v>
      </c>
      <c r="O307" s="49" t="s">
        <v>2</v>
      </c>
      <c r="P307" s="11">
        <v>4</v>
      </c>
      <c r="Q307" s="11" t="s">
        <v>1652</v>
      </c>
      <c r="R307" s="11" t="s">
        <v>1602</v>
      </c>
      <c r="S307" t="str">
        <f>IFERROR(HYPERLINK("#Main!A"&amp;MATCH(A307,Main!A:A,0),"Open"),HYPERLINK("#Main!A1","Open"))</f>
        <v>Open</v>
      </c>
      <c r="T307" t="str">
        <f>IFERROR(HYPERLINK("#Technical!A"&amp;MATCH(A307,Technical!A:A,0),"Open"),HYPERLINK("#Technical!A1","Open"))</f>
        <v>Open</v>
      </c>
    </row>
    <row r="308" spans="1:21" ht="30" customHeight="1" x14ac:dyDescent="0.25">
      <c r="A308" s="59" t="s">
        <v>342</v>
      </c>
      <c r="B308" s="8">
        <v>12477</v>
      </c>
      <c r="C308" s="43" t="s">
        <v>1297</v>
      </c>
      <c r="D308" s="8" t="s">
        <v>1223</v>
      </c>
      <c r="E308" s="64" t="s">
        <v>68</v>
      </c>
      <c r="F308" s="8" t="s">
        <v>1594</v>
      </c>
      <c r="G308" s="36">
        <v>37</v>
      </c>
      <c r="H308" s="8">
        <v>0</v>
      </c>
      <c r="I308" s="8" t="s">
        <v>1595</v>
      </c>
      <c r="J308" s="8" t="s">
        <v>1596</v>
      </c>
      <c r="K308" s="71" t="s">
        <v>11</v>
      </c>
      <c r="L308" s="8" t="s">
        <v>1201</v>
      </c>
      <c r="M308" s="8" t="s">
        <v>864</v>
      </c>
      <c r="N308" s="60" t="s">
        <v>98</v>
      </c>
      <c r="O308" s="49" t="s">
        <v>2</v>
      </c>
      <c r="P308" s="8">
        <v>4</v>
      </c>
      <c r="Q308" s="8" t="s">
        <v>1653</v>
      </c>
      <c r="R308" s="8" t="s">
        <v>1598</v>
      </c>
      <c r="S308" s="9" t="str">
        <f>IFERROR(HYPERLINK("#Main!A"&amp;MATCH(A308,Main!A:A,0),"Open"),HYPERLINK("#Main!A1","Open"))</f>
        <v>Open</v>
      </c>
      <c r="T308" s="9" t="str">
        <f>IFERROR(HYPERLINK("#Technical!A"&amp;MATCH(A308,Technical!A:A,0),"Open"),HYPERLINK("#Technical!A1","Open"))</f>
        <v>Open</v>
      </c>
      <c r="U308" s="9"/>
    </row>
    <row r="309" spans="1:21" ht="30" customHeight="1" x14ac:dyDescent="0.25">
      <c r="A309" s="58" t="s">
        <v>350</v>
      </c>
      <c r="B309" s="11">
        <v>21958</v>
      </c>
      <c r="C309" s="43" t="s">
        <v>1299</v>
      </c>
      <c r="D309" s="11" t="s">
        <v>1223</v>
      </c>
      <c r="E309" s="64" t="s">
        <v>68</v>
      </c>
      <c r="F309" s="11" t="s">
        <v>1599</v>
      </c>
      <c r="G309" s="10">
        <v>37</v>
      </c>
      <c r="H309" s="11">
        <v>380</v>
      </c>
      <c r="I309" s="11" t="s">
        <v>1233</v>
      </c>
      <c r="J309" s="11" t="s">
        <v>1600</v>
      </c>
      <c r="K309" s="72" t="s">
        <v>6</v>
      </c>
      <c r="L309" s="11" t="s">
        <v>891</v>
      </c>
      <c r="M309" s="11" t="s">
        <v>864</v>
      </c>
      <c r="N309" s="60" t="s">
        <v>98</v>
      </c>
      <c r="O309" s="49" t="s">
        <v>2</v>
      </c>
      <c r="P309" s="11">
        <v>4</v>
      </c>
      <c r="Q309" s="11" t="s">
        <v>1654</v>
      </c>
      <c r="R309" s="11" t="s">
        <v>1602</v>
      </c>
      <c r="S309" t="str">
        <f>IFERROR(HYPERLINK("#Main!A"&amp;MATCH(A309,Main!A:A,0),"Open"),HYPERLINK("#Main!A1","Open"))</f>
        <v>Open</v>
      </c>
      <c r="T309" t="str">
        <f>IFERROR(HYPERLINK("#Technical!A"&amp;MATCH(A309,Technical!A:A,0),"Open"),HYPERLINK("#Technical!A1","Open"))</f>
        <v>Open</v>
      </c>
    </row>
    <row r="310" spans="1:21" ht="30" customHeight="1" x14ac:dyDescent="0.25">
      <c r="A310" s="59" t="s">
        <v>350</v>
      </c>
      <c r="B310" s="8">
        <v>21958</v>
      </c>
      <c r="C310" s="43" t="s">
        <v>1299</v>
      </c>
      <c r="D310" s="8" t="s">
        <v>1223</v>
      </c>
      <c r="E310" s="64" t="s">
        <v>68</v>
      </c>
      <c r="F310" s="8" t="s">
        <v>1594</v>
      </c>
      <c r="G310" s="36">
        <v>37</v>
      </c>
      <c r="H310" s="8">
        <v>0</v>
      </c>
      <c r="I310" s="8" t="s">
        <v>1595</v>
      </c>
      <c r="J310" s="8" t="s">
        <v>1596</v>
      </c>
      <c r="K310" s="71" t="s">
        <v>11</v>
      </c>
      <c r="L310" s="8" t="s">
        <v>1201</v>
      </c>
      <c r="M310" s="8" t="s">
        <v>864</v>
      </c>
      <c r="N310" s="60" t="s">
        <v>98</v>
      </c>
      <c r="O310" s="49" t="s">
        <v>2</v>
      </c>
      <c r="P310" s="8">
        <v>4</v>
      </c>
      <c r="Q310" s="8" t="s">
        <v>1655</v>
      </c>
      <c r="R310" s="8" t="s">
        <v>1598</v>
      </c>
      <c r="S310" s="9" t="str">
        <f>IFERROR(HYPERLINK("#Main!A"&amp;MATCH(A310,Main!A:A,0),"Open"),HYPERLINK("#Main!A1","Open"))</f>
        <v>Open</v>
      </c>
      <c r="T310" s="9" t="str">
        <f>IFERROR(HYPERLINK("#Technical!A"&amp;MATCH(A310,Technical!A:A,0),"Open"),HYPERLINK("#Technical!A1","Open"))</f>
        <v>Open</v>
      </c>
      <c r="U310" s="9"/>
    </row>
    <row r="311" spans="1:21" ht="30" customHeight="1" x14ac:dyDescent="0.25">
      <c r="A311" s="58" t="s">
        <v>358</v>
      </c>
      <c r="B311" s="11">
        <v>21984</v>
      </c>
      <c r="C311" s="43" t="s">
        <v>1301</v>
      </c>
      <c r="D311" s="11" t="s">
        <v>1223</v>
      </c>
      <c r="E311" s="64" t="s">
        <v>68</v>
      </c>
      <c r="F311" s="11" t="s">
        <v>1599</v>
      </c>
      <c r="G311" s="10">
        <v>37</v>
      </c>
      <c r="H311" s="11">
        <v>274</v>
      </c>
      <c r="I311" s="11" t="s">
        <v>1233</v>
      </c>
      <c r="J311" s="11" t="s">
        <v>1600</v>
      </c>
      <c r="K311" s="72" t="s">
        <v>6</v>
      </c>
      <c r="L311" s="11" t="s">
        <v>891</v>
      </c>
      <c r="M311" s="11" t="s">
        <v>864</v>
      </c>
      <c r="N311" s="60" t="s">
        <v>98</v>
      </c>
      <c r="O311" s="49" t="s">
        <v>2</v>
      </c>
      <c r="P311" s="11">
        <v>4</v>
      </c>
      <c r="Q311" s="11" t="s">
        <v>1656</v>
      </c>
      <c r="R311" s="11" t="s">
        <v>1602</v>
      </c>
      <c r="S311" t="str">
        <f>IFERROR(HYPERLINK("#Main!A"&amp;MATCH(A311,Main!A:A,0),"Open"),HYPERLINK("#Main!A1","Open"))</f>
        <v>Open</v>
      </c>
      <c r="T311" t="str">
        <f>IFERROR(HYPERLINK("#Technical!A"&amp;MATCH(A311,Technical!A:A,0),"Open"),HYPERLINK("#Technical!A1","Open"))</f>
        <v>Open</v>
      </c>
    </row>
    <row r="312" spans="1:21" ht="30" customHeight="1" x14ac:dyDescent="0.25">
      <c r="A312" s="59" t="s">
        <v>358</v>
      </c>
      <c r="B312" s="8">
        <v>21984</v>
      </c>
      <c r="C312" s="43" t="s">
        <v>1301</v>
      </c>
      <c r="D312" s="8" t="s">
        <v>1223</v>
      </c>
      <c r="E312" s="64" t="s">
        <v>68</v>
      </c>
      <c r="F312" s="8" t="s">
        <v>1594</v>
      </c>
      <c r="G312" s="36">
        <v>37</v>
      </c>
      <c r="H312" s="8">
        <v>0</v>
      </c>
      <c r="I312" s="8" t="s">
        <v>1595</v>
      </c>
      <c r="J312" s="8" t="s">
        <v>1596</v>
      </c>
      <c r="K312" s="71" t="s">
        <v>11</v>
      </c>
      <c r="L312" s="8" t="s">
        <v>1201</v>
      </c>
      <c r="M312" s="8" t="s">
        <v>864</v>
      </c>
      <c r="N312" s="60" t="s">
        <v>98</v>
      </c>
      <c r="O312" s="49" t="s">
        <v>2</v>
      </c>
      <c r="P312" s="8">
        <v>4</v>
      </c>
      <c r="Q312" s="8" t="s">
        <v>1657</v>
      </c>
      <c r="R312" s="8" t="s">
        <v>1598</v>
      </c>
      <c r="S312" s="9" t="str">
        <f>IFERROR(HYPERLINK("#Main!A"&amp;MATCH(A312,Main!A:A,0),"Open"),HYPERLINK("#Main!A1","Open"))</f>
        <v>Open</v>
      </c>
      <c r="T312" s="9" t="str">
        <f>IFERROR(HYPERLINK("#Technical!A"&amp;MATCH(A312,Technical!A:A,0),"Open"),HYPERLINK("#Technical!A1","Open"))</f>
        <v>Open</v>
      </c>
      <c r="U312" s="9"/>
    </row>
    <row r="313" spans="1:21" ht="30" customHeight="1" x14ac:dyDescent="0.25">
      <c r="A313" s="58" t="s">
        <v>366</v>
      </c>
      <c r="B313" s="11">
        <v>33131</v>
      </c>
      <c r="C313" s="43" t="s">
        <v>1303</v>
      </c>
      <c r="D313" s="11" t="s">
        <v>1223</v>
      </c>
      <c r="E313" s="64" t="s">
        <v>68</v>
      </c>
      <c r="F313" s="11" t="s">
        <v>1599</v>
      </c>
      <c r="G313" s="10">
        <v>37</v>
      </c>
      <c r="H313" s="11">
        <v>347</v>
      </c>
      <c r="I313" s="11" t="s">
        <v>1233</v>
      </c>
      <c r="J313" s="11" t="s">
        <v>1600</v>
      </c>
      <c r="K313" s="72" t="s">
        <v>6</v>
      </c>
      <c r="L313" s="11" t="s">
        <v>891</v>
      </c>
      <c r="M313" s="11" t="s">
        <v>864</v>
      </c>
      <c r="N313" s="60" t="s">
        <v>98</v>
      </c>
      <c r="O313" s="49" t="s">
        <v>2</v>
      </c>
      <c r="P313" s="11">
        <v>4</v>
      </c>
      <c r="Q313" s="11" t="s">
        <v>1658</v>
      </c>
      <c r="R313" s="11" t="s">
        <v>1602</v>
      </c>
      <c r="S313" t="str">
        <f>IFERROR(HYPERLINK("#Main!A"&amp;MATCH(A313,Main!A:A,0),"Open"),HYPERLINK("#Main!A1","Open"))</f>
        <v>Open</v>
      </c>
      <c r="T313" t="str">
        <f>IFERROR(HYPERLINK("#Technical!A"&amp;MATCH(A313,Technical!A:A,0),"Open"),HYPERLINK("#Technical!A1","Open"))</f>
        <v>Open</v>
      </c>
    </row>
    <row r="314" spans="1:21" ht="30" customHeight="1" x14ac:dyDescent="0.25">
      <c r="A314" s="59" t="s">
        <v>366</v>
      </c>
      <c r="B314" s="8">
        <v>33131</v>
      </c>
      <c r="C314" s="43" t="s">
        <v>1303</v>
      </c>
      <c r="D314" s="8" t="s">
        <v>1223</v>
      </c>
      <c r="E314" s="64" t="s">
        <v>68</v>
      </c>
      <c r="F314" s="8" t="s">
        <v>1594</v>
      </c>
      <c r="G314" s="36">
        <v>37</v>
      </c>
      <c r="H314" s="8">
        <v>0</v>
      </c>
      <c r="I314" s="8" t="s">
        <v>1595</v>
      </c>
      <c r="J314" s="8" t="s">
        <v>1596</v>
      </c>
      <c r="K314" s="71" t="s">
        <v>11</v>
      </c>
      <c r="L314" s="8" t="s">
        <v>1201</v>
      </c>
      <c r="M314" s="8" t="s">
        <v>864</v>
      </c>
      <c r="N314" s="60" t="s">
        <v>98</v>
      </c>
      <c r="O314" s="49" t="s">
        <v>2</v>
      </c>
      <c r="P314" s="8">
        <v>4</v>
      </c>
      <c r="Q314" s="8" t="s">
        <v>1659</v>
      </c>
      <c r="R314" s="8" t="s">
        <v>1598</v>
      </c>
      <c r="S314" s="9" t="str">
        <f>IFERROR(HYPERLINK("#Main!A"&amp;MATCH(A314,Main!A:A,0),"Open"),HYPERLINK("#Main!A1","Open"))</f>
        <v>Open</v>
      </c>
      <c r="T314" s="9" t="str">
        <f>IFERROR(HYPERLINK("#Technical!A"&amp;MATCH(A314,Technical!A:A,0),"Open"),HYPERLINK("#Technical!A1","Open"))</f>
        <v>Open</v>
      </c>
      <c r="U314" s="9"/>
    </row>
    <row r="315" spans="1:21" ht="30" customHeight="1" x14ac:dyDescent="0.25">
      <c r="A315" s="58" t="s">
        <v>374</v>
      </c>
      <c r="B315" s="11">
        <v>21958</v>
      </c>
      <c r="C315" s="43" t="s">
        <v>1299</v>
      </c>
      <c r="D315" s="11" t="s">
        <v>1223</v>
      </c>
      <c r="E315" s="64" t="s">
        <v>68</v>
      </c>
      <c r="F315" s="11" t="s">
        <v>1599</v>
      </c>
      <c r="G315" s="10">
        <v>37</v>
      </c>
      <c r="H315" s="11">
        <v>380</v>
      </c>
      <c r="I315" s="11" t="s">
        <v>1233</v>
      </c>
      <c r="J315" s="11" t="s">
        <v>1600</v>
      </c>
      <c r="K315" s="72" t="s">
        <v>6</v>
      </c>
      <c r="L315" s="11" t="s">
        <v>891</v>
      </c>
      <c r="M315" s="11" t="s">
        <v>864</v>
      </c>
      <c r="N315" s="60" t="s">
        <v>98</v>
      </c>
      <c r="O315" s="49" t="s">
        <v>2</v>
      </c>
      <c r="P315" s="11">
        <v>4</v>
      </c>
      <c r="Q315" s="11" t="s">
        <v>1660</v>
      </c>
      <c r="R315" s="11" t="s">
        <v>1602</v>
      </c>
      <c r="S315" t="str">
        <f>IFERROR(HYPERLINK("#Main!A"&amp;MATCH(A315,Main!A:A,0),"Open"),HYPERLINK("#Main!A1","Open"))</f>
        <v>Open</v>
      </c>
      <c r="T315" t="str">
        <f>IFERROR(HYPERLINK("#Technical!A"&amp;MATCH(A315,Technical!A:A,0),"Open"),HYPERLINK("#Technical!A1","Open"))</f>
        <v>Open</v>
      </c>
    </row>
    <row r="316" spans="1:21" ht="30" customHeight="1" x14ac:dyDescent="0.25">
      <c r="A316" s="59" t="s">
        <v>374</v>
      </c>
      <c r="B316" s="8">
        <v>21958</v>
      </c>
      <c r="C316" s="43" t="s">
        <v>1299</v>
      </c>
      <c r="D316" s="8" t="s">
        <v>1223</v>
      </c>
      <c r="E316" s="64" t="s">
        <v>68</v>
      </c>
      <c r="F316" s="8" t="s">
        <v>1594</v>
      </c>
      <c r="G316" s="36">
        <v>37</v>
      </c>
      <c r="H316" s="8">
        <v>0</v>
      </c>
      <c r="I316" s="8" t="s">
        <v>1595</v>
      </c>
      <c r="J316" s="8" t="s">
        <v>1596</v>
      </c>
      <c r="K316" s="71" t="s">
        <v>11</v>
      </c>
      <c r="L316" s="8" t="s">
        <v>1201</v>
      </c>
      <c r="M316" s="8" t="s">
        <v>864</v>
      </c>
      <c r="N316" s="60" t="s">
        <v>98</v>
      </c>
      <c r="O316" s="49" t="s">
        <v>2</v>
      </c>
      <c r="P316" s="8">
        <v>4</v>
      </c>
      <c r="Q316" s="8" t="s">
        <v>1661</v>
      </c>
      <c r="R316" s="8" t="s">
        <v>1598</v>
      </c>
      <c r="S316" s="9" t="str">
        <f>IFERROR(HYPERLINK("#Main!A"&amp;MATCH(A316,Main!A:A,0),"Open"),HYPERLINK("#Main!A1","Open"))</f>
        <v>Open</v>
      </c>
      <c r="T316" s="9" t="str">
        <f>IFERROR(HYPERLINK("#Technical!A"&amp;MATCH(A316,Technical!A:A,0),"Open"),HYPERLINK("#Technical!A1","Open"))</f>
        <v>Open</v>
      </c>
      <c r="U316" s="9"/>
    </row>
    <row r="317" spans="1:21" ht="45" customHeight="1" x14ac:dyDescent="0.25">
      <c r="A317" s="58" t="s">
        <v>377</v>
      </c>
      <c r="B317" s="11">
        <v>25857</v>
      </c>
      <c r="C317" s="43" t="s">
        <v>1306</v>
      </c>
      <c r="D317" s="11" t="s">
        <v>1223</v>
      </c>
      <c r="E317" s="64" t="s">
        <v>68</v>
      </c>
      <c r="F317" s="11" t="s">
        <v>1599</v>
      </c>
      <c r="G317" s="10">
        <v>37</v>
      </c>
      <c r="H317" s="11">
        <v>346</v>
      </c>
      <c r="I317" s="11" t="s">
        <v>1233</v>
      </c>
      <c r="J317" s="11" t="s">
        <v>1600</v>
      </c>
      <c r="K317" s="72" t="s">
        <v>6</v>
      </c>
      <c r="L317" s="11" t="s">
        <v>891</v>
      </c>
      <c r="M317" s="11" t="s">
        <v>864</v>
      </c>
      <c r="N317" s="60" t="s">
        <v>98</v>
      </c>
      <c r="O317" s="49" t="s">
        <v>2</v>
      </c>
      <c r="P317" s="11">
        <v>4</v>
      </c>
      <c r="Q317" s="11" t="s">
        <v>1662</v>
      </c>
      <c r="R317" s="11" t="s">
        <v>1602</v>
      </c>
      <c r="S317" t="str">
        <f>IFERROR(HYPERLINK("#Main!A"&amp;MATCH(A317,Main!A:A,0),"Open"),HYPERLINK("#Main!A1","Open"))</f>
        <v>Open</v>
      </c>
      <c r="T317" t="str">
        <f>IFERROR(HYPERLINK("#Technical!A"&amp;MATCH(A317,Technical!A:A,0),"Open"),HYPERLINK("#Technical!A1","Open"))</f>
        <v>Open</v>
      </c>
    </row>
    <row r="318" spans="1:21" ht="45" customHeight="1" x14ac:dyDescent="0.25">
      <c r="A318" s="59" t="s">
        <v>377</v>
      </c>
      <c r="B318" s="8">
        <v>25857</v>
      </c>
      <c r="C318" s="43" t="s">
        <v>1306</v>
      </c>
      <c r="D318" s="8" t="s">
        <v>1223</v>
      </c>
      <c r="E318" s="64" t="s">
        <v>68</v>
      </c>
      <c r="F318" s="8" t="s">
        <v>1594</v>
      </c>
      <c r="G318" s="36">
        <v>37</v>
      </c>
      <c r="H318" s="8">
        <v>0</v>
      </c>
      <c r="I318" s="8" t="s">
        <v>1595</v>
      </c>
      <c r="J318" s="8" t="s">
        <v>1596</v>
      </c>
      <c r="K318" s="71" t="s">
        <v>11</v>
      </c>
      <c r="L318" s="8" t="s">
        <v>1201</v>
      </c>
      <c r="M318" s="8" t="s">
        <v>864</v>
      </c>
      <c r="N318" s="60" t="s">
        <v>98</v>
      </c>
      <c r="O318" s="49" t="s">
        <v>2</v>
      </c>
      <c r="P318" s="8">
        <v>4</v>
      </c>
      <c r="Q318" s="8" t="s">
        <v>1663</v>
      </c>
      <c r="R318" s="8" t="s">
        <v>1598</v>
      </c>
      <c r="S318" s="9" t="str">
        <f>IFERROR(HYPERLINK("#Main!A"&amp;MATCH(A318,Main!A:A,0),"Open"),HYPERLINK("#Main!A1","Open"))</f>
        <v>Open</v>
      </c>
      <c r="T318" s="9" t="str">
        <f>IFERROR(HYPERLINK("#Technical!A"&amp;MATCH(A318,Technical!A:A,0),"Open"),HYPERLINK("#Technical!A1","Open"))</f>
        <v>Open</v>
      </c>
      <c r="U318" s="9"/>
    </row>
    <row r="319" spans="1:21" ht="30" customHeight="1" x14ac:dyDescent="0.25">
      <c r="A319" s="58" t="s">
        <v>385</v>
      </c>
      <c r="B319" s="11">
        <v>25788</v>
      </c>
      <c r="C319" s="43" t="s">
        <v>1308</v>
      </c>
      <c r="D319" s="11" t="s">
        <v>1223</v>
      </c>
      <c r="E319" s="64" t="s">
        <v>68</v>
      </c>
      <c r="F319" s="11" t="s">
        <v>1599</v>
      </c>
      <c r="G319" s="10">
        <v>37</v>
      </c>
      <c r="H319" s="11">
        <v>702</v>
      </c>
      <c r="I319" s="11" t="s">
        <v>1233</v>
      </c>
      <c r="J319" s="11" t="s">
        <v>1600</v>
      </c>
      <c r="K319" s="72" t="s">
        <v>6</v>
      </c>
      <c r="L319" s="11" t="s">
        <v>891</v>
      </c>
      <c r="M319" s="11" t="s">
        <v>864</v>
      </c>
      <c r="N319" s="60" t="s">
        <v>98</v>
      </c>
      <c r="O319" s="49" t="s">
        <v>2</v>
      </c>
      <c r="P319" s="11">
        <v>4</v>
      </c>
      <c r="Q319" s="11" t="s">
        <v>1664</v>
      </c>
      <c r="R319" s="11" t="s">
        <v>1602</v>
      </c>
      <c r="S319" t="str">
        <f>IFERROR(HYPERLINK("#Main!A"&amp;MATCH(A319,Main!A:A,0),"Open"),HYPERLINK("#Main!A1","Open"))</f>
        <v>Open</v>
      </c>
      <c r="T319" t="str">
        <f>IFERROR(HYPERLINK("#Technical!A"&amp;MATCH(A319,Technical!A:A,0),"Open"),HYPERLINK("#Technical!A1","Open"))</f>
        <v>Open</v>
      </c>
    </row>
    <row r="320" spans="1:21" ht="30" customHeight="1" x14ac:dyDescent="0.25">
      <c r="A320" s="59" t="s">
        <v>385</v>
      </c>
      <c r="B320" s="8">
        <v>25788</v>
      </c>
      <c r="C320" s="43" t="s">
        <v>1308</v>
      </c>
      <c r="D320" s="8" t="s">
        <v>1223</v>
      </c>
      <c r="E320" s="64" t="s">
        <v>68</v>
      </c>
      <c r="F320" s="8" t="s">
        <v>1594</v>
      </c>
      <c r="G320" s="36">
        <v>37</v>
      </c>
      <c r="H320" s="8">
        <v>0</v>
      </c>
      <c r="I320" s="8" t="s">
        <v>1595</v>
      </c>
      <c r="J320" s="8" t="s">
        <v>1596</v>
      </c>
      <c r="K320" s="71" t="s">
        <v>11</v>
      </c>
      <c r="L320" s="8" t="s">
        <v>1201</v>
      </c>
      <c r="M320" s="8" t="s">
        <v>864</v>
      </c>
      <c r="N320" s="60" t="s">
        <v>98</v>
      </c>
      <c r="O320" s="49" t="s">
        <v>2</v>
      </c>
      <c r="P320" s="8">
        <v>4</v>
      </c>
      <c r="Q320" s="8" t="s">
        <v>1665</v>
      </c>
      <c r="R320" s="8" t="s">
        <v>1598</v>
      </c>
      <c r="S320" s="9" t="str">
        <f>IFERROR(HYPERLINK("#Main!A"&amp;MATCH(A320,Main!A:A,0),"Open"),HYPERLINK("#Main!A1","Open"))</f>
        <v>Open</v>
      </c>
      <c r="T320" s="9" t="str">
        <f>IFERROR(HYPERLINK("#Technical!A"&amp;MATCH(A320,Technical!A:A,0),"Open"),HYPERLINK("#Technical!A1","Open"))</f>
        <v>Open</v>
      </c>
      <c r="U320" s="9"/>
    </row>
    <row r="321" spans="1:21" ht="30" customHeight="1" x14ac:dyDescent="0.25">
      <c r="A321" s="58" t="s">
        <v>393</v>
      </c>
      <c r="B321" s="11">
        <v>26290</v>
      </c>
      <c r="C321" s="43" t="s">
        <v>1310</v>
      </c>
      <c r="D321" s="11" t="s">
        <v>1223</v>
      </c>
      <c r="E321" s="64" t="s">
        <v>68</v>
      </c>
      <c r="F321" s="11" t="s">
        <v>1599</v>
      </c>
      <c r="G321" s="10">
        <v>37</v>
      </c>
      <c r="H321" s="11">
        <v>576</v>
      </c>
      <c r="I321" s="11" t="s">
        <v>1233</v>
      </c>
      <c r="J321" s="11" t="s">
        <v>1600</v>
      </c>
      <c r="K321" s="72" t="s">
        <v>6</v>
      </c>
      <c r="L321" s="11" t="s">
        <v>891</v>
      </c>
      <c r="M321" s="11" t="s">
        <v>864</v>
      </c>
      <c r="N321" s="60" t="s">
        <v>98</v>
      </c>
      <c r="O321" s="49" t="s">
        <v>2</v>
      </c>
      <c r="P321" s="11">
        <v>4</v>
      </c>
      <c r="Q321" s="11" t="s">
        <v>1666</v>
      </c>
      <c r="R321" s="11" t="s">
        <v>1602</v>
      </c>
      <c r="S321" t="str">
        <f>IFERROR(HYPERLINK("#Main!A"&amp;MATCH(A321,Main!A:A,0),"Open"),HYPERLINK("#Main!A1","Open"))</f>
        <v>Open</v>
      </c>
      <c r="T321" t="str">
        <f>IFERROR(HYPERLINK("#Technical!A"&amp;MATCH(A321,Technical!A:A,0),"Open"),HYPERLINK("#Technical!A1","Open"))</f>
        <v>Open</v>
      </c>
    </row>
    <row r="322" spans="1:21" ht="30" customHeight="1" x14ac:dyDescent="0.25">
      <c r="A322" s="59" t="s">
        <v>393</v>
      </c>
      <c r="B322" s="8">
        <v>26290</v>
      </c>
      <c r="C322" s="43" t="s">
        <v>1310</v>
      </c>
      <c r="D322" s="8" t="s">
        <v>1223</v>
      </c>
      <c r="E322" s="64" t="s">
        <v>68</v>
      </c>
      <c r="F322" s="8" t="s">
        <v>1594</v>
      </c>
      <c r="G322" s="36">
        <v>37</v>
      </c>
      <c r="H322" s="8">
        <v>0</v>
      </c>
      <c r="I322" s="8" t="s">
        <v>1595</v>
      </c>
      <c r="J322" s="8" t="s">
        <v>1596</v>
      </c>
      <c r="K322" s="71" t="s">
        <v>11</v>
      </c>
      <c r="L322" s="8" t="s">
        <v>1201</v>
      </c>
      <c r="M322" s="8" t="s">
        <v>864</v>
      </c>
      <c r="N322" s="60" t="s">
        <v>98</v>
      </c>
      <c r="O322" s="49" t="s">
        <v>2</v>
      </c>
      <c r="P322" s="8">
        <v>4</v>
      </c>
      <c r="Q322" s="8" t="s">
        <v>1667</v>
      </c>
      <c r="R322" s="8" t="s">
        <v>1598</v>
      </c>
      <c r="S322" s="9" t="str">
        <f>IFERROR(HYPERLINK("#Main!A"&amp;MATCH(A322,Main!A:A,0),"Open"),HYPERLINK("#Main!A1","Open"))</f>
        <v>Open</v>
      </c>
      <c r="T322" s="9" t="str">
        <f>IFERROR(HYPERLINK("#Technical!A"&amp;MATCH(A322,Technical!A:A,0),"Open"),HYPERLINK("#Technical!A1","Open"))</f>
        <v>Open</v>
      </c>
      <c r="U322" s="9"/>
    </row>
    <row r="323" spans="1:21" ht="30" customHeight="1" x14ac:dyDescent="0.25">
      <c r="A323" s="58" t="s">
        <v>401</v>
      </c>
      <c r="B323" s="11">
        <v>24882</v>
      </c>
      <c r="C323" s="43" t="s">
        <v>1312</v>
      </c>
      <c r="D323" s="11" t="s">
        <v>1223</v>
      </c>
      <c r="E323" s="64" t="s">
        <v>68</v>
      </c>
      <c r="F323" s="11" t="s">
        <v>1594</v>
      </c>
      <c r="G323" s="10">
        <v>37</v>
      </c>
      <c r="H323" s="11">
        <v>0</v>
      </c>
      <c r="I323" s="11" t="s">
        <v>1595</v>
      </c>
      <c r="J323" s="11" t="s">
        <v>1596</v>
      </c>
      <c r="K323" s="72" t="s">
        <v>11</v>
      </c>
      <c r="L323" s="11" t="s">
        <v>1201</v>
      </c>
      <c r="M323" s="11" t="s">
        <v>864</v>
      </c>
      <c r="N323" s="60" t="s">
        <v>98</v>
      </c>
      <c r="O323" s="49" t="s">
        <v>2</v>
      </c>
      <c r="P323" s="11">
        <v>4</v>
      </c>
      <c r="Q323" s="11" t="s">
        <v>1668</v>
      </c>
      <c r="R323" s="11" t="s">
        <v>1598</v>
      </c>
      <c r="S323" t="str">
        <f>IFERROR(HYPERLINK("#Main!A"&amp;MATCH(A323,Main!A:A,0),"Open"),HYPERLINK("#Main!A1","Open"))</f>
        <v>Open</v>
      </c>
      <c r="T323" t="str">
        <f>IFERROR(HYPERLINK("#Technical!A"&amp;MATCH(A323,Technical!A:A,0),"Open"),HYPERLINK("#Technical!A1","Open"))</f>
        <v>Open</v>
      </c>
    </row>
    <row r="324" spans="1:21" ht="45" customHeight="1" x14ac:dyDescent="0.25">
      <c r="A324" s="59" t="s">
        <v>409</v>
      </c>
      <c r="B324" s="8">
        <v>22595</v>
      </c>
      <c r="C324" s="43" t="s">
        <v>1314</v>
      </c>
      <c r="D324" s="8" t="s">
        <v>1223</v>
      </c>
      <c r="E324" s="64" t="s">
        <v>68</v>
      </c>
      <c r="F324" s="8" t="s">
        <v>1599</v>
      </c>
      <c r="G324" s="36">
        <v>37</v>
      </c>
      <c r="H324" s="8">
        <v>278</v>
      </c>
      <c r="I324" s="8" t="s">
        <v>1233</v>
      </c>
      <c r="J324" s="8" t="s">
        <v>1600</v>
      </c>
      <c r="K324" s="71" t="s">
        <v>6</v>
      </c>
      <c r="L324" s="8" t="s">
        <v>891</v>
      </c>
      <c r="M324" s="8" t="s">
        <v>864</v>
      </c>
      <c r="N324" s="60" t="s">
        <v>98</v>
      </c>
      <c r="O324" s="49" t="s">
        <v>2</v>
      </c>
      <c r="P324" s="8">
        <v>4</v>
      </c>
      <c r="Q324" s="8" t="s">
        <v>1669</v>
      </c>
      <c r="R324" s="8" t="s">
        <v>1602</v>
      </c>
      <c r="S324" s="9" t="str">
        <f>IFERROR(HYPERLINK("#Main!A"&amp;MATCH(A324,Main!A:A,0),"Open"),HYPERLINK("#Main!A1","Open"))</f>
        <v>Open</v>
      </c>
      <c r="T324" s="9" t="str">
        <f>IFERROR(HYPERLINK("#Technical!A"&amp;MATCH(A324,Technical!A:A,0),"Open"),HYPERLINK("#Technical!A1","Open"))</f>
        <v>Open</v>
      </c>
      <c r="U324" s="9"/>
    </row>
    <row r="325" spans="1:21" ht="45" customHeight="1" x14ac:dyDescent="0.25">
      <c r="A325" s="58" t="s">
        <v>409</v>
      </c>
      <c r="B325" s="11">
        <v>22595</v>
      </c>
      <c r="C325" s="43" t="s">
        <v>1314</v>
      </c>
      <c r="D325" s="11" t="s">
        <v>1223</v>
      </c>
      <c r="E325" s="64" t="s">
        <v>68</v>
      </c>
      <c r="F325" s="11" t="s">
        <v>1594</v>
      </c>
      <c r="G325" s="10">
        <v>37</v>
      </c>
      <c r="H325" s="11">
        <v>0</v>
      </c>
      <c r="I325" s="11" t="s">
        <v>1595</v>
      </c>
      <c r="J325" s="11" t="s">
        <v>1596</v>
      </c>
      <c r="K325" s="72" t="s">
        <v>11</v>
      </c>
      <c r="L325" s="11" t="s">
        <v>1201</v>
      </c>
      <c r="M325" s="11" t="s">
        <v>864</v>
      </c>
      <c r="N325" s="60" t="s">
        <v>98</v>
      </c>
      <c r="O325" s="49" t="s">
        <v>2</v>
      </c>
      <c r="P325" s="11">
        <v>4</v>
      </c>
      <c r="Q325" s="11" t="s">
        <v>1670</v>
      </c>
      <c r="R325" s="11" t="s">
        <v>1598</v>
      </c>
      <c r="S325" t="str">
        <f>IFERROR(HYPERLINK("#Main!A"&amp;MATCH(A325,Main!A:A,0),"Open"),HYPERLINK("#Main!A1","Open"))</f>
        <v>Open</v>
      </c>
      <c r="T325" t="str">
        <f>IFERROR(HYPERLINK("#Technical!A"&amp;MATCH(A325,Technical!A:A,0),"Open"),HYPERLINK("#Technical!A1","Open"))</f>
        <v>Open</v>
      </c>
    </row>
    <row r="326" spans="1:21" ht="30" customHeight="1" x14ac:dyDescent="0.25">
      <c r="A326" s="59" t="s">
        <v>417</v>
      </c>
      <c r="B326" s="8">
        <v>29496</v>
      </c>
      <c r="C326" s="43" t="s">
        <v>1316</v>
      </c>
      <c r="D326" s="8" t="s">
        <v>1223</v>
      </c>
      <c r="E326" s="64" t="s">
        <v>68</v>
      </c>
      <c r="F326" s="8" t="s">
        <v>1599</v>
      </c>
      <c r="G326" s="36">
        <v>37</v>
      </c>
      <c r="H326" s="8">
        <v>372</v>
      </c>
      <c r="I326" s="8" t="s">
        <v>1233</v>
      </c>
      <c r="J326" s="8" t="s">
        <v>1600</v>
      </c>
      <c r="K326" s="71" t="s">
        <v>6</v>
      </c>
      <c r="L326" s="8" t="s">
        <v>891</v>
      </c>
      <c r="M326" s="8" t="s">
        <v>864</v>
      </c>
      <c r="N326" s="60" t="s">
        <v>98</v>
      </c>
      <c r="O326" s="49" t="s">
        <v>2</v>
      </c>
      <c r="P326" s="8">
        <v>4</v>
      </c>
      <c r="Q326" s="8" t="s">
        <v>1671</v>
      </c>
      <c r="R326" s="8" t="s">
        <v>1602</v>
      </c>
      <c r="S326" s="9" t="str">
        <f>IFERROR(HYPERLINK("#Main!A"&amp;MATCH(A326,Main!A:A,0),"Open"),HYPERLINK("#Main!A1","Open"))</f>
        <v>Open</v>
      </c>
      <c r="T326" s="9" t="str">
        <f>IFERROR(HYPERLINK("#Technical!A"&amp;MATCH(A326,Technical!A:A,0),"Open"),HYPERLINK("#Technical!A1","Open"))</f>
        <v>Open</v>
      </c>
      <c r="U326" s="9"/>
    </row>
    <row r="327" spans="1:21" ht="30" customHeight="1" x14ac:dyDescent="0.25">
      <c r="A327" s="58" t="s">
        <v>417</v>
      </c>
      <c r="B327" s="11">
        <v>29496</v>
      </c>
      <c r="C327" s="43" t="s">
        <v>1316</v>
      </c>
      <c r="D327" s="11" t="s">
        <v>1223</v>
      </c>
      <c r="E327" s="64" t="s">
        <v>68</v>
      </c>
      <c r="F327" s="11" t="s">
        <v>1594</v>
      </c>
      <c r="G327" s="10">
        <v>37</v>
      </c>
      <c r="H327" s="11">
        <v>0</v>
      </c>
      <c r="I327" s="11" t="s">
        <v>1595</v>
      </c>
      <c r="J327" s="11" t="s">
        <v>1596</v>
      </c>
      <c r="K327" s="72" t="s">
        <v>11</v>
      </c>
      <c r="L327" s="11" t="s">
        <v>1201</v>
      </c>
      <c r="M327" s="11" t="s">
        <v>864</v>
      </c>
      <c r="N327" s="60" t="s">
        <v>98</v>
      </c>
      <c r="O327" s="49" t="s">
        <v>2</v>
      </c>
      <c r="P327" s="11">
        <v>4</v>
      </c>
      <c r="Q327" s="11" t="s">
        <v>1672</v>
      </c>
      <c r="R327" s="11" t="s">
        <v>1598</v>
      </c>
      <c r="S327" t="str">
        <f>IFERROR(HYPERLINK("#Main!A"&amp;MATCH(A327,Main!A:A,0),"Open"),HYPERLINK("#Main!A1","Open"))</f>
        <v>Open</v>
      </c>
      <c r="T327" t="str">
        <f>IFERROR(HYPERLINK("#Technical!A"&amp;MATCH(A327,Technical!A:A,0),"Open"),HYPERLINK("#Technical!A1","Open"))</f>
        <v>Open</v>
      </c>
    </row>
    <row r="328" spans="1:21" ht="30" customHeight="1" x14ac:dyDescent="0.25">
      <c r="A328" s="59" t="s">
        <v>425</v>
      </c>
      <c r="B328" s="8">
        <v>16104</v>
      </c>
      <c r="C328" s="43" t="s">
        <v>1318</v>
      </c>
      <c r="D328" s="8" t="s">
        <v>1223</v>
      </c>
      <c r="E328" s="64" t="s">
        <v>68</v>
      </c>
      <c r="F328" s="8" t="s">
        <v>1599</v>
      </c>
      <c r="G328" s="36">
        <v>37</v>
      </c>
      <c r="H328" s="8">
        <v>384</v>
      </c>
      <c r="I328" s="8" t="s">
        <v>1233</v>
      </c>
      <c r="J328" s="8" t="s">
        <v>1600</v>
      </c>
      <c r="K328" s="71" t="s">
        <v>6</v>
      </c>
      <c r="L328" s="8" t="s">
        <v>891</v>
      </c>
      <c r="M328" s="8" t="s">
        <v>864</v>
      </c>
      <c r="N328" s="60" t="s">
        <v>98</v>
      </c>
      <c r="O328" s="49" t="s">
        <v>2</v>
      </c>
      <c r="P328" s="8">
        <v>4</v>
      </c>
      <c r="Q328" s="8" t="s">
        <v>1673</v>
      </c>
      <c r="R328" s="8" t="s">
        <v>1602</v>
      </c>
      <c r="S328" s="9" t="str">
        <f>IFERROR(HYPERLINK("#Main!A"&amp;MATCH(A328,Main!A:A,0),"Open"),HYPERLINK("#Main!A1","Open"))</f>
        <v>Open</v>
      </c>
      <c r="T328" s="9" t="str">
        <f>IFERROR(HYPERLINK("#Technical!A"&amp;MATCH(A328,Technical!A:A,0),"Open"),HYPERLINK("#Technical!A1","Open"))</f>
        <v>Open</v>
      </c>
      <c r="U328" s="9"/>
    </row>
    <row r="329" spans="1:21" ht="30" customHeight="1" x14ac:dyDescent="0.25">
      <c r="A329" s="58" t="s">
        <v>425</v>
      </c>
      <c r="B329" s="11">
        <v>16104</v>
      </c>
      <c r="C329" s="43" t="s">
        <v>1318</v>
      </c>
      <c r="D329" s="11" t="s">
        <v>1223</v>
      </c>
      <c r="E329" s="64" t="s">
        <v>68</v>
      </c>
      <c r="F329" s="11" t="s">
        <v>1594</v>
      </c>
      <c r="G329" s="10">
        <v>37</v>
      </c>
      <c r="H329" s="11">
        <v>0</v>
      </c>
      <c r="I329" s="11" t="s">
        <v>1595</v>
      </c>
      <c r="J329" s="11" t="s">
        <v>1596</v>
      </c>
      <c r="K329" s="72" t="s">
        <v>11</v>
      </c>
      <c r="L329" s="11" t="s">
        <v>1201</v>
      </c>
      <c r="M329" s="11" t="s">
        <v>864</v>
      </c>
      <c r="N329" s="60" t="s">
        <v>98</v>
      </c>
      <c r="O329" s="49" t="s">
        <v>2</v>
      </c>
      <c r="P329" s="11">
        <v>4</v>
      </c>
      <c r="Q329" s="11" t="s">
        <v>1674</v>
      </c>
      <c r="R329" s="11" t="s">
        <v>1598</v>
      </c>
      <c r="S329" t="str">
        <f>IFERROR(HYPERLINK("#Main!A"&amp;MATCH(A329,Main!A:A,0),"Open"),HYPERLINK("#Main!A1","Open"))</f>
        <v>Open</v>
      </c>
      <c r="T329" t="str">
        <f>IFERROR(HYPERLINK("#Technical!A"&amp;MATCH(A329,Technical!A:A,0),"Open"),HYPERLINK("#Technical!A1","Open"))</f>
        <v>Open</v>
      </c>
    </row>
    <row r="330" spans="1:21" ht="30" customHeight="1" x14ac:dyDescent="0.25">
      <c r="A330" s="59" t="s">
        <v>433</v>
      </c>
      <c r="B330" s="8"/>
      <c r="C330" s="8"/>
      <c r="D330" s="8" t="s">
        <v>1223</v>
      </c>
      <c r="E330" s="64" t="s">
        <v>68</v>
      </c>
      <c r="F330" s="8" t="s">
        <v>1594</v>
      </c>
      <c r="G330" s="36">
        <v>37</v>
      </c>
      <c r="H330" s="8">
        <v>0</v>
      </c>
      <c r="I330" s="8" t="s">
        <v>1595</v>
      </c>
      <c r="J330" s="8" t="s">
        <v>1596</v>
      </c>
      <c r="K330" s="71" t="s">
        <v>11</v>
      </c>
      <c r="L330" s="8" t="s">
        <v>1201</v>
      </c>
      <c r="M330" s="8" t="s">
        <v>864</v>
      </c>
      <c r="N330" s="60" t="s">
        <v>98</v>
      </c>
      <c r="O330" s="49" t="s">
        <v>2</v>
      </c>
      <c r="P330" s="8">
        <v>4</v>
      </c>
      <c r="Q330" s="8" t="s">
        <v>1675</v>
      </c>
      <c r="R330" s="8" t="s">
        <v>1598</v>
      </c>
      <c r="S330" s="9" t="str">
        <f>IFERROR(HYPERLINK("#Main!A"&amp;MATCH(A330,Main!A:A,0),"Open"),HYPERLINK("#Main!A1","Open"))</f>
        <v>Open</v>
      </c>
      <c r="T330" s="9" t="str">
        <f>IFERROR(HYPERLINK("#Technical!A"&amp;MATCH(A330,Technical!A:A,0),"Open"),HYPERLINK("#Technical!A1","Open"))</f>
        <v>Open</v>
      </c>
      <c r="U330" s="9"/>
    </row>
    <row r="331" spans="1:21" ht="30" customHeight="1" x14ac:dyDescent="0.25">
      <c r="A331" s="58" t="s">
        <v>436</v>
      </c>
      <c r="B331" s="11">
        <v>23021</v>
      </c>
      <c r="C331" s="43" t="s">
        <v>1321</v>
      </c>
      <c r="D331" s="11" t="s">
        <v>1223</v>
      </c>
      <c r="E331" s="64" t="s">
        <v>68</v>
      </c>
      <c r="F331" s="11" t="s">
        <v>1599</v>
      </c>
      <c r="G331" s="10">
        <v>37</v>
      </c>
      <c r="H331" s="11">
        <v>225</v>
      </c>
      <c r="I331" s="11" t="s">
        <v>1233</v>
      </c>
      <c r="J331" s="11" t="s">
        <v>1600</v>
      </c>
      <c r="K331" s="72" t="s">
        <v>6</v>
      </c>
      <c r="L331" s="11" t="s">
        <v>891</v>
      </c>
      <c r="M331" s="11" t="s">
        <v>864</v>
      </c>
      <c r="N331" s="60" t="s">
        <v>98</v>
      </c>
      <c r="O331" s="49" t="s">
        <v>2</v>
      </c>
      <c r="P331" s="11">
        <v>4</v>
      </c>
      <c r="Q331" s="11" t="s">
        <v>1676</v>
      </c>
      <c r="R331" s="11" t="s">
        <v>1602</v>
      </c>
      <c r="S331" t="str">
        <f>IFERROR(HYPERLINK("#Main!A"&amp;MATCH(A331,Main!A:A,0),"Open"),HYPERLINK("#Main!A1","Open"))</f>
        <v>Open</v>
      </c>
      <c r="T331" t="str">
        <f>IFERROR(HYPERLINK("#Technical!A"&amp;MATCH(A331,Technical!A:A,0),"Open"),HYPERLINK("#Technical!A1","Open"))</f>
        <v>Open</v>
      </c>
    </row>
    <row r="332" spans="1:21" ht="30" customHeight="1" x14ac:dyDescent="0.25">
      <c r="A332" s="59" t="s">
        <v>436</v>
      </c>
      <c r="B332" s="8">
        <v>23021</v>
      </c>
      <c r="C332" s="43" t="s">
        <v>1321</v>
      </c>
      <c r="D332" s="8" t="s">
        <v>1223</v>
      </c>
      <c r="E332" s="64" t="s">
        <v>68</v>
      </c>
      <c r="F332" s="8" t="s">
        <v>1594</v>
      </c>
      <c r="G332" s="36">
        <v>37</v>
      </c>
      <c r="H332" s="8">
        <v>0</v>
      </c>
      <c r="I332" s="8" t="s">
        <v>1595</v>
      </c>
      <c r="J332" s="8" t="s">
        <v>1596</v>
      </c>
      <c r="K332" s="71" t="s">
        <v>11</v>
      </c>
      <c r="L332" s="8" t="s">
        <v>1201</v>
      </c>
      <c r="M332" s="8" t="s">
        <v>864</v>
      </c>
      <c r="N332" s="60" t="s">
        <v>98</v>
      </c>
      <c r="O332" s="49" t="s">
        <v>2</v>
      </c>
      <c r="P332" s="8">
        <v>4</v>
      </c>
      <c r="Q332" s="8" t="s">
        <v>1677</v>
      </c>
      <c r="R332" s="8" t="s">
        <v>1598</v>
      </c>
      <c r="S332" s="9" t="str">
        <f>IFERROR(HYPERLINK("#Main!A"&amp;MATCH(A332,Main!A:A,0),"Open"),HYPERLINK("#Main!A1","Open"))</f>
        <v>Open</v>
      </c>
      <c r="T332" s="9" t="str">
        <f>IFERROR(HYPERLINK("#Technical!A"&amp;MATCH(A332,Technical!A:A,0),"Open"),HYPERLINK("#Technical!A1","Open"))</f>
        <v>Open</v>
      </c>
      <c r="U332" s="9"/>
    </row>
    <row r="333" spans="1:21" ht="30" customHeight="1" x14ac:dyDescent="0.25">
      <c r="A333" s="58" t="s">
        <v>444</v>
      </c>
      <c r="B333" s="11">
        <v>6816</v>
      </c>
      <c r="C333" s="43" t="s">
        <v>1239</v>
      </c>
      <c r="D333" s="11" t="s">
        <v>1223</v>
      </c>
      <c r="E333" s="64" t="s">
        <v>68</v>
      </c>
      <c r="F333" s="11" t="s">
        <v>1594</v>
      </c>
      <c r="G333" s="10">
        <v>37</v>
      </c>
      <c r="H333" s="11">
        <v>0</v>
      </c>
      <c r="I333" s="11" t="s">
        <v>1595</v>
      </c>
      <c r="J333" s="11" t="s">
        <v>1596</v>
      </c>
      <c r="K333" s="72" t="s">
        <v>11</v>
      </c>
      <c r="L333" s="11" t="s">
        <v>1201</v>
      </c>
      <c r="M333" s="11" t="s">
        <v>864</v>
      </c>
      <c r="N333" s="60" t="s">
        <v>98</v>
      </c>
      <c r="O333" s="49" t="s">
        <v>2</v>
      </c>
      <c r="P333" s="11">
        <v>4</v>
      </c>
      <c r="Q333" s="11" t="s">
        <v>1678</v>
      </c>
      <c r="R333" s="11" t="s">
        <v>1598</v>
      </c>
      <c r="S333" t="str">
        <f>IFERROR(HYPERLINK("#Main!A"&amp;MATCH(A333,Main!A:A,0),"Open"),HYPERLINK("#Main!A1","Open"))</f>
        <v>Open</v>
      </c>
      <c r="T333" t="str">
        <f>IFERROR(HYPERLINK("#Technical!A"&amp;MATCH(A333,Technical!A:A,0),"Open"),HYPERLINK("#Technical!A1","Open"))</f>
        <v>Open</v>
      </c>
    </row>
    <row r="334" spans="1:21" ht="30" customHeight="1" x14ac:dyDescent="0.25">
      <c r="A334" s="59" t="s">
        <v>449</v>
      </c>
      <c r="B334" s="8">
        <v>6822</v>
      </c>
      <c r="C334" s="43" t="s">
        <v>1324</v>
      </c>
      <c r="D334" s="8" t="s">
        <v>1223</v>
      </c>
      <c r="E334" s="64" t="s">
        <v>68</v>
      </c>
      <c r="F334" s="8" t="s">
        <v>1625</v>
      </c>
      <c r="G334" s="36">
        <v>37</v>
      </c>
      <c r="H334" s="8">
        <v>117</v>
      </c>
      <c r="I334" s="8" t="s">
        <v>1233</v>
      </c>
      <c r="J334" s="8" t="s">
        <v>1626</v>
      </c>
      <c r="K334" s="71" t="s">
        <v>6</v>
      </c>
      <c r="L334" s="8" t="s">
        <v>891</v>
      </c>
      <c r="M334" s="8" t="s">
        <v>864</v>
      </c>
      <c r="N334" s="60" t="s">
        <v>98</v>
      </c>
      <c r="O334" s="49" t="s">
        <v>2</v>
      </c>
      <c r="P334" s="8">
        <v>4</v>
      </c>
      <c r="Q334" s="8" t="s">
        <v>1679</v>
      </c>
      <c r="R334" s="8" t="s">
        <v>1628</v>
      </c>
      <c r="S334" s="9" t="str">
        <f>IFERROR(HYPERLINK("#Main!A"&amp;MATCH(A334,Main!A:A,0),"Open"),HYPERLINK("#Main!A1","Open"))</f>
        <v>Open</v>
      </c>
      <c r="T334" s="9" t="str">
        <f>IFERROR(HYPERLINK("#Technical!A"&amp;MATCH(A334,Technical!A:A,0),"Open"),HYPERLINK("#Technical!A1","Open"))</f>
        <v>Open</v>
      </c>
      <c r="U334" s="9"/>
    </row>
    <row r="335" spans="1:21" ht="30" customHeight="1" x14ac:dyDescent="0.25">
      <c r="A335" s="58" t="s">
        <v>449</v>
      </c>
      <c r="B335" s="11">
        <v>6822</v>
      </c>
      <c r="C335" s="43" t="s">
        <v>1324</v>
      </c>
      <c r="D335" s="11" t="s">
        <v>1223</v>
      </c>
      <c r="E335" s="64" t="s">
        <v>68</v>
      </c>
      <c r="F335" s="11" t="s">
        <v>1594</v>
      </c>
      <c r="G335" s="10">
        <v>37</v>
      </c>
      <c r="H335" s="11">
        <v>0</v>
      </c>
      <c r="I335" s="11" t="s">
        <v>1595</v>
      </c>
      <c r="J335" s="11" t="s">
        <v>1596</v>
      </c>
      <c r="K335" s="72" t="s">
        <v>11</v>
      </c>
      <c r="L335" s="11" t="s">
        <v>1201</v>
      </c>
      <c r="M335" s="11" t="s">
        <v>864</v>
      </c>
      <c r="N335" s="60" t="s">
        <v>98</v>
      </c>
      <c r="O335" s="49" t="s">
        <v>2</v>
      </c>
      <c r="P335" s="11">
        <v>4</v>
      </c>
      <c r="Q335" s="11" t="s">
        <v>1680</v>
      </c>
      <c r="R335" s="11" t="s">
        <v>1598</v>
      </c>
      <c r="S335" t="str">
        <f>IFERROR(HYPERLINK("#Main!A"&amp;MATCH(A335,Main!A:A,0),"Open"),HYPERLINK("#Main!A1","Open"))</f>
        <v>Open</v>
      </c>
      <c r="T335" t="str">
        <f>IFERROR(HYPERLINK("#Technical!A"&amp;MATCH(A335,Technical!A:A,0),"Open"),HYPERLINK("#Technical!A1","Open"))</f>
        <v>Open</v>
      </c>
    </row>
    <row r="336" spans="1:21" ht="30" customHeight="1" x14ac:dyDescent="0.25">
      <c r="A336" s="59" t="s">
        <v>457</v>
      </c>
      <c r="B336" s="8">
        <v>6553</v>
      </c>
      <c r="C336" s="43" t="s">
        <v>1326</v>
      </c>
      <c r="D336" s="8" t="s">
        <v>1223</v>
      </c>
      <c r="E336" s="64" t="s">
        <v>68</v>
      </c>
      <c r="F336" s="8" t="s">
        <v>1599</v>
      </c>
      <c r="G336" s="36">
        <v>37</v>
      </c>
      <c r="H336" s="8">
        <v>357</v>
      </c>
      <c r="I336" s="8" t="s">
        <v>1233</v>
      </c>
      <c r="J336" s="8" t="s">
        <v>1600</v>
      </c>
      <c r="K336" s="71" t="s">
        <v>6</v>
      </c>
      <c r="L336" s="8" t="s">
        <v>891</v>
      </c>
      <c r="M336" s="8" t="s">
        <v>864</v>
      </c>
      <c r="N336" s="60" t="s">
        <v>98</v>
      </c>
      <c r="O336" s="49" t="s">
        <v>2</v>
      </c>
      <c r="P336" s="8">
        <v>4</v>
      </c>
      <c r="Q336" s="8" t="s">
        <v>1681</v>
      </c>
      <c r="R336" s="8" t="s">
        <v>1602</v>
      </c>
      <c r="S336" s="9" t="str">
        <f>IFERROR(HYPERLINK("#Main!A"&amp;MATCH(A336,Main!A:A,0),"Open"),HYPERLINK("#Main!A1","Open"))</f>
        <v>Open</v>
      </c>
      <c r="T336" s="9" t="str">
        <f>IFERROR(HYPERLINK("#Technical!A"&amp;MATCH(A336,Technical!A:A,0),"Open"),HYPERLINK("#Technical!A1","Open"))</f>
        <v>Open</v>
      </c>
      <c r="U336" s="9"/>
    </row>
    <row r="337" spans="1:21" ht="30" customHeight="1" x14ac:dyDescent="0.25">
      <c r="A337" s="58" t="s">
        <v>457</v>
      </c>
      <c r="B337" s="11">
        <v>6553</v>
      </c>
      <c r="C337" s="43" t="s">
        <v>1326</v>
      </c>
      <c r="D337" s="11" t="s">
        <v>1223</v>
      </c>
      <c r="E337" s="64" t="s">
        <v>68</v>
      </c>
      <c r="F337" s="11" t="s">
        <v>1594</v>
      </c>
      <c r="G337" s="10">
        <v>37</v>
      </c>
      <c r="H337" s="11">
        <v>0</v>
      </c>
      <c r="I337" s="11" t="s">
        <v>1595</v>
      </c>
      <c r="J337" s="11" t="s">
        <v>1596</v>
      </c>
      <c r="K337" s="72" t="s">
        <v>11</v>
      </c>
      <c r="L337" s="11" t="s">
        <v>1201</v>
      </c>
      <c r="M337" s="11" t="s">
        <v>864</v>
      </c>
      <c r="N337" s="60" t="s">
        <v>98</v>
      </c>
      <c r="O337" s="49" t="s">
        <v>2</v>
      </c>
      <c r="P337" s="11">
        <v>4</v>
      </c>
      <c r="Q337" s="11" t="s">
        <v>1682</v>
      </c>
      <c r="R337" s="11" t="s">
        <v>1598</v>
      </c>
      <c r="S337" t="str">
        <f>IFERROR(HYPERLINK("#Main!A"&amp;MATCH(A337,Main!A:A,0),"Open"),HYPERLINK("#Main!A1","Open"))</f>
        <v>Open</v>
      </c>
      <c r="T337" t="str">
        <f>IFERROR(HYPERLINK("#Technical!A"&amp;MATCH(A337,Technical!A:A,0),"Open"),HYPERLINK("#Technical!A1","Open"))</f>
        <v>Open</v>
      </c>
    </row>
    <row r="338" spans="1:21" ht="30" customHeight="1" x14ac:dyDescent="0.25">
      <c r="A338" s="59" t="s">
        <v>465</v>
      </c>
      <c r="B338" s="8">
        <v>4492</v>
      </c>
      <c r="C338" s="43" t="s">
        <v>1328</v>
      </c>
      <c r="D338" s="8" t="s">
        <v>1223</v>
      </c>
      <c r="E338" s="64" t="s">
        <v>68</v>
      </c>
      <c r="F338" s="8" t="s">
        <v>1599</v>
      </c>
      <c r="G338" s="36">
        <v>37</v>
      </c>
      <c r="H338" s="8">
        <v>356</v>
      </c>
      <c r="I338" s="8" t="s">
        <v>1233</v>
      </c>
      <c r="J338" s="8" t="s">
        <v>1600</v>
      </c>
      <c r="K338" s="71" t="s">
        <v>6</v>
      </c>
      <c r="L338" s="8" t="s">
        <v>891</v>
      </c>
      <c r="M338" s="8" t="s">
        <v>864</v>
      </c>
      <c r="N338" s="60" t="s">
        <v>98</v>
      </c>
      <c r="O338" s="49" t="s">
        <v>2</v>
      </c>
      <c r="P338" s="8">
        <v>4</v>
      </c>
      <c r="Q338" s="8" t="s">
        <v>1683</v>
      </c>
      <c r="R338" s="8" t="s">
        <v>1602</v>
      </c>
      <c r="S338" s="9" t="str">
        <f>IFERROR(HYPERLINK("#Main!A"&amp;MATCH(A338,Main!A:A,0),"Open"),HYPERLINK("#Main!A1","Open"))</f>
        <v>Open</v>
      </c>
      <c r="T338" s="9" t="str">
        <f>IFERROR(HYPERLINK("#Technical!A"&amp;MATCH(A338,Technical!A:A,0),"Open"),HYPERLINK("#Technical!A1","Open"))</f>
        <v>Open</v>
      </c>
      <c r="U338" s="9"/>
    </row>
    <row r="339" spans="1:21" ht="30" customHeight="1" x14ac:dyDescent="0.25">
      <c r="A339" s="58" t="s">
        <v>465</v>
      </c>
      <c r="B339" s="11">
        <v>4492</v>
      </c>
      <c r="C339" s="43" t="s">
        <v>1328</v>
      </c>
      <c r="D339" s="11" t="s">
        <v>1223</v>
      </c>
      <c r="E339" s="64" t="s">
        <v>68</v>
      </c>
      <c r="F339" s="11" t="s">
        <v>1594</v>
      </c>
      <c r="G339" s="10">
        <v>37</v>
      </c>
      <c r="H339" s="11">
        <v>0</v>
      </c>
      <c r="I339" s="11" t="s">
        <v>1595</v>
      </c>
      <c r="J339" s="11" t="s">
        <v>1596</v>
      </c>
      <c r="K339" s="72" t="s">
        <v>11</v>
      </c>
      <c r="L339" s="11" t="s">
        <v>1201</v>
      </c>
      <c r="M339" s="11" t="s">
        <v>864</v>
      </c>
      <c r="N339" s="60" t="s">
        <v>98</v>
      </c>
      <c r="O339" s="49" t="s">
        <v>2</v>
      </c>
      <c r="P339" s="11">
        <v>4</v>
      </c>
      <c r="Q339" s="11" t="s">
        <v>1684</v>
      </c>
      <c r="R339" s="11" t="s">
        <v>1598</v>
      </c>
      <c r="S339" t="str">
        <f>IFERROR(HYPERLINK("#Main!A"&amp;MATCH(A339,Main!A:A,0),"Open"),HYPERLINK("#Main!A1","Open"))</f>
        <v>Open</v>
      </c>
      <c r="T339" t="str">
        <f>IFERROR(HYPERLINK("#Technical!A"&amp;MATCH(A339,Technical!A:A,0),"Open"),HYPERLINK("#Technical!A1","Open"))</f>
        <v>Open</v>
      </c>
    </row>
    <row r="340" spans="1:21" ht="30" customHeight="1" x14ac:dyDescent="0.25">
      <c r="A340" s="59" t="s">
        <v>473</v>
      </c>
      <c r="B340" s="8">
        <v>23001</v>
      </c>
      <c r="C340" s="43" t="s">
        <v>1330</v>
      </c>
      <c r="D340" s="8" t="s">
        <v>1223</v>
      </c>
      <c r="E340" s="64" t="s">
        <v>68</v>
      </c>
      <c r="F340" s="8" t="s">
        <v>1599</v>
      </c>
      <c r="G340" s="36">
        <v>37</v>
      </c>
      <c r="H340" s="8">
        <v>1077</v>
      </c>
      <c r="I340" s="8" t="s">
        <v>1233</v>
      </c>
      <c r="J340" s="8" t="s">
        <v>1600</v>
      </c>
      <c r="K340" s="71" t="s">
        <v>6</v>
      </c>
      <c r="L340" s="8" t="s">
        <v>891</v>
      </c>
      <c r="M340" s="8" t="s">
        <v>864</v>
      </c>
      <c r="N340" s="60" t="s">
        <v>98</v>
      </c>
      <c r="O340" s="49" t="s">
        <v>2</v>
      </c>
      <c r="P340" s="8">
        <v>4</v>
      </c>
      <c r="Q340" s="8" t="s">
        <v>1685</v>
      </c>
      <c r="R340" s="8" t="s">
        <v>1602</v>
      </c>
      <c r="S340" s="9" t="str">
        <f>IFERROR(HYPERLINK("#Main!A"&amp;MATCH(A340,Main!A:A,0),"Open"),HYPERLINK("#Main!A1","Open"))</f>
        <v>Open</v>
      </c>
      <c r="T340" s="9" t="str">
        <f>IFERROR(HYPERLINK("#Technical!A"&amp;MATCH(A340,Technical!A:A,0),"Open"),HYPERLINK("#Technical!A1","Open"))</f>
        <v>Open</v>
      </c>
      <c r="U340" s="9"/>
    </row>
    <row r="341" spans="1:21" ht="30" customHeight="1" x14ac:dyDescent="0.25">
      <c r="A341" s="58" t="s">
        <v>473</v>
      </c>
      <c r="B341" s="11">
        <v>23001</v>
      </c>
      <c r="C341" s="43" t="s">
        <v>1330</v>
      </c>
      <c r="D341" s="11" t="s">
        <v>1223</v>
      </c>
      <c r="E341" s="64" t="s">
        <v>68</v>
      </c>
      <c r="F341" s="11" t="s">
        <v>1594</v>
      </c>
      <c r="G341" s="10">
        <v>37</v>
      </c>
      <c r="H341" s="11">
        <v>0</v>
      </c>
      <c r="I341" s="11" t="s">
        <v>1595</v>
      </c>
      <c r="J341" s="11" t="s">
        <v>1596</v>
      </c>
      <c r="K341" s="72" t="s">
        <v>11</v>
      </c>
      <c r="L341" s="11" t="s">
        <v>1201</v>
      </c>
      <c r="M341" s="11" t="s">
        <v>864</v>
      </c>
      <c r="N341" s="60" t="s">
        <v>98</v>
      </c>
      <c r="O341" s="49" t="s">
        <v>2</v>
      </c>
      <c r="P341" s="11">
        <v>4</v>
      </c>
      <c r="Q341" s="11" t="s">
        <v>1686</v>
      </c>
      <c r="R341" s="11" t="s">
        <v>1598</v>
      </c>
      <c r="S341" t="str">
        <f>IFERROR(HYPERLINK("#Main!A"&amp;MATCH(A341,Main!A:A,0),"Open"),HYPERLINK("#Main!A1","Open"))</f>
        <v>Open</v>
      </c>
      <c r="T341" t="str">
        <f>IFERROR(HYPERLINK("#Technical!A"&amp;MATCH(A341,Technical!A:A,0),"Open"),HYPERLINK("#Technical!A1","Open"))</f>
        <v>Open</v>
      </c>
    </row>
    <row r="342" spans="1:21" ht="30" customHeight="1" x14ac:dyDescent="0.25">
      <c r="A342" s="59" t="s">
        <v>481</v>
      </c>
      <c r="B342" s="8">
        <v>21952</v>
      </c>
      <c r="C342" s="43" t="s">
        <v>1332</v>
      </c>
      <c r="D342" s="8" t="s">
        <v>1223</v>
      </c>
      <c r="E342" s="64" t="s">
        <v>68</v>
      </c>
      <c r="F342" s="8" t="s">
        <v>1599</v>
      </c>
      <c r="G342" s="36">
        <v>37</v>
      </c>
      <c r="H342" s="8">
        <v>161</v>
      </c>
      <c r="I342" s="8" t="s">
        <v>1233</v>
      </c>
      <c r="J342" s="8" t="s">
        <v>1600</v>
      </c>
      <c r="K342" s="71" t="s">
        <v>6</v>
      </c>
      <c r="L342" s="8" t="s">
        <v>891</v>
      </c>
      <c r="M342" s="8" t="s">
        <v>864</v>
      </c>
      <c r="N342" s="60" t="s">
        <v>98</v>
      </c>
      <c r="O342" s="49" t="s">
        <v>2</v>
      </c>
      <c r="P342" s="8">
        <v>4</v>
      </c>
      <c r="Q342" s="8" t="s">
        <v>1687</v>
      </c>
      <c r="R342" s="8" t="s">
        <v>1602</v>
      </c>
      <c r="S342" s="9" t="str">
        <f>IFERROR(HYPERLINK("#Main!A"&amp;MATCH(A342,Main!A:A,0),"Open"),HYPERLINK("#Main!A1","Open"))</f>
        <v>Open</v>
      </c>
      <c r="T342" s="9" t="str">
        <f>IFERROR(HYPERLINK("#Technical!A"&amp;MATCH(A342,Technical!A:A,0),"Open"),HYPERLINK("#Technical!A1","Open"))</f>
        <v>Open</v>
      </c>
      <c r="U342" s="9"/>
    </row>
    <row r="343" spans="1:21" ht="30" customHeight="1" x14ac:dyDescent="0.25">
      <c r="A343" s="58" t="s">
        <v>481</v>
      </c>
      <c r="B343" s="11">
        <v>21952</v>
      </c>
      <c r="C343" s="43" t="s">
        <v>1332</v>
      </c>
      <c r="D343" s="11" t="s">
        <v>1223</v>
      </c>
      <c r="E343" s="64" t="s">
        <v>68</v>
      </c>
      <c r="F343" s="11" t="s">
        <v>1594</v>
      </c>
      <c r="G343" s="10">
        <v>37</v>
      </c>
      <c r="H343" s="11">
        <v>0</v>
      </c>
      <c r="I343" s="11" t="s">
        <v>1595</v>
      </c>
      <c r="J343" s="11" t="s">
        <v>1596</v>
      </c>
      <c r="K343" s="72" t="s">
        <v>11</v>
      </c>
      <c r="L343" s="11" t="s">
        <v>1201</v>
      </c>
      <c r="M343" s="11" t="s">
        <v>864</v>
      </c>
      <c r="N343" s="60" t="s">
        <v>98</v>
      </c>
      <c r="O343" s="49" t="s">
        <v>2</v>
      </c>
      <c r="P343" s="11">
        <v>4</v>
      </c>
      <c r="Q343" s="11" t="s">
        <v>1688</v>
      </c>
      <c r="R343" s="11" t="s">
        <v>1598</v>
      </c>
      <c r="S343" t="str">
        <f>IFERROR(HYPERLINK("#Main!A"&amp;MATCH(A343,Main!A:A,0),"Open"),HYPERLINK("#Main!A1","Open"))</f>
        <v>Open</v>
      </c>
      <c r="T343" t="str">
        <f>IFERROR(HYPERLINK("#Technical!A"&amp;MATCH(A343,Technical!A:A,0),"Open"),HYPERLINK("#Technical!A1","Open"))</f>
        <v>Open</v>
      </c>
    </row>
    <row r="344" spans="1:21" ht="30" customHeight="1" x14ac:dyDescent="0.25">
      <c r="A344" s="59" t="s">
        <v>489</v>
      </c>
      <c r="B344" s="8">
        <v>22679</v>
      </c>
      <c r="C344" s="43" t="s">
        <v>1334</v>
      </c>
      <c r="D344" s="8" t="s">
        <v>1223</v>
      </c>
      <c r="E344" s="64" t="s">
        <v>68</v>
      </c>
      <c r="F344" s="8" t="s">
        <v>1599</v>
      </c>
      <c r="G344" s="36">
        <v>37</v>
      </c>
      <c r="H344" s="8">
        <v>376</v>
      </c>
      <c r="I344" s="8" t="s">
        <v>1233</v>
      </c>
      <c r="J344" s="8" t="s">
        <v>1600</v>
      </c>
      <c r="K344" s="71" t="s">
        <v>6</v>
      </c>
      <c r="L344" s="8" t="s">
        <v>891</v>
      </c>
      <c r="M344" s="8" t="s">
        <v>864</v>
      </c>
      <c r="N344" s="60" t="s">
        <v>98</v>
      </c>
      <c r="O344" s="49" t="s">
        <v>2</v>
      </c>
      <c r="P344" s="8">
        <v>4</v>
      </c>
      <c r="Q344" s="8" t="s">
        <v>1689</v>
      </c>
      <c r="R344" s="8" t="s">
        <v>1602</v>
      </c>
      <c r="S344" s="9" t="str">
        <f>IFERROR(HYPERLINK("#Main!A"&amp;MATCH(A344,Main!A:A,0),"Open"),HYPERLINK("#Main!A1","Open"))</f>
        <v>Open</v>
      </c>
      <c r="T344" s="9" t="str">
        <f>IFERROR(HYPERLINK("#Technical!A"&amp;MATCH(A344,Technical!A:A,0),"Open"),HYPERLINK("#Technical!A1","Open"))</f>
        <v>Open</v>
      </c>
      <c r="U344" s="9"/>
    </row>
    <row r="345" spans="1:21" ht="30" customHeight="1" x14ac:dyDescent="0.25">
      <c r="A345" s="58" t="s">
        <v>489</v>
      </c>
      <c r="B345" s="11">
        <v>22679</v>
      </c>
      <c r="C345" s="43" t="s">
        <v>1334</v>
      </c>
      <c r="D345" s="11" t="s">
        <v>1223</v>
      </c>
      <c r="E345" s="64" t="s">
        <v>68</v>
      </c>
      <c r="F345" s="11" t="s">
        <v>1594</v>
      </c>
      <c r="G345" s="10">
        <v>37</v>
      </c>
      <c r="H345" s="11">
        <v>0</v>
      </c>
      <c r="I345" s="11" t="s">
        <v>1595</v>
      </c>
      <c r="J345" s="11" t="s">
        <v>1596</v>
      </c>
      <c r="K345" s="72" t="s">
        <v>11</v>
      </c>
      <c r="L345" s="11" t="s">
        <v>1201</v>
      </c>
      <c r="M345" s="11" t="s">
        <v>864</v>
      </c>
      <c r="N345" s="60" t="s">
        <v>98</v>
      </c>
      <c r="O345" s="49" t="s">
        <v>2</v>
      </c>
      <c r="P345" s="11">
        <v>4</v>
      </c>
      <c r="Q345" s="11" t="s">
        <v>1690</v>
      </c>
      <c r="R345" s="11" t="s">
        <v>1598</v>
      </c>
      <c r="S345" t="str">
        <f>IFERROR(HYPERLINK("#Main!A"&amp;MATCH(A345,Main!A:A,0),"Open"),HYPERLINK("#Main!A1","Open"))</f>
        <v>Open</v>
      </c>
      <c r="T345" t="str">
        <f>IFERROR(HYPERLINK("#Technical!A"&amp;MATCH(A345,Technical!A:A,0),"Open"),HYPERLINK("#Technical!A1","Open"))</f>
        <v>Open</v>
      </c>
    </row>
    <row r="346" spans="1:21" ht="30" customHeight="1" x14ac:dyDescent="0.25">
      <c r="A346" s="59" t="s">
        <v>497</v>
      </c>
      <c r="B346" s="8">
        <v>32554</v>
      </c>
      <c r="C346" s="43" t="s">
        <v>1336</v>
      </c>
      <c r="D346" s="8" t="s">
        <v>1223</v>
      </c>
      <c r="E346" s="64" t="s">
        <v>68</v>
      </c>
      <c r="F346" s="8" t="s">
        <v>1594</v>
      </c>
      <c r="G346" s="36">
        <v>37</v>
      </c>
      <c r="H346" s="8">
        <v>0</v>
      </c>
      <c r="I346" s="8" t="s">
        <v>1595</v>
      </c>
      <c r="J346" s="8" t="s">
        <v>1596</v>
      </c>
      <c r="K346" s="71" t="s">
        <v>11</v>
      </c>
      <c r="L346" s="8" t="s">
        <v>1201</v>
      </c>
      <c r="M346" s="8" t="s">
        <v>864</v>
      </c>
      <c r="N346" s="60" t="s">
        <v>98</v>
      </c>
      <c r="O346" s="49" t="s">
        <v>2</v>
      </c>
      <c r="P346" s="8">
        <v>4</v>
      </c>
      <c r="Q346" s="8" t="s">
        <v>1691</v>
      </c>
      <c r="R346" s="8" t="s">
        <v>1598</v>
      </c>
      <c r="S346" s="9" t="str">
        <f>IFERROR(HYPERLINK("#Main!A"&amp;MATCH(A346,Main!A:A,0),"Open"),HYPERLINK("#Main!A1","Open"))</f>
        <v>Open</v>
      </c>
      <c r="T346" s="9" t="str">
        <f>IFERROR(HYPERLINK("#Technical!A"&amp;MATCH(A346,Technical!A:A,0),"Open"),HYPERLINK("#Technical!A1","Open"))</f>
        <v>Open</v>
      </c>
      <c r="U346" s="9"/>
    </row>
    <row r="347" spans="1:21" ht="30" customHeight="1" x14ac:dyDescent="0.25">
      <c r="A347" s="58" t="s">
        <v>505</v>
      </c>
      <c r="B347" s="11">
        <v>34552</v>
      </c>
      <c r="C347" s="43" t="s">
        <v>1338</v>
      </c>
      <c r="D347" s="11" t="s">
        <v>1223</v>
      </c>
      <c r="E347" s="64" t="s">
        <v>68</v>
      </c>
      <c r="F347" s="11" t="s">
        <v>1599</v>
      </c>
      <c r="G347" s="10">
        <v>37</v>
      </c>
      <c r="H347" s="11">
        <v>526</v>
      </c>
      <c r="I347" s="11" t="s">
        <v>1233</v>
      </c>
      <c r="J347" s="11" t="s">
        <v>1600</v>
      </c>
      <c r="K347" s="72" t="s">
        <v>6</v>
      </c>
      <c r="L347" s="11" t="s">
        <v>891</v>
      </c>
      <c r="M347" s="11" t="s">
        <v>864</v>
      </c>
      <c r="N347" s="60" t="s">
        <v>98</v>
      </c>
      <c r="O347" s="49" t="s">
        <v>2</v>
      </c>
      <c r="P347" s="11">
        <v>4</v>
      </c>
      <c r="Q347" s="11" t="s">
        <v>1692</v>
      </c>
      <c r="R347" s="11" t="s">
        <v>1602</v>
      </c>
      <c r="S347" t="str">
        <f>IFERROR(HYPERLINK("#Main!A"&amp;MATCH(A347,Main!A:A,0),"Open"),HYPERLINK("#Main!A1","Open"))</f>
        <v>Open</v>
      </c>
      <c r="T347" t="str">
        <f>IFERROR(HYPERLINK("#Technical!A"&amp;MATCH(A347,Technical!A:A,0),"Open"),HYPERLINK("#Technical!A1","Open"))</f>
        <v>Open</v>
      </c>
    </row>
    <row r="348" spans="1:21" ht="30" customHeight="1" x14ac:dyDescent="0.25">
      <c r="A348" s="59" t="s">
        <v>505</v>
      </c>
      <c r="B348" s="8">
        <v>34552</v>
      </c>
      <c r="C348" s="43" t="s">
        <v>1338</v>
      </c>
      <c r="D348" s="8" t="s">
        <v>1223</v>
      </c>
      <c r="E348" s="64" t="s">
        <v>68</v>
      </c>
      <c r="F348" s="8" t="s">
        <v>1594</v>
      </c>
      <c r="G348" s="36">
        <v>37</v>
      </c>
      <c r="H348" s="8">
        <v>0</v>
      </c>
      <c r="I348" s="8" t="s">
        <v>1595</v>
      </c>
      <c r="J348" s="8" t="s">
        <v>1596</v>
      </c>
      <c r="K348" s="71" t="s">
        <v>11</v>
      </c>
      <c r="L348" s="8" t="s">
        <v>1201</v>
      </c>
      <c r="M348" s="8" t="s">
        <v>864</v>
      </c>
      <c r="N348" s="60" t="s">
        <v>98</v>
      </c>
      <c r="O348" s="49" t="s">
        <v>2</v>
      </c>
      <c r="P348" s="8">
        <v>4</v>
      </c>
      <c r="Q348" s="8" t="s">
        <v>1693</v>
      </c>
      <c r="R348" s="8" t="s">
        <v>1598</v>
      </c>
      <c r="S348" s="9" t="str">
        <f>IFERROR(HYPERLINK("#Main!A"&amp;MATCH(A348,Main!A:A,0),"Open"),HYPERLINK("#Main!A1","Open"))</f>
        <v>Open</v>
      </c>
      <c r="T348" s="9" t="str">
        <f>IFERROR(HYPERLINK("#Technical!A"&amp;MATCH(A348,Technical!A:A,0),"Open"),HYPERLINK("#Technical!A1","Open"))</f>
        <v>Open</v>
      </c>
      <c r="U348" s="9"/>
    </row>
    <row r="349" spans="1:21" ht="30" customHeight="1" x14ac:dyDescent="0.25">
      <c r="A349" s="58" t="s">
        <v>512</v>
      </c>
      <c r="B349" s="11">
        <v>34622</v>
      </c>
      <c r="C349" s="43" t="s">
        <v>1340</v>
      </c>
      <c r="D349" s="11" t="s">
        <v>1223</v>
      </c>
      <c r="E349" s="64" t="s">
        <v>68</v>
      </c>
      <c r="F349" s="11" t="s">
        <v>1594</v>
      </c>
      <c r="G349" s="10">
        <v>37</v>
      </c>
      <c r="H349" s="11">
        <v>0</v>
      </c>
      <c r="I349" s="11" t="s">
        <v>1595</v>
      </c>
      <c r="J349" s="11" t="s">
        <v>1596</v>
      </c>
      <c r="K349" s="72" t="s">
        <v>11</v>
      </c>
      <c r="L349" s="11" t="s">
        <v>1201</v>
      </c>
      <c r="M349" s="11" t="s">
        <v>864</v>
      </c>
      <c r="N349" s="60" t="s">
        <v>98</v>
      </c>
      <c r="O349" s="49" t="s">
        <v>2</v>
      </c>
      <c r="P349" s="11">
        <v>4</v>
      </c>
      <c r="Q349" s="11" t="s">
        <v>1694</v>
      </c>
      <c r="R349" s="11" t="s">
        <v>1598</v>
      </c>
      <c r="S349" t="str">
        <f>IFERROR(HYPERLINK("#Main!A"&amp;MATCH(A349,Main!A:A,0),"Open"),HYPERLINK("#Main!A1","Open"))</f>
        <v>Open</v>
      </c>
      <c r="T349" t="str">
        <f>IFERROR(HYPERLINK("#Technical!A"&amp;MATCH(A349,Technical!A:A,0),"Open"),HYPERLINK("#Technical!A1","Open"))</f>
        <v>Open</v>
      </c>
    </row>
    <row r="350" spans="1:21" ht="30" customHeight="1" x14ac:dyDescent="0.25">
      <c r="A350" s="59" t="s">
        <v>519</v>
      </c>
      <c r="B350" s="8">
        <v>28742</v>
      </c>
      <c r="C350" s="43" t="s">
        <v>1342</v>
      </c>
      <c r="D350" s="8" t="s">
        <v>1223</v>
      </c>
      <c r="E350" s="64" t="s">
        <v>68</v>
      </c>
      <c r="F350" s="8" t="s">
        <v>1599</v>
      </c>
      <c r="G350" s="36">
        <v>37</v>
      </c>
      <c r="H350" s="8">
        <v>400</v>
      </c>
      <c r="I350" s="8" t="s">
        <v>1233</v>
      </c>
      <c r="J350" s="8" t="s">
        <v>1600</v>
      </c>
      <c r="K350" s="71" t="s">
        <v>6</v>
      </c>
      <c r="L350" s="8" t="s">
        <v>891</v>
      </c>
      <c r="M350" s="8" t="s">
        <v>864</v>
      </c>
      <c r="N350" s="60" t="s">
        <v>98</v>
      </c>
      <c r="O350" s="49" t="s">
        <v>2</v>
      </c>
      <c r="P350" s="8">
        <v>4</v>
      </c>
      <c r="Q350" s="8" t="s">
        <v>1695</v>
      </c>
      <c r="R350" s="8" t="s">
        <v>1602</v>
      </c>
      <c r="S350" s="9" t="str">
        <f>IFERROR(HYPERLINK("#Main!A"&amp;MATCH(A350,Main!A:A,0),"Open"),HYPERLINK("#Main!A1","Open"))</f>
        <v>Open</v>
      </c>
      <c r="T350" s="9" t="str">
        <f>IFERROR(HYPERLINK("#Technical!A"&amp;MATCH(A350,Technical!A:A,0),"Open"),HYPERLINK("#Technical!A1","Open"))</f>
        <v>Open</v>
      </c>
      <c r="U350" s="9"/>
    </row>
    <row r="351" spans="1:21" ht="30" customHeight="1" x14ac:dyDescent="0.25">
      <c r="A351" s="58" t="s">
        <v>519</v>
      </c>
      <c r="B351" s="11">
        <v>28742</v>
      </c>
      <c r="C351" s="43" t="s">
        <v>1342</v>
      </c>
      <c r="D351" s="11" t="s">
        <v>1223</v>
      </c>
      <c r="E351" s="64" t="s">
        <v>68</v>
      </c>
      <c r="F351" s="11" t="s">
        <v>1594</v>
      </c>
      <c r="G351" s="10">
        <v>37</v>
      </c>
      <c r="H351" s="11">
        <v>0</v>
      </c>
      <c r="I351" s="11" t="s">
        <v>1595</v>
      </c>
      <c r="J351" s="11" t="s">
        <v>1596</v>
      </c>
      <c r="K351" s="72" t="s">
        <v>11</v>
      </c>
      <c r="L351" s="11" t="s">
        <v>1201</v>
      </c>
      <c r="M351" s="11" t="s">
        <v>864</v>
      </c>
      <c r="N351" s="60" t="s">
        <v>98</v>
      </c>
      <c r="O351" s="49" t="s">
        <v>2</v>
      </c>
      <c r="P351" s="11">
        <v>4</v>
      </c>
      <c r="Q351" s="11" t="s">
        <v>1696</v>
      </c>
      <c r="R351" s="11" t="s">
        <v>1598</v>
      </c>
      <c r="S351" t="str">
        <f>IFERROR(HYPERLINK("#Main!A"&amp;MATCH(A351,Main!A:A,0),"Open"),HYPERLINK("#Main!A1","Open"))</f>
        <v>Open</v>
      </c>
      <c r="T351" t="str">
        <f>IFERROR(HYPERLINK("#Technical!A"&amp;MATCH(A351,Technical!A:A,0),"Open"),HYPERLINK("#Technical!A1","Open"))</f>
        <v>Open</v>
      </c>
    </row>
    <row r="352" spans="1:21" ht="30" customHeight="1" x14ac:dyDescent="0.25">
      <c r="A352" s="59" t="s">
        <v>527</v>
      </c>
      <c r="B352" s="8">
        <v>20001</v>
      </c>
      <c r="C352" s="43" t="s">
        <v>1344</v>
      </c>
      <c r="D352" s="8" t="s">
        <v>1223</v>
      </c>
      <c r="E352" s="64" t="s">
        <v>68</v>
      </c>
      <c r="F352" s="8" t="s">
        <v>1599</v>
      </c>
      <c r="G352" s="36">
        <v>37</v>
      </c>
      <c r="H352" s="8">
        <v>210</v>
      </c>
      <c r="I352" s="8" t="s">
        <v>1233</v>
      </c>
      <c r="J352" s="8" t="s">
        <v>1600</v>
      </c>
      <c r="K352" s="71" t="s">
        <v>6</v>
      </c>
      <c r="L352" s="8" t="s">
        <v>891</v>
      </c>
      <c r="M352" s="8" t="s">
        <v>864</v>
      </c>
      <c r="N352" s="60" t="s">
        <v>98</v>
      </c>
      <c r="O352" s="49" t="s">
        <v>2</v>
      </c>
      <c r="P352" s="8">
        <v>4</v>
      </c>
      <c r="Q352" s="8" t="s">
        <v>1697</v>
      </c>
      <c r="R352" s="8" t="s">
        <v>1602</v>
      </c>
      <c r="S352" s="9" t="str">
        <f>IFERROR(HYPERLINK("#Main!A"&amp;MATCH(A352,Main!A:A,0),"Open"),HYPERLINK("#Main!A1","Open"))</f>
        <v>Open</v>
      </c>
      <c r="T352" s="9" t="str">
        <f>IFERROR(HYPERLINK("#Technical!A"&amp;MATCH(A352,Technical!A:A,0),"Open"),HYPERLINK("#Technical!A1","Open"))</f>
        <v>Open</v>
      </c>
      <c r="U352" s="9"/>
    </row>
    <row r="353" spans="1:21" ht="30" customHeight="1" x14ac:dyDescent="0.25">
      <c r="A353" s="58" t="s">
        <v>527</v>
      </c>
      <c r="B353" s="11">
        <v>20001</v>
      </c>
      <c r="C353" s="43" t="s">
        <v>1344</v>
      </c>
      <c r="D353" s="11" t="s">
        <v>1223</v>
      </c>
      <c r="E353" s="64" t="s">
        <v>68</v>
      </c>
      <c r="F353" s="11" t="s">
        <v>1594</v>
      </c>
      <c r="G353" s="10">
        <v>37</v>
      </c>
      <c r="H353" s="11">
        <v>0</v>
      </c>
      <c r="I353" s="11" t="s">
        <v>1595</v>
      </c>
      <c r="J353" s="11" t="s">
        <v>1596</v>
      </c>
      <c r="K353" s="72" t="s">
        <v>11</v>
      </c>
      <c r="L353" s="11" t="s">
        <v>1201</v>
      </c>
      <c r="M353" s="11" t="s">
        <v>864</v>
      </c>
      <c r="N353" s="60" t="s">
        <v>98</v>
      </c>
      <c r="O353" s="49" t="s">
        <v>2</v>
      </c>
      <c r="P353" s="11">
        <v>4</v>
      </c>
      <c r="Q353" s="11" t="s">
        <v>1698</v>
      </c>
      <c r="R353" s="11" t="s">
        <v>1598</v>
      </c>
      <c r="S353" t="str">
        <f>IFERROR(HYPERLINK("#Main!A"&amp;MATCH(A353,Main!A:A,0),"Open"),HYPERLINK("#Main!A1","Open"))</f>
        <v>Open</v>
      </c>
      <c r="T353" t="str">
        <f>IFERROR(HYPERLINK("#Technical!A"&amp;MATCH(A353,Technical!A:A,0),"Open"),HYPERLINK("#Technical!A1","Open"))</f>
        <v>Open</v>
      </c>
    </row>
    <row r="354" spans="1:21" ht="30" customHeight="1" x14ac:dyDescent="0.25">
      <c r="A354" s="59" t="s">
        <v>535</v>
      </c>
      <c r="B354" s="8">
        <v>19980</v>
      </c>
      <c r="C354" s="43" t="s">
        <v>1346</v>
      </c>
      <c r="D354" s="8" t="s">
        <v>1223</v>
      </c>
      <c r="E354" s="64" t="s">
        <v>68</v>
      </c>
      <c r="F354" s="8" t="s">
        <v>1599</v>
      </c>
      <c r="G354" s="36">
        <v>37</v>
      </c>
      <c r="H354" s="8">
        <v>193</v>
      </c>
      <c r="I354" s="8" t="s">
        <v>1233</v>
      </c>
      <c r="J354" s="8" t="s">
        <v>1600</v>
      </c>
      <c r="K354" s="71" t="s">
        <v>6</v>
      </c>
      <c r="L354" s="8" t="s">
        <v>891</v>
      </c>
      <c r="M354" s="8" t="s">
        <v>864</v>
      </c>
      <c r="N354" s="60" t="s">
        <v>98</v>
      </c>
      <c r="O354" s="49" t="s">
        <v>2</v>
      </c>
      <c r="P354" s="8">
        <v>4</v>
      </c>
      <c r="Q354" s="8" t="s">
        <v>1699</v>
      </c>
      <c r="R354" s="8" t="s">
        <v>1602</v>
      </c>
      <c r="S354" s="9" t="str">
        <f>IFERROR(HYPERLINK("#Main!A"&amp;MATCH(A354,Main!A:A,0),"Open"),HYPERLINK("#Main!A1","Open"))</f>
        <v>Open</v>
      </c>
      <c r="T354" s="9" t="str">
        <f>IFERROR(HYPERLINK("#Technical!A"&amp;MATCH(A354,Technical!A:A,0),"Open"),HYPERLINK("#Technical!A1","Open"))</f>
        <v>Open</v>
      </c>
      <c r="U354" s="9"/>
    </row>
    <row r="355" spans="1:21" ht="30" customHeight="1" x14ac:dyDescent="0.25">
      <c r="A355" s="58" t="s">
        <v>535</v>
      </c>
      <c r="B355" s="11">
        <v>19980</v>
      </c>
      <c r="C355" s="43" t="s">
        <v>1346</v>
      </c>
      <c r="D355" s="11" t="s">
        <v>1223</v>
      </c>
      <c r="E355" s="64" t="s">
        <v>68</v>
      </c>
      <c r="F355" s="11" t="s">
        <v>1594</v>
      </c>
      <c r="G355" s="10">
        <v>37</v>
      </c>
      <c r="H355" s="11">
        <v>0</v>
      </c>
      <c r="I355" s="11" t="s">
        <v>1595</v>
      </c>
      <c r="J355" s="11" t="s">
        <v>1596</v>
      </c>
      <c r="K355" s="72" t="s">
        <v>11</v>
      </c>
      <c r="L355" s="11" t="s">
        <v>1201</v>
      </c>
      <c r="M355" s="11" t="s">
        <v>864</v>
      </c>
      <c r="N355" s="60" t="s">
        <v>98</v>
      </c>
      <c r="O355" s="49" t="s">
        <v>2</v>
      </c>
      <c r="P355" s="11">
        <v>4</v>
      </c>
      <c r="Q355" s="11" t="s">
        <v>1700</v>
      </c>
      <c r="R355" s="11" t="s">
        <v>1598</v>
      </c>
      <c r="S355" t="str">
        <f>IFERROR(HYPERLINK("#Main!A"&amp;MATCH(A355,Main!A:A,0),"Open"),HYPERLINK("#Main!A1","Open"))</f>
        <v>Open</v>
      </c>
      <c r="T355" t="str">
        <f>IFERROR(HYPERLINK("#Technical!A"&amp;MATCH(A355,Technical!A:A,0),"Open"),HYPERLINK("#Technical!A1","Open"))</f>
        <v>Open</v>
      </c>
    </row>
    <row r="356" spans="1:21" ht="30" customHeight="1" x14ac:dyDescent="0.25">
      <c r="A356" s="59" t="s">
        <v>543</v>
      </c>
      <c r="B356" s="8">
        <v>10823</v>
      </c>
      <c r="C356" s="43" t="s">
        <v>1348</v>
      </c>
      <c r="D356" s="8" t="s">
        <v>1223</v>
      </c>
      <c r="E356" s="64" t="s">
        <v>68</v>
      </c>
      <c r="F356" s="8" t="s">
        <v>1625</v>
      </c>
      <c r="G356" s="36">
        <v>37</v>
      </c>
      <c r="H356" s="8">
        <v>92</v>
      </c>
      <c r="I356" s="8" t="s">
        <v>1233</v>
      </c>
      <c r="J356" s="8" t="s">
        <v>1626</v>
      </c>
      <c r="K356" s="71" t="s">
        <v>6</v>
      </c>
      <c r="L356" s="8" t="s">
        <v>891</v>
      </c>
      <c r="M356" s="8" t="s">
        <v>864</v>
      </c>
      <c r="N356" s="60" t="s">
        <v>98</v>
      </c>
      <c r="O356" s="49" t="s">
        <v>2</v>
      </c>
      <c r="P356" s="8">
        <v>4</v>
      </c>
      <c r="Q356" s="8" t="s">
        <v>1701</v>
      </c>
      <c r="R356" s="8" t="s">
        <v>1628</v>
      </c>
      <c r="S356" s="9" t="str">
        <f>IFERROR(HYPERLINK("#Main!A"&amp;MATCH(A356,Main!A:A,0),"Open"),HYPERLINK("#Main!A1","Open"))</f>
        <v>Open</v>
      </c>
      <c r="T356" s="9" t="str">
        <f>IFERROR(HYPERLINK("#Technical!A"&amp;MATCH(A356,Technical!A:A,0),"Open"),HYPERLINK("#Technical!A1","Open"))</f>
        <v>Open</v>
      </c>
      <c r="U356" s="9"/>
    </row>
    <row r="357" spans="1:21" ht="30" customHeight="1" x14ac:dyDescent="0.25">
      <c r="A357" s="58" t="s">
        <v>543</v>
      </c>
      <c r="B357" s="11">
        <v>10823</v>
      </c>
      <c r="C357" s="43" t="s">
        <v>1348</v>
      </c>
      <c r="D357" s="11" t="s">
        <v>1223</v>
      </c>
      <c r="E357" s="64" t="s">
        <v>68</v>
      </c>
      <c r="F357" s="11" t="s">
        <v>1594</v>
      </c>
      <c r="G357" s="10">
        <v>37</v>
      </c>
      <c r="H357" s="11">
        <v>0</v>
      </c>
      <c r="I357" s="11" t="s">
        <v>1595</v>
      </c>
      <c r="J357" s="11" t="s">
        <v>1596</v>
      </c>
      <c r="K357" s="72" t="s">
        <v>11</v>
      </c>
      <c r="L357" s="11" t="s">
        <v>1201</v>
      </c>
      <c r="M357" s="11" t="s">
        <v>864</v>
      </c>
      <c r="N357" s="60" t="s">
        <v>98</v>
      </c>
      <c r="O357" s="49" t="s">
        <v>2</v>
      </c>
      <c r="P357" s="11">
        <v>4</v>
      </c>
      <c r="Q357" s="11" t="s">
        <v>1702</v>
      </c>
      <c r="R357" s="11" t="s">
        <v>1598</v>
      </c>
      <c r="S357" t="str">
        <f>IFERROR(HYPERLINK("#Main!A"&amp;MATCH(A357,Main!A:A,0),"Open"),HYPERLINK("#Main!A1","Open"))</f>
        <v>Open</v>
      </c>
      <c r="T357" t="str">
        <f>IFERROR(HYPERLINK("#Technical!A"&amp;MATCH(A357,Technical!A:A,0),"Open"),HYPERLINK("#Technical!A1","Open"))</f>
        <v>Open</v>
      </c>
    </row>
    <row r="358" spans="1:21" ht="30" customHeight="1" x14ac:dyDescent="0.25">
      <c r="A358" s="59" t="s">
        <v>551</v>
      </c>
      <c r="B358" s="8">
        <v>9075</v>
      </c>
      <c r="C358" s="43" t="s">
        <v>1350</v>
      </c>
      <c r="D358" s="8" t="s">
        <v>1223</v>
      </c>
      <c r="E358" s="64" t="s">
        <v>68</v>
      </c>
      <c r="F358" s="8" t="s">
        <v>1594</v>
      </c>
      <c r="G358" s="36">
        <v>37</v>
      </c>
      <c r="H358" s="8">
        <v>0</v>
      </c>
      <c r="I358" s="8" t="s">
        <v>1595</v>
      </c>
      <c r="J358" s="8" t="s">
        <v>1596</v>
      </c>
      <c r="K358" s="71" t="s">
        <v>11</v>
      </c>
      <c r="L358" s="8" t="s">
        <v>1201</v>
      </c>
      <c r="M358" s="8" t="s">
        <v>864</v>
      </c>
      <c r="N358" s="60" t="s">
        <v>98</v>
      </c>
      <c r="O358" s="49" t="s">
        <v>2</v>
      </c>
      <c r="P358" s="8">
        <v>4</v>
      </c>
      <c r="Q358" s="8" t="s">
        <v>1703</v>
      </c>
      <c r="R358" s="8" t="s">
        <v>1598</v>
      </c>
      <c r="S358" s="9" t="str">
        <f>IFERROR(HYPERLINK("#Main!A"&amp;MATCH(A358,Main!A:A,0),"Open"),HYPERLINK("#Main!A1","Open"))</f>
        <v>Open</v>
      </c>
      <c r="T358" s="9" t="str">
        <f>IFERROR(HYPERLINK("#Technical!A"&amp;MATCH(A358,Technical!A:A,0),"Open"),HYPERLINK("#Technical!A1","Open"))</f>
        <v>Open</v>
      </c>
      <c r="U358" s="9"/>
    </row>
    <row r="359" spans="1:21" ht="30" customHeight="1" x14ac:dyDescent="0.25">
      <c r="A359" s="58" t="s">
        <v>559</v>
      </c>
      <c r="B359" s="11">
        <v>17908</v>
      </c>
      <c r="C359" s="43" t="s">
        <v>1352</v>
      </c>
      <c r="D359" s="11" t="s">
        <v>1223</v>
      </c>
      <c r="E359" s="64" t="s">
        <v>68</v>
      </c>
      <c r="F359" s="11" t="s">
        <v>1625</v>
      </c>
      <c r="G359" s="10">
        <v>37</v>
      </c>
      <c r="H359" s="11">
        <v>44</v>
      </c>
      <c r="I359" s="11" t="s">
        <v>1233</v>
      </c>
      <c r="J359" s="11" t="s">
        <v>1626</v>
      </c>
      <c r="K359" s="72" t="s">
        <v>6</v>
      </c>
      <c r="L359" s="11" t="s">
        <v>891</v>
      </c>
      <c r="M359" s="11" t="s">
        <v>864</v>
      </c>
      <c r="N359" s="60" t="s">
        <v>98</v>
      </c>
      <c r="O359" s="49" t="s">
        <v>2</v>
      </c>
      <c r="P359" s="11">
        <v>4</v>
      </c>
      <c r="Q359" s="11" t="s">
        <v>1704</v>
      </c>
      <c r="R359" s="11" t="s">
        <v>1628</v>
      </c>
      <c r="S359" t="str">
        <f>IFERROR(HYPERLINK("#Main!A"&amp;MATCH(A359,Main!A:A,0),"Open"),HYPERLINK("#Main!A1","Open"))</f>
        <v>Open</v>
      </c>
      <c r="T359" t="str">
        <f>IFERROR(HYPERLINK("#Technical!A"&amp;MATCH(A359,Technical!A:A,0),"Open"),HYPERLINK("#Technical!A1","Open"))</f>
        <v>Open</v>
      </c>
    </row>
    <row r="360" spans="1:21" ht="30" customHeight="1" x14ac:dyDescent="0.25">
      <c r="A360" s="59" t="s">
        <v>559</v>
      </c>
      <c r="B360" s="8">
        <v>17908</v>
      </c>
      <c r="C360" s="43" t="s">
        <v>1352</v>
      </c>
      <c r="D360" s="8" t="s">
        <v>1223</v>
      </c>
      <c r="E360" s="64" t="s">
        <v>68</v>
      </c>
      <c r="F360" s="8" t="s">
        <v>1594</v>
      </c>
      <c r="G360" s="36">
        <v>37</v>
      </c>
      <c r="H360" s="8">
        <v>0</v>
      </c>
      <c r="I360" s="8" t="s">
        <v>1595</v>
      </c>
      <c r="J360" s="8" t="s">
        <v>1596</v>
      </c>
      <c r="K360" s="71" t="s">
        <v>11</v>
      </c>
      <c r="L360" s="8" t="s">
        <v>1201</v>
      </c>
      <c r="M360" s="8" t="s">
        <v>864</v>
      </c>
      <c r="N360" s="60" t="s">
        <v>98</v>
      </c>
      <c r="O360" s="49" t="s">
        <v>2</v>
      </c>
      <c r="P360" s="8">
        <v>4</v>
      </c>
      <c r="Q360" s="8" t="s">
        <v>1705</v>
      </c>
      <c r="R360" s="8" t="s">
        <v>1598</v>
      </c>
      <c r="S360" s="9" t="str">
        <f>IFERROR(HYPERLINK("#Main!A"&amp;MATCH(A360,Main!A:A,0),"Open"),HYPERLINK("#Main!A1","Open"))</f>
        <v>Open</v>
      </c>
      <c r="T360" s="9" t="str">
        <f>IFERROR(HYPERLINK("#Technical!A"&amp;MATCH(A360,Technical!A:A,0),"Open"),HYPERLINK("#Technical!A1","Open"))</f>
        <v>Open</v>
      </c>
      <c r="U360" s="9"/>
    </row>
    <row r="361" spans="1:21" ht="30" customHeight="1" x14ac:dyDescent="0.25">
      <c r="A361" s="58" t="s">
        <v>566</v>
      </c>
      <c r="B361" s="11">
        <v>24640</v>
      </c>
      <c r="C361" s="43" t="s">
        <v>1354</v>
      </c>
      <c r="D361" s="11" t="s">
        <v>1223</v>
      </c>
      <c r="E361" s="64" t="s">
        <v>68</v>
      </c>
      <c r="F361" s="11" t="s">
        <v>1594</v>
      </c>
      <c r="G361" s="10">
        <v>37</v>
      </c>
      <c r="H361" s="11">
        <v>0</v>
      </c>
      <c r="I361" s="11" t="s">
        <v>1595</v>
      </c>
      <c r="J361" s="11" t="s">
        <v>1596</v>
      </c>
      <c r="K361" s="72" t="s">
        <v>11</v>
      </c>
      <c r="L361" s="11" t="s">
        <v>1201</v>
      </c>
      <c r="M361" s="11" t="s">
        <v>864</v>
      </c>
      <c r="N361" s="60" t="s">
        <v>98</v>
      </c>
      <c r="O361" s="49" t="s">
        <v>2</v>
      </c>
      <c r="P361" s="11">
        <v>4</v>
      </c>
      <c r="Q361" s="11" t="s">
        <v>1706</v>
      </c>
      <c r="R361" s="11" t="s">
        <v>1598</v>
      </c>
      <c r="S361" t="str">
        <f>IFERROR(HYPERLINK("#Main!A"&amp;MATCH(A361,Main!A:A,0),"Open"),HYPERLINK("#Main!A1","Open"))</f>
        <v>Open</v>
      </c>
      <c r="T361" t="str">
        <f>IFERROR(HYPERLINK("#Technical!A"&amp;MATCH(A361,Technical!A:A,0),"Open"),HYPERLINK("#Technical!A1","Open"))</f>
        <v>Open</v>
      </c>
    </row>
    <row r="362" spans="1:21" ht="30" customHeight="1" x14ac:dyDescent="0.25">
      <c r="A362" s="59" t="s">
        <v>574</v>
      </c>
      <c r="B362" s="8">
        <v>16472</v>
      </c>
      <c r="C362" s="43" t="s">
        <v>1356</v>
      </c>
      <c r="D362" s="8" t="s">
        <v>1223</v>
      </c>
      <c r="E362" s="64" t="s">
        <v>68</v>
      </c>
      <c r="F362" s="8" t="s">
        <v>1599</v>
      </c>
      <c r="G362" s="36">
        <v>37</v>
      </c>
      <c r="H362" s="8">
        <v>800</v>
      </c>
      <c r="I362" s="8" t="s">
        <v>1233</v>
      </c>
      <c r="J362" s="8" t="s">
        <v>1600</v>
      </c>
      <c r="K362" s="71" t="s">
        <v>6</v>
      </c>
      <c r="L362" s="8" t="s">
        <v>891</v>
      </c>
      <c r="M362" s="8" t="s">
        <v>864</v>
      </c>
      <c r="N362" s="60" t="s">
        <v>98</v>
      </c>
      <c r="O362" s="49" t="s">
        <v>2</v>
      </c>
      <c r="P362" s="8">
        <v>4</v>
      </c>
      <c r="Q362" s="8" t="s">
        <v>1707</v>
      </c>
      <c r="R362" s="8" t="s">
        <v>1602</v>
      </c>
      <c r="S362" s="9" t="str">
        <f>IFERROR(HYPERLINK("#Main!A"&amp;MATCH(A362,Main!A:A,0),"Open"),HYPERLINK("#Main!A1","Open"))</f>
        <v>Open</v>
      </c>
      <c r="T362" s="9" t="str">
        <f>IFERROR(HYPERLINK("#Technical!A"&amp;MATCH(A362,Technical!A:A,0),"Open"),HYPERLINK("#Technical!A1","Open"))</f>
        <v>Open</v>
      </c>
      <c r="U362" s="9"/>
    </row>
    <row r="363" spans="1:21" ht="30" customHeight="1" x14ac:dyDescent="0.25">
      <c r="A363" s="58" t="s">
        <v>574</v>
      </c>
      <c r="B363" s="11">
        <v>16472</v>
      </c>
      <c r="C363" s="43" t="s">
        <v>1356</v>
      </c>
      <c r="D363" s="11" t="s">
        <v>1223</v>
      </c>
      <c r="E363" s="64" t="s">
        <v>68</v>
      </c>
      <c r="F363" s="11" t="s">
        <v>1594</v>
      </c>
      <c r="G363" s="10">
        <v>37</v>
      </c>
      <c r="H363" s="11">
        <v>0</v>
      </c>
      <c r="I363" s="11" t="s">
        <v>1595</v>
      </c>
      <c r="J363" s="11" t="s">
        <v>1596</v>
      </c>
      <c r="K363" s="72" t="s">
        <v>11</v>
      </c>
      <c r="L363" s="11" t="s">
        <v>1201</v>
      </c>
      <c r="M363" s="11" t="s">
        <v>864</v>
      </c>
      <c r="N363" s="60" t="s">
        <v>98</v>
      </c>
      <c r="O363" s="49" t="s">
        <v>2</v>
      </c>
      <c r="P363" s="11">
        <v>4</v>
      </c>
      <c r="Q363" s="11" t="s">
        <v>1708</v>
      </c>
      <c r="R363" s="11" t="s">
        <v>1598</v>
      </c>
      <c r="S363" t="str">
        <f>IFERROR(HYPERLINK("#Main!A"&amp;MATCH(A363,Main!A:A,0),"Open"),HYPERLINK("#Main!A1","Open"))</f>
        <v>Open</v>
      </c>
      <c r="T363" t="str">
        <f>IFERROR(HYPERLINK("#Technical!A"&amp;MATCH(A363,Technical!A:A,0),"Open"),HYPERLINK("#Technical!A1","Open"))</f>
        <v>Open</v>
      </c>
    </row>
    <row r="364" spans="1:21" ht="30" customHeight="1" x14ac:dyDescent="0.25">
      <c r="A364" s="59" t="s">
        <v>582</v>
      </c>
      <c r="B364" s="8">
        <v>92</v>
      </c>
      <c r="C364" s="43" t="s">
        <v>1358</v>
      </c>
      <c r="D364" s="8" t="s">
        <v>1223</v>
      </c>
      <c r="E364" s="64" t="s">
        <v>68</v>
      </c>
      <c r="F364" s="8" t="s">
        <v>1625</v>
      </c>
      <c r="G364" s="36">
        <v>37</v>
      </c>
      <c r="H364" s="8">
        <v>79</v>
      </c>
      <c r="I364" s="8" t="s">
        <v>1233</v>
      </c>
      <c r="J364" s="8" t="s">
        <v>1626</v>
      </c>
      <c r="K364" s="71" t="s">
        <v>6</v>
      </c>
      <c r="L364" s="8" t="s">
        <v>891</v>
      </c>
      <c r="M364" s="8" t="s">
        <v>864</v>
      </c>
      <c r="N364" s="60" t="s">
        <v>98</v>
      </c>
      <c r="O364" s="49" t="s">
        <v>2</v>
      </c>
      <c r="P364" s="8">
        <v>4</v>
      </c>
      <c r="Q364" s="8" t="s">
        <v>1709</v>
      </c>
      <c r="R364" s="8" t="s">
        <v>1628</v>
      </c>
      <c r="S364" s="9" t="str">
        <f>IFERROR(HYPERLINK("#Main!A"&amp;MATCH(A364,Main!A:A,0),"Open"),HYPERLINK("#Main!A1","Open"))</f>
        <v>Open</v>
      </c>
      <c r="T364" s="9" t="str">
        <f>IFERROR(HYPERLINK("#Technical!A"&amp;MATCH(A364,Technical!A:A,0),"Open"),HYPERLINK("#Technical!A1","Open"))</f>
        <v>Open</v>
      </c>
      <c r="U364" s="9"/>
    </row>
    <row r="365" spans="1:21" ht="30" customHeight="1" x14ac:dyDescent="0.25">
      <c r="A365" s="58" t="s">
        <v>582</v>
      </c>
      <c r="B365" s="11">
        <v>92</v>
      </c>
      <c r="C365" s="43" t="s">
        <v>1358</v>
      </c>
      <c r="D365" s="11" t="s">
        <v>1223</v>
      </c>
      <c r="E365" s="64" t="s">
        <v>68</v>
      </c>
      <c r="F365" s="11" t="s">
        <v>1594</v>
      </c>
      <c r="G365" s="10">
        <v>37</v>
      </c>
      <c r="H365" s="11">
        <v>0</v>
      </c>
      <c r="I365" s="11" t="s">
        <v>1595</v>
      </c>
      <c r="J365" s="11" t="s">
        <v>1596</v>
      </c>
      <c r="K365" s="72" t="s">
        <v>11</v>
      </c>
      <c r="L365" s="11" t="s">
        <v>1201</v>
      </c>
      <c r="M365" s="11" t="s">
        <v>864</v>
      </c>
      <c r="N365" s="60" t="s">
        <v>98</v>
      </c>
      <c r="O365" s="49" t="s">
        <v>2</v>
      </c>
      <c r="P365" s="11">
        <v>4</v>
      </c>
      <c r="Q365" s="11" t="s">
        <v>1710</v>
      </c>
      <c r="R365" s="11" t="s">
        <v>1598</v>
      </c>
      <c r="S365" t="str">
        <f>IFERROR(HYPERLINK("#Main!A"&amp;MATCH(A365,Main!A:A,0),"Open"),HYPERLINK("#Main!A1","Open"))</f>
        <v>Open</v>
      </c>
      <c r="T365" t="str">
        <f>IFERROR(HYPERLINK("#Technical!A"&amp;MATCH(A365,Technical!A:A,0),"Open"),HYPERLINK("#Technical!A1","Open"))</f>
        <v>Open</v>
      </c>
    </row>
    <row r="366" spans="1:21" ht="30" customHeight="1" x14ac:dyDescent="0.25">
      <c r="A366" s="59" t="s">
        <v>590</v>
      </c>
      <c r="B366" s="8">
        <v>18478</v>
      </c>
      <c r="C366" s="43" t="s">
        <v>1360</v>
      </c>
      <c r="D366" s="8" t="s">
        <v>1223</v>
      </c>
      <c r="E366" s="64" t="s">
        <v>68</v>
      </c>
      <c r="F366" s="8" t="s">
        <v>1625</v>
      </c>
      <c r="G366" s="36">
        <v>37</v>
      </c>
      <c r="H366" s="8">
        <v>100</v>
      </c>
      <c r="I366" s="8" t="s">
        <v>1233</v>
      </c>
      <c r="J366" s="8" t="s">
        <v>1626</v>
      </c>
      <c r="K366" s="71" t="s">
        <v>6</v>
      </c>
      <c r="L366" s="8" t="s">
        <v>891</v>
      </c>
      <c r="M366" s="8" t="s">
        <v>864</v>
      </c>
      <c r="N366" s="60" t="s">
        <v>98</v>
      </c>
      <c r="O366" s="49" t="s">
        <v>2</v>
      </c>
      <c r="P366" s="8">
        <v>4</v>
      </c>
      <c r="Q366" s="8" t="s">
        <v>1711</v>
      </c>
      <c r="R366" s="8" t="s">
        <v>1628</v>
      </c>
      <c r="S366" s="9" t="str">
        <f>IFERROR(HYPERLINK("#Main!A"&amp;MATCH(A366,Main!A:A,0),"Open"),HYPERLINK("#Main!A1","Open"))</f>
        <v>Open</v>
      </c>
      <c r="T366" s="9" t="str">
        <f>IFERROR(HYPERLINK("#Technical!A"&amp;MATCH(A366,Technical!A:A,0),"Open"),HYPERLINK("#Technical!A1","Open"))</f>
        <v>Open</v>
      </c>
      <c r="U366" s="9"/>
    </row>
    <row r="367" spans="1:21" ht="30" customHeight="1" x14ac:dyDescent="0.25">
      <c r="A367" s="58" t="s">
        <v>590</v>
      </c>
      <c r="B367" s="11">
        <v>18478</v>
      </c>
      <c r="C367" s="43" t="s">
        <v>1360</v>
      </c>
      <c r="D367" s="11" t="s">
        <v>1223</v>
      </c>
      <c r="E367" s="64" t="s">
        <v>68</v>
      </c>
      <c r="F367" s="11" t="s">
        <v>1594</v>
      </c>
      <c r="G367" s="10">
        <v>37</v>
      </c>
      <c r="H367" s="11">
        <v>0</v>
      </c>
      <c r="I367" s="11" t="s">
        <v>1595</v>
      </c>
      <c r="J367" s="11" t="s">
        <v>1596</v>
      </c>
      <c r="K367" s="72" t="s">
        <v>11</v>
      </c>
      <c r="L367" s="11" t="s">
        <v>1201</v>
      </c>
      <c r="M367" s="11" t="s">
        <v>864</v>
      </c>
      <c r="N367" s="60" t="s">
        <v>98</v>
      </c>
      <c r="O367" s="49" t="s">
        <v>2</v>
      </c>
      <c r="P367" s="11">
        <v>4</v>
      </c>
      <c r="Q367" s="11" t="s">
        <v>1712</v>
      </c>
      <c r="R367" s="11" t="s">
        <v>1598</v>
      </c>
      <c r="S367" t="str">
        <f>IFERROR(HYPERLINK("#Main!A"&amp;MATCH(A367,Main!A:A,0),"Open"),HYPERLINK("#Main!A1","Open"))</f>
        <v>Open</v>
      </c>
      <c r="T367" t="str">
        <f>IFERROR(HYPERLINK("#Technical!A"&amp;MATCH(A367,Technical!A:A,0),"Open"),HYPERLINK("#Technical!A1","Open"))</f>
        <v>Open</v>
      </c>
    </row>
    <row r="368" spans="1:21" ht="30" customHeight="1" x14ac:dyDescent="0.25">
      <c r="A368" s="59" t="s">
        <v>598</v>
      </c>
      <c r="B368" s="8">
        <v>19172</v>
      </c>
      <c r="C368" s="43" t="s">
        <v>1362</v>
      </c>
      <c r="D368" s="8" t="s">
        <v>1223</v>
      </c>
      <c r="E368" s="64" t="s">
        <v>68</v>
      </c>
      <c r="F368" s="8" t="s">
        <v>1625</v>
      </c>
      <c r="G368" s="36">
        <v>37</v>
      </c>
      <c r="H368" s="8">
        <v>68</v>
      </c>
      <c r="I368" s="8" t="s">
        <v>1233</v>
      </c>
      <c r="J368" s="8" t="s">
        <v>1626</v>
      </c>
      <c r="K368" s="71" t="s">
        <v>6</v>
      </c>
      <c r="L368" s="8" t="s">
        <v>891</v>
      </c>
      <c r="M368" s="8" t="s">
        <v>864</v>
      </c>
      <c r="N368" s="60" t="s">
        <v>98</v>
      </c>
      <c r="O368" s="49" t="s">
        <v>2</v>
      </c>
      <c r="P368" s="8">
        <v>4</v>
      </c>
      <c r="Q368" s="8" t="s">
        <v>1713</v>
      </c>
      <c r="R368" s="8" t="s">
        <v>1628</v>
      </c>
      <c r="S368" s="9" t="str">
        <f>IFERROR(HYPERLINK("#Main!A"&amp;MATCH(A368,Main!A:A,0),"Open"),HYPERLINK("#Main!A1","Open"))</f>
        <v>Open</v>
      </c>
      <c r="T368" s="9" t="str">
        <f>IFERROR(HYPERLINK("#Technical!A"&amp;MATCH(A368,Technical!A:A,0),"Open"),HYPERLINK("#Technical!A1","Open"))</f>
        <v>Open</v>
      </c>
      <c r="U368" s="9"/>
    </row>
    <row r="369" spans="1:21" ht="30" customHeight="1" x14ac:dyDescent="0.25">
      <c r="A369" s="58" t="s">
        <v>598</v>
      </c>
      <c r="B369" s="11">
        <v>19172</v>
      </c>
      <c r="C369" s="43" t="s">
        <v>1362</v>
      </c>
      <c r="D369" s="11" t="s">
        <v>1223</v>
      </c>
      <c r="E369" s="64" t="s">
        <v>68</v>
      </c>
      <c r="F369" s="11" t="s">
        <v>1594</v>
      </c>
      <c r="G369" s="10">
        <v>37</v>
      </c>
      <c r="H369" s="11">
        <v>0</v>
      </c>
      <c r="I369" s="11" t="s">
        <v>1595</v>
      </c>
      <c r="J369" s="11" t="s">
        <v>1596</v>
      </c>
      <c r="K369" s="72" t="s">
        <v>11</v>
      </c>
      <c r="L369" s="11" t="s">
        <v>1201</v>
      </c>
      <c r="M369" s="11" t="s">
        <v>864</v>
      </c>
      <c r="N369" s="60" t="s">
        <v>98</v>
      </c>
      <c r="O369" s="49" t="s">
        <v>2</v>
      </c>
      <c r="P369" s="11">
        <v>4</v>
      </c>
      <c r="Q369" s="11" t="s">
        <v>1714</v>
      </c>
      <c r="R369" s="11" t="s">
        <v>1598</v>
      </c>
      <c r="S369" t="str">
        <f>IFERROR(HYPERLINK("#Main!A"&amp;MATCH(A369,Main!A:A,0),"Open"),HYPERLINK("#Main!A1","Open"))</f>
        <v>Open</v>
      </c>
      <c r="T369" t="str">
        <f>IFERROR(HYPERLINK("#Technical!A"&amp;MATCH(A369,Technical!A:A,0),"Open"),HYPERLINK("#Technical!A1","Open"))</f>
        <v>Open</v>
      </c>
    </row>
    <row r="370" spans="1:21" ht="30" customHeight="1" x14ac:dyDescent="0.25">
      <c r="A370" s="59" t="s">
        <v>606</v>
      </c>
      <c r="B370" s="8">
        <v>88</v>
      </c>
      <c r="C370" s="43" t="s">
        <v>1364</v>
      </c>
      <c r="D370" s="8" t="s">
        <v>1223</v>
      </c>
      <c r="E370" s="64" t="s">
        <v>68</v>
      </c>
      <c r="F370" s="8" t="s">
        <v>1599</v>
      </c>
      <c r="G370" s="36">
        <v>37</v>
      </c>
      <c r="H370" s="8">
        <v>344</v>
      </c>
      <c r="I370" s="8" t="s">
        <v>1233</v>
      </c>
      <c r="J370" s="8" t="s">
        <v>1600</v>
      </c>
      <c r="K370" s="71" t="s">
        <v>6</v>
      </c>
      <c r="L370" s="8" t="s">
        <v>891</v>
      </c>
      <c r="M370" s="8" t="s">
        <v>864</v>
      </c>
      <c r="N370" s="60" t="s">
        <v>98</v>
      </c>
      <c r="O370" s="49" t="s">
        <v>2</v>
      </c>
      <c r="P370" s="8">
        <v>4</v>
      </c>
      <c r="Q370" s="8" t="s">
        <v>1715</v>
      </c>
      <c r="R370" s="8" t="s">
        <v>1602</v>
      </c>
      <c r="S370" s="9" t="str">
        <f>IFERROR(HYPERLINK("#Main!A"&amp;MATCH(A370,Main!A:A,0),"Open"),HYPERLINK("#Main!A1","Open"))</f>
        <v>Open</v>
      </c>
      <c r="T370" s="9" t="str">
        <f>IFERROR(HYPERLINK("#Technical!A"&amp;MATCH(A370,Technical!A:A,0),"Open"),HYPERLINK("#Technical!A1","Open"))</f>
        <v>Open</v>
      </c>
      <c r="U370" s="9"/>
    </row>
    <row r="371" spans="1:21" ht="30" customHeight="1" x14ac:dyDescent="0.25">
      <c r="A371" s="58" t="s">
        <v>606</v>
      </c>
      <c r="B371" s="11">
        <v>88</v>
      </c>
      <c r="C371" s="43" t="s">
        <v>1364</v>
      </c>
      <c r="D371" s="11" t="s">
        <v>1223</v>
      </c>
      <c r="E371" s="64" t="s">
        <v>68</v>
      </c>
      <c r="F371" s="11" t="s">
        <v>1594</v>
      </c>
      <c r="G371" s="10">
        <v>37</v>
      </c>
      <c r="H371" s="11">
        <v>0</v>
      </c>
      <c r="I371" s="11" t="s">
        <v>1595</v>
      </c>
      <c r="J371" s="11" t="s">
        <v>1596</v>
      </c>
      <c r="K371" s="72" t="s">
        <v>11</v>
      </c>
      <c r="L371" s="11" t="s">
        <v>1201</v>
      </c>
      <c r="M371" s="11" t="s">
        <v>864</v>
      </c>
      <c r="N371" s="60" t="s">
        <v>98</v>
      </c>
      <c r="O371" s="49" t="s">
        <v>2</v>
      </c>
      <c r="P371" s="11">
        <v>4</v>
      </c>
      <c r="Q371" s="11" t="s">
        <v>1716</v>
      </c>
      <c r="R371" s="11" t="s">
        <v>1598</v>
      </c>
      <c r="S371" t="str">
        <f>IFERROR(HYPERLINK("#Main!A"&amp;MATCH(A371,Main!A:A,0),"Open"),HYPERLINK("#Main!A1","Open"))</f>
        <v>Open</v>
      </c>
      <c r="T371" t="str">
        <f>IFERROR(HYPERLINK("#Technical!A"&amp;MATCH(A371,Technical!A:A,0),"Open"),HYPERLINK("#Technical!A1","Open"))</f>
        <v>Open</v>
      </c>
    </row>
    <row r="372" spans="1:21" ht="30" customHeight="1" x14ac:dyDescent="0.25">
      <c r="A372" s="59" t="s">
        <v>614</v>
      </c>
      <c r="B372" s="8">
        <v>16548</v>
      </c>
      <c r="C372" s="43" t="s">
        <v>1366</v>
      </c>
      <c r="D372" s="8" t="s">
        <v>1223</v>
      </c>
      <c r="E372" s="64" t="s">
        <v>68</v>
      </c>
      <c r="F372" s="8" t="s">
        <v>1599</v>
      </c>
      <c r="G372" s="36">
        <v>37</v>
      </c>
      <c r="H372" s="8">
        <v>216</v>
      </c>
      <c r="I372" s="8" t="s">
        <v>1233</v>
      </c>
      <c r="J372" s="8" t="s">
        <v>1600</v>
      </c>
      <c r="K372" s="71" t="s">
        <v>6</v>
      </c>
      <c r="L372" s="8" t="s">
        <v>891</v>
      </c>
      <c r="M372" s="8" t="s">
        <v>864</v>
      </c>
      <c r="N372" s="60" t="s">
        <v>98</v>
      </c>
      <c r="O372" s="49" t="s">
        <v>2</v>
      </c>
      <c r="P372" s="8">
        <v>4</v>
      </c>
      <c r="Q372" s="8" t="s">
        <v>1717</v>
      </c>
      <c r="R372" s="8" t="s">
        <v>1602</v>
      </c>
      <c r="S372" s="9" t="str">
        <f>IFERROR(HYPERLINK("#Main!A"&amp;MATCH(A372,Main!A:A,0),"Open"),HYPERLINK("#Main!A1","Open"))</f>
        <v>Open</v>
      </c>
      <c r="T372" s="9" t="str">
        <f>IFERROR(HYPERLINK("#Technical!A"&amp;MATCH(A372,Technical!A:A,0),"Open"),HYPERLINK("#Technical!A1","Open"))</f>
        <v>Open</v>
      </c>
      <c r="U372" s="9"/>
    </row>
    <row r="373" spans="1:21" ht="30" customHeight="1" x14ac:dyDescent="0.25">
      <c r="A373" s="58" t="s">
        <v>614</v>
      </c>
      <c r="B373" s="11">
        <v>16548</v>
      </c>
      <c r="C373" s="43" t="s">
        <v>1366</v>
      </c>
      <c r="D373" s="11" t="s">
        <v>1223</v>
      </c>
      <c r="E373" s="64" t="s">
        <v>68</v>
      </c>
      <c r="F373" s="11" t="s">
        <v>1594</v>
      </c>
      <c r="G373" s="10">
        <v>37</v>
      </c>
      <c r="H373" s="11">
        <v>0</v>
      </c>
      <c r="I373" s="11" t="s">
        <v>1595</v>
      </c>
      <c r="J373" s="11" t="s">
        <v>1596</v>
      </c>
      <c r="K373" s="72" t="s">
        <v>11</v>
      </c>
      <c r="L373" s="11" t="s">
        <v>1201</v>
      </c>
      <c r="M373" s="11" t="s">
        <v>864</v>
      </c>
      <c r="N373" s="60" t="s">
        <v>98</v>
      </c>
      <c r="O373" s="49" t="s">
        <v>2</v>
      </c>
      <c r="P373" s="11">
        <v>4</v>
      </c>
      <c r="Q373" s="11" t="s">
        <v>1718</v>
      </c>
      <c r="R373" s="11" t="s">
        <v>1598</v>
      </c>
      <c r="S373" t="str">
        <f>IFERROR(HYPERLINK("#Main!A"&amp;MATCH(A373,Main!A:A,0),"Open"),HYPERLINK("#Main!A1","Open"))</f>
        <v>Open</v>
      </c>
      <c r="T373" t="str">
        <f>IFERROR(HYPERLINK("#Technical!A"&amp;MATCH(A373,Technical!A:A,0),"Open"),HYPERLINK("#Technical!A1","Open"))</f>
        <v>Open</v>
      </c>
    </row>
    <row r="374" spans="1:21" ht="30" customHeight="1" x14ac:dyDescent="0.25">
      <c r="A374" s="59" t="s">
        <v>622</v>
      </c>
      <c r="B374" s="8">
        <v>20341</v>
      </c>
      <c r="C374" s="43" t="s">
        <v>1241</v>
      </c>
      <c r="D374" s="8" t="s">
        <v>1223</v>
      </c>
      <c r="E374" s="64" t="s">
        <v>68</v>
      </c>
      <c r="F374" s="8" t="s">
        <v>1594</v>
      </c>
      <c r="G374" s="36">
        <v>37</v>
      </c>
      <c r="H374" s="8">
        <v>0</v>
      </c>
      <c r="I374" s="8" t="s">
        <v>1595</v>
      </c>
      <c r="J374" s="8" t="s">
        <v>1596</v>
      </c>
      <c r="K374" s="71" t="s">
        <v>11</v>
      </c>
      <c r="L374" s="8" t="s">
        <v>1201</v>
      </c>
      <c r="M374" s="8" t="s">
        <v>864</v>
      </c>
      <c r="N374" s="60" t="s">
        <v>98</v>
      </c>
      <c r="O374" s="49" t="s">
        <v>2</v>
      </c>
      <c r="P374" s="8">
        <v>4</v>
      </c>
      <c r="Q374" s="8" t="s">
        <v>1719</v>
      </c>
      <c r="R374" s="8" t="s">
        <v>1598</v>
      </c>
      <c r="S374" s="9" t="str">
        <f>IFERROR(HYPERLINK("#Main!A"&amp;MATCH(A374,Main!A:A,0),"Open"),HYPERLINK("#Main!A1","Open"))</f>
        <v>Open</v>
      </c>
      <c r="T374" s="9" t="str">
        <f>IFERROR(HYPERLINK("#Technical!A"&amp;MATCH(A374,Technical!A:A,0),"Open"),HYPERLINK("#Technical!A1","Open"))</f>
        <v>Open</v>
      </c>
      <c r="U374" s="9"/>
    </row>
    <row r="375" spans="1:21" ht="30" customHeight="1" x14ac:dyDescent="0.25">
      <c r="A375" s="58" t="s">
        <v>627</v>
      </c>
      <c r="B375" s="11">
        <v>31820</v>
      </c>
      <c r="C375" s="43" t="s">
        <v>1369</v>
      </c>
      <c r="D375" s="11" t="s">
        <v>1223</v>
      </c>
      <c r="E375" s="64" t="s">
        <v>68</v>
      </c>
      <c r="F375" s="11" t="s">
        <v>1599</v>
      </c>
      <c r="G375" s="10">
        <v>37</v>
      </c>
      <c r="H375" s="11">
        <v>368</v>
      </c>
      <c r="I375" s="11" t="s">
        <v>1233</v>
      </c>
      <c r="J375" s="11" t="s">
        <v>1600</v>
      </c>
      <c r="K375" s="72" t="s">
        <v>6</v>
      </c>
      <c r="L375" s="11" t="s">
        <v>891</v>
      </c>
      <c r="M375" s="11" t="s">
        <v>864</v>
      </c>
      <c r="N375" s="60" t="s">
        <v>98</v>
      </c>
      <c r="O375" s="49" t="s">
        <v>2</v>
      </c>
      <c r="P375" s="11">
        <v>4</v>
      </c>
      <c r="Q375" s="11" t="s">
        <v>1720</v>
      </c>
      <c r="R375" s="11" t="s">
        <v>1602</v>
      </c>
      <c r="S375" t="str">
        <f>IFERROR(HYPERLINK("#Main!A"&amp;MATCH(A375,Main!A:A,0),"Open"),HYPERLINK("#Main!A1","Open"))</f>
        <v>Open</v>
      </c>
      <c r="T375" t="str">
        <f>IFERROR(HYPERLINK("#Technical!A"&amp;MATCH(A375,Technical!A:A,0),"Open"),HYPERLINK("#Technical!A1","Open"))</f>
        <v>Open</v>
      </c>
    </row>
    <row r="376" spans="1:21" ht="30" customHeight="1" x14ac:dyDescent="0.25">
      <c r="A376" s="59" t="s">
        <v>627</v>
      </c>
      <c r="B376" s="8">
        <v>31820</v>
      </c>
      <c r="C376" s="43" t="s">
        <v>1369</v>
      </c>
      <c r="D376" s="8" t="s">
        <v>1223</v>
      </c>
      <c r="E376" s="64" t="s">
        <v>68</v>
      </c>
      <c r="F376" s="8" t="s">
        <v>1594</v>
      </c>
      <c r="G376" s="36">
        <v>37</v>
      </c>
      <c r="H376" s="8">
        <v>0</v>
      </c>
      <c r="I376" s="8" t="s">
        <v>1595</v>
      </c>
      <c r="J376" s="8" t="s">
        <v>1596</v>
      </c>
      <c r="K376" s="71" t="s">
        <v>11</v>
      </c>
      <c r="L376" s="8" t="s">
        <v>1201</v>
      </c>
      <c r="M376" s="8" t="s">
        <v>864</v>
      </c>
      <c r="N376" s="60" t="s">
        <v>98</v>
      </c>
      <c r="O376" s="49" t="s">
        <v>2</v>
      </c>
      <c r="P376" s="8">
        <v>4</v>
      </c>
      <c r="Q376" s="8" t="s">
        <v>1721</v>
      </c>
      <c r="R376" s="8" t="s">
        <v>1598</v>
      </c>
      <c r="S376" s="9" t="str">
        <f>IFERROR(HYPERLINK("#Main!A"&amp;MATCH(A376,Main!A:A,0),"Open"),HYPERLINK("#Main!A1","Open"))</f>
        <v>Open</v>
      </c>
      <c r="T376" s="9" t="str">
        <f>IFERROR(HYPERLINK("#Technical!A"&amp;MATCH(A376,Technical!A:A,0),"Open"),HYPERLINK("#Technical!A1","Open"))</f>
        <v>Open</v>
      </c>
      <c r="U376" s="9"/>
    </row>
    <row r="377" spans="1:21" ht="30" customHeight="1" x14ac:dyDescent="0.25">
      <c r="A377" s="58" t="s">
        <v>635</v>
      </c>
      <c r="B377" s="11">
        <v>5597</v>
      </c>
      <c r="C377" s="43" t="s">
        <v>1371</v>
      </c>
      <c r="D377" s="11" t="s">
        <v>1223</v>
      </c>
      <c r="E377" s="64" t="s">
        <v>68</v>
      </c>
      <c r="F377" s="11" t="s">
        <v>1594</v>
      </c>
      <c r="G377" s="10">
        <v>37</v>
      </c>
      <c r="H377" s="11">
        <v>0</v>
      </c>
      <c r="I377" s="11" t="s">
        <v>1595</v>
      </c>
      <c r="J377" s="11" t="s">
        <v>1596</v>
      </c>
      <c r="K377" s="72" t="s">
        <v>11</v>
      </c>
      <c r="L377" s="11" t="s">
        <v>1201</v>
      </c>
      <c r="M377" s="11" t="s">
        <v>864</v>
      </c>
      <c r="N377" s="60" t="s">
        <v>98</v>
      </c>
      <c r="O377" s="49" t="s">
        <v>2</v>
      </c>
      <c r="P377" s="11">
        <v>4</v>
      </c>
      <c r="Q377" s="11" t="s">
        <v>1722</v>
      </c>
      <c r="R377" s="11" t="s">
        <v>1598</v>
      </c>
      <c r="S377" t="str">
        <f>IFERROR(HYPERLINK("#Main!A"&amp;MATCH(A377,Main!A:A,0),"Open"),HYPERLINK("#Main!A1","Open"))</f>
        <v>Open</v>
      </c>
      <c r="T377" t="str">
        <f>IFERROR(HYPERLINK("#Technical!A"&amp;MATCH(A377,Technical!A:A,0),"Open"),HYPERLINK("#Technical!A1","Open"))</f>
        <v>Open</v>
      </c>
    </row>
    <row r="378" spans="1:21" ht="30" customHeight="1" x14ac:dyDescent="0.25">
      <c r="A378" s="59" t="s">
        <v>642</v>
      </c>
      <c r="B378" s="8">
        <v>33050</v>
      </c>
      <c r="C378" s="43" t="s">
        <v>1373</v>
      </c>
      <c r="D378" s="8" t="s">
        <v>1223</v>
      </c>
      <c r="E378" s="64" t="s">
        <v>68</v>
      </c>
      <c r="F378" s="8" t="s">
        <v>1599</v>
      </c>
      <c r="G378" s="36">
        <v>37</v>
      </c>
      <c r="H378" s="8">
        <v>306</v>
      </c>
      <c r="I378" s="8" t="s">
        <v>1233</v>
      </c>
      <c r="J378" s="8" t="s">
        <v>1600</v>
      </c>
      <c r="K378" s="71" t="s">
        <v>6</v>
      </c>
      <c r="L378" s="8" t="s">
        <v>891</v>
      </c>
      <c r="M378" s="8" t="s">
        <v>864</v>
      </c>
      <c r="N378" s="60" t="s">
        <v>98</v>
      </c>
      <c r="O378" s="49" t="s">
        <v>2</v>
      </c>
      <c r="P378" s="8">
        <v>4</v>
      </c>
      <c r="Q378" s="8" t="s">
        <v>1723</v>
      </c>
      <c r="R378" s="8" t="s">
        <v>1602</v>
      </c>
      <c r="S378" s="9" t="str">
        <f>IFERROR(HYPERLINK("#Main!A"&amp;MATCH(A378,Main!A:A,0),"Open"),HYPERLINK("#Main!A1","Open"))</f>
        <v>Open</v>
      </c>
      <c r="T378" s="9" t="str">
        <f>IFERROR(HYPERLINK("#Technical!A"&amp;MATCH(A378,Technical!A:A,0),"Open"),HYPERLINK("#Technical!A1","Open"))</f>
        <v>Open</v>
      </c>
      <c r="U378" s="9"/>
    </row>
    <row r="379" spans="1:21" ht="30" customHeight="1" x14ac:dyDescent="0.25">
      <c r="A379" s="58" t="s">
        <v>642</v>
      </c>
      <c r="B379" s="11">
        <v>33050</v>
      </c>
      <c r="C379" s="43" t="s">
        <v>1373</v>
      </c>
      <c r="D379" s="11" t="s">
        <v>1223</v>
      </c>
      <c r="E379" s="64" t="s">
        <v>68</v>
      </c>
      <c r="F379" s="11" t="s">
        <v>1594</v>
      </c>
      <c r="G379" s="10">
        <v>37</v>
      </c>
      <c r="H379" s="11">
        <v>0</v>
      </c>
      <c r="I379" s="11" t="s">
        <v>1595</v>
      </c>
      <c r="J379" s="11" t="s">
        <v>1596</v>
      </c>
      <c r="K379" s="72" t="s">
        <v>11</v>
      </c>
      <c r="L379" s="11" t="s">
        <v>1201</v>
      </c>
      <c r="M379" s="11" t="s">
        <v>864</v>
      </c>
      <c r="N379" s="60" t="s">
        <v>98</v>
      </c>
      <c r="O379" s="49" t="s">
        <v>2</v>
      </c>
      <c r="P379" s="11">
        <v>4</v>
      </c>
      <c r="Q379" s="11" t="s">
        <v>1724</v>
      </c>
      <c r="R379" s="11" t="s">
        <v>1598</v>
      </c>
      <c r="S379" t="str">
        <f>IFERROR(HYPERLINK("#Main!A"&amp;MATCH(A379,Main!A:A,0),"Open"),HYPERLINK("#Main!A1","Open"))</f>
        <v>Open</v>
      </c>
      <c r="T379" t="str">
        <f>IFERROR(HYPERLINK("#Technical!A"&amp;MATCH(A379,Technical!A:A,0),"Open"),HYPERLINK("#Technical!A1","Open"))</f>
        <v>Open</v>
      </c>
    </row>
    <row r="380" spans="1:21" ht="30" customHeight="1" x14ac:dyDescent="0.25">
      <c r="A380" s="59" t="s">
        <v>650</v>
      </c>
      <c r="B380" s="8">
        <v>86</v>
      </c>
      <c r="C380" s="43" t="s">
        <v>1375</v>
      </c>
      <c r="D380" s="8" t="s">
        <v>1223</v>
      </c>
      <c r="E380" s="64" t="s">
        <v>68</v>
      </c>
      <c r="F380" s="8" t="s">
        <v>1599</v>
      </c>
      <c r="G380" s="36">
        <v>37</v>
      </c>
      <c r="H380" s="8">
        <v>370</v>
      </c>
      <c r="I380" s="8" t="s">
        <v>1233</v>
      </c>
      <c r="J380" s="8" t="s">
        <v>1600</v>
      </c>
      <c r="K380" s="71" t="s">
        <v>6</v>
      </c>
      <c r="L380" s="8" t="s">
        <v>891</v>
      </c>
      <c r="M380" s="8" t="s">
        <v>864</v>
      </c>
      <c r="N380" s="60" t="s">
        <v>98</v>
      </c>
      <c r="O380" s="49" t="s">
        <v>2</v>
      </c>
      <c r="P380" s="8">
        <v>4</v>
      </c>
      <c r="Q380" s="8" t="s">
        <v>1725</v>
      </c>
      <c r="R380" s="8" t="s">
        <v>1602</v>
      </c>
      <c r="S380" s="9" t="str">
        <f>IFERROR(HYPERLINK("#Main!A"&amp;MATCH(A380,Main!A:A,0),"Open"),HYPERLINK("#Main!A1","Open"))</f>
        <v>Open</v>
      </c>
      <c r="T380" s="9" t="str">
        <f>IFERROR(HYPERLINK("#Technical!A"&amp;MATCH(A380,Technical!A:A,0),"Open"),HYPERLINK("#Technical!A1","Open"))</f>
        <v>Open</v>
      </c>
      <c r="U380" s="9"/>
    </row>
    <row r="381" spans="1:21" ht="30" customHeight="1" x14ac:dyDescent="0.25">
      <c r="A381" s="58" t="s">
        <v>650</v>
      </c>
      <c r="B381" s="11">
        <v>86</v>
      </c>
      <c r="C381" s="43" t="s">
        <v>1375</v>
      </c>
      <c r="D381" s="11" t="s">
        <v>1223</v>
      </c>
      <c r="E381" s="64" t="s">
        <v>68</v>
      </c>
      <c r="F381" s="11" t="s">
        <v>1594</v>
      </c>
      <c r="G381" s="10">
        <v>37</v>
      </c>
      <c r="H381" s="11">
        <v>0</v>
      </c>
      <c r="I381" s="11" t="s">
        <v>1595</v>
      </c>
      <c r="J381" s="11" t="s">
        <v>1596</v>
      </c>
      <c r="K381" s="72" t="s">
        <v>11</v>
      </c>
      <c r="L381" s="11" t="s">
        <v>1201</v>
      </c>
      <c r="M381" s="11" t="s">
        <v>864</v>
      </c>
      <c r="N381" s="60" t="s">
        <v>98</v>
      </c>
      <c r="O381" s="49" t="s">
        <v>2</v>
      </c>
      <c r="P381" s="11">
        <v>4</v>
      </c>
      <c r="Q381" s="11" t="s">
        <v>1726</v>
      </c>
      <c r="R381" s="11" t="s">
        <v>1598</v>
      </c>
      <c r="S381" t="str">
        <f>IFERROR(HYPERLINK("#Main!A"&amp;MATCH(A381,Main!A:A,0),"Open"),HYPERLINK("#Main!A1","Open"))</f>
        <v>Open</v>
      </c>
      <c r="T381" t="str">
        <f>IFERROR(HYPERLINK("#Technical!A"&amp;MATCH(A381,Technical!A:A,0),"Open"),HYPERLINK("#Technical!A1","Open"))</f>
        <v>Open</v>
      </c>
    </row>
    <row r="382" spans="1:21" ht="30" customHeight="1" x14ac:dyDescent="0.25">
      <c r="A382" s="59" t="s">
        <v>658</v>
      </c>
      <c r="B382" s="8">
        <v>2196</v>
      </c>
      <c r="C382" s="43" t="s">
        <v>1377</v>
      </c>
      <c r="D382" s="8" t="s">
        <v>1223</v>
      </c>
      <c r="E382" s="64" t="s">
        <v>68</v>
      </c>
      <c r="F382" s="8" t="s">
        <v>1594</v>
      </c>
      <c r="G382" s="36">
        <v>37</v>
      </c>
      <c r="H382" s="8">
        <v>0</v>
      </c>
      <c r="I382" s="8" t="s">
        <v>1595</v>
      </c>
      <c r="J382" s="8" t="s">
        <v>1596</v>
      </c>
      <c r="K382" s="71" t="s">
        <v>11</v>
      </c>
      <c r="L382" s="8" t="s">
        <v>1201</v>
      </c>
      <c r="M382" s="8" t="s">
        <v>864</v>
      </c>
      <c r="N382" s="60" t="s">
        <v>98</v>
      </c>
      <c r="O382" s="49" t="s">
        <v>2</v>
      </c>
      <c r="P382" s="8">
        <v>4</v>
      </c>
      <c r="Q382" s="8" t="s">
        <v>1727</v>
      </c>
      <c r="R382" s="8" t="s">
        <v>1598</v>
      </c>
      <c r="S382" s="9" t="str">
        <f>IFERROR(HYPERLINK("#Main!A"&amp;MATCH(A382,Main!A:A,0),"Open"),HYPERLINK("#Main!A1","Open"))</f>
        <v>Open</v>
      </c>
      <c r="T382" s="9" t="str">
        <f>IFERROR(HYPERLINK("#Technical!A"&amp;MATCH(A382,Technical!A:A,0),"Open"),HYPERLINK("#Technical!A1","Open"))</f>
        <v>Open</v>
      </c>
      <c r="U382" s="9"/>
    </row>
    <row r="383" spans="1:21" ht="30" customHeight="1" x14ac:dyDescent="0.25">
      <c r="A383" s="58" t="s">
        <v>666</v>
      </c>
      <c r="B383" s="11">
        <v>3</v>
      </c>
      <c r="C383" s="43" t="s">
        <v>1379</v>
      </c>
      <c r="D383" s="11" t="s">
        <v>1223</v>
      </c>
      <c r="E383" s="64" t="s">
        <v>68</v>
      </c>
      <c r="F383" s="11" t="s">
        <v>1599</v>
      </c>
      <c r="G383" s="10">
        <v>37</v>
      </c>
      <c r="H383" s="11">
        <v>379</v>
      </c>
      <c r="I383" s="11" t="s">
        <v>1233</v>
      </c>
      <c r="J383" s="11" t="s">
        <v>1600</v>
      </c>
      <c r="K383" s="72" t="s">
        <v>6</v>
      </c>
      <c r="L383" s="11" t="s">
        <v>891</v>
      </c>
      <c r="M383" s="11" t="s">
        <v>864</v>
      </c>
      <c r="N383" s="60" t="s">
        <v>98</v>
      </c>
      <c r="O383" s="49" t="s">
        <v>2</v>
      </c>
      <c r="P383" s="11">
        <v>4</v>
      </c>
      <c r="Q383" s="11" t="s">
        <v>1728</v>
      </c>
      <c r="R383" s="11" t="s">
        <v>1602</v>
      </c>
      <c r="S383" t="str">
        <f>IFERROR(HYPERLINK("#Main!A"&amp;MATCH(A383,Main!A:A,0),"Open"),HYPERLINK("#Main!A1","Open"))</f>
        <v>Open</v>
      </c>
      <c r="T383" t="str">
        <f>IFERROR(HYPERLINK("#Technical!A"&amp;MATCH(A383,Technical!A:A,0),"Open"),HYPERLINK("#Technical!A1","Open"))</f>
        <v>Open</v>
      </c>
    </row>
    <row r="384" spans="1:21" ht="30" customHeight="1" x14ac:dyDescent="0.25">
      <c r="A384" s="59" t="s">
        <v>666</v>
      </c>
      <c r="B384" s="8">
        <v>3</v>
      </c>
      <c r="C384" s="43" t="s">
        <v>1379</v>
      </c>
      <c r="D384" s="8" t="s">
        <v>1223</v>
      </c>
      <c r="E384" s="64" t="s">
        <v>68</v>
      </c>
      <c r="F384" s="8" t="s">
        <v>1594</v>
      </c>
      <c r="G384" s="36">
        <v>37</v>
      </c>
      <c r="H384" s="8">
        <v>0</v>
      </c>
      <c r="I384" s="8" t="s">
        <v>1595</v>
      </c>
      <c r="J384" s="8" t="s">
        <v>1596</v>
      </c>
      <c r="K384" s="71" t="s">
        <v>11</v>
      </c>
      <c r="L384" s="8" t="s">
        <v>1201</v>
      </c>
      <c r="M384" s="8" t="s">
        <v>864</v>
      </c>
      <c r="N384" s="60" t="s">
        <v>98</v>
      </c>
      <c r="O384" s="49" t="s">
        <v>2</v>
      </c>
      <c r="P384" s="8">
        <v>4</v>
      </c>
      <c r="Q384" s="8" t="s">
        <v>1729</v>
      </c>
      <c r="R384" s="8" t="s">
        <v>1598</v>
      </c>
      <c r="S384" s="9" t="str">
        <f>IFERROR(HYPERLINK("#Main!A"&amp;MATCH(A384,Main!A:A,0),"Open"),HYPERLINK("#Main!A1","Open"))</f>
        <v>Open</v>
      </c>
      <c r="T384" s="9" t="str">
        <f>IFERROR(HYPERLINK("#Technical!A"&amp;MATCH(A384,Technical!A:A,0),"Open"),HYPERLINK("#Technical!A1","Open"))</f>
        <v>Open</v>
      </c>
      <c r="U384" s="9"/>
    </row>
    <row r="385" spans="1:21" ht="30" customHeight="1" x14ac:dyDescent="0.25">
      <c r="A385" s="58" t="s">
        <v>674</v>
      </c>
      <c r="B385" s="11">
        <v>9047</v>
      </c>
      <c r="C385" s="43" t="s">
        <v>1381</v>
      </c>
      <c r="D385" s="11" t="s">
        <v>1223</v>
      </c>
      <c r="E385" s="64" t="s">
        <v>68</v>
      </c>
      <c r="F385" s="11" t="s">
        <v>1599</v>
      </c>
      <c r="G385" s="10">
        <v>37</v>
      </c>
      <c r="H385" s="11">
        <v>263</v>
      </c>
      <c r="I385" s="11" t="s">
        <v>1233</v>
      </c>
      <c r="J385" s="11" t="s">
        <v>1600</v>
      </c>
      <c r="K385" s="72" t="s">
        <v>6</v>
      </c>
      <c r="L385" s="11" t="s">
        <v>891</v>
      </c>
      <c r="M385" s="11" t="s">
        <v>864</v>
      </c>
      <c r="N385" s="60" t="s">
        <v>98</v>
      </c>
      <c r="O385" s="49" t="s">
        <v>2</v>
      </c>
      <c r="P385" s="11">
        <v>4</v>
      </c>
      <c r="Q385" s="11" t="s">
        <v>1730</v>
      </c>
      <c r="R385" s="11" t="s">
        <v>1602</v>
      </c>
      <c r="S385" t="str">
        <f>IFERROR(HYPERLINK("#Main!A"&amp;MATCH(A385,Main!A:A,0),"Open"),HYPERLINK("#Main!A1","Open"))</f>
        <v>Open</v>
      </c>
      <c r="T385" t="str">
        <f>IFERROR(HYPERLINK("#Technical!A"&amp;MATCH(A385,Technical!A:A,0),"Open"),HYPERLINK("#Technical!A1","Open"))</f>
        <v>Open</v>
      </c>
    </row>
    <row r="386" spans="1:21" ht="30" customHeight="1" x14ac:dyDescent="0.25">
      <c r="A386" s="59" t="s">
        <v>674</v>
      </c>
      <c r="B386" s="8">
        <v>9047</v>
      </c>
      <c r="C386" s="43" t="s">
        <v>1381</v>
      </c>
      <c r="D386" s="8" t="s">
        <v>1223</v>
      </c>
      <c r="E386" s="64" t="s">
        <v>68</v>
      </c>
      <c r="F386" s="8" t="s">
        <v>1594</v>
      </c>
      <c r="G386" s="36">
        <v>37</v>
      </c>
      <c r="H386" s="8">
        <v>0</v>
      </c>
      <c r="I386" s="8" t="s">
        <v>1595</v>
      </c>
      <c r="J386" s="8" t="s">
        <v>1596</v>
      </c>
      <c r="K386" s="71" t="s">
        <v>11</v>
      </c>
      <c r="L386" s="8" t="s">
        <v>1201</v>
      </c>
      <c r="M386" s="8" t="s">
        <v>864</v>
      </c>
      <c r="N386" s="60" t="s">
        <v>98</v>
      </c>
      <c r="O386" s="49" t="s">
        <v>2</v>
      </c>
      <c r="P386" s="8">
        <v>4</v>
      </c>
      <c r="Q386" s="8" t="s">
        <v>1731</v>
      </c>
      <c r="R386" s="8" t="s">
        <v>1598</v>
      </c>
      <c r="S386" s="9" t="str">
        <f>IFERROR(HYPERLINK("#Main!A"&amp;MATCH(A386,Main!A:A,0),"Open"),HYPERLINK("#Main!A1","Open"))</f>
        <v>Open</v>
      </c>
      <c r="T386" s="9" t="str">
        <f>IFERROR(HYPERLINK("#Technical!A"&amp;MATCH(A386,Technical!A:A,0),"Open"),HYPERLINK("#Technical!A1","Open"))</f>
        <v>Open</v>
      </c>
      <c r="U386" s="9"/>
    </row>
    <row r="387" spans="1:21" ht="30" customHeight="1" x14ac:dyDescent="0.25">
      <c r="A387" s="58" t="s">
        <v>682</v>
      </c>
      <c r="B387" s="11">
        <v>3686</v>
      </c>
      <c r="C387" s="43" t="s">
        <v>1383</v>
      </c>
      <c r="D387" s="11" t="s">
        <v>1223</v>
      </c>
      <c r="E387" s="64" t="s">
        <v>68</v>
      </c>
      <c r="F387" s="11" t="s">
        <v>1594</v>
      </c>
      <c r="G387" s="10">
        <v>37</v>
      </c>
      <c r="H387" s="11">
        <v>0</v>
      </c>
      <c r="I387" s="11" t="s">
        <v>1595</v>
      </c>
      <c r="J387" s="11" t="s">
        <v>1596</v>
      </c>
      <c r="K387" s="72" t="s">
        <v>11</v>
      </c>
      <c r="L387" s="11" t="s">
        <v>1201</v>
      </c>
      <c r="M387" s="11" t="s">
        <v>864</v>
      </c>
      <c r="N387" s="60" t="s">
        <v>98</v>
      </c>
      <c r="O387" s="49" t="s">
        <v>2</v>
      </c>
      <c r="P387" s="11">
        <v>4</v>
      </c>
      <c r="Q387" s="11" t="s">
        <v>1732</v>
      </c>
      <c r="R387" s="11" t="s">
        <v>1598</v>
      </c>
      <c r="S387" t="str">
        <f>IFERROR(HYPERLINK("#Main!A"&amp;MATCH(A387,Main!A:A,0),"Open"),HYPERLINK("#Main!A1","Open"))</f>
        <v>Open</v>
      </c>
      <c r="T387" t="str">
        <f>IFERROR(HYPERLINK("#Technical!A"&amp;MATCH(A387,Technical!A:A,0),"Open"),HYPERLINK("#Technical!A1","Open"))</f>
        <v>Open</v>
      </c>
    </row>
    <row r="388" spans="1:21" ht="30" customHeight="1" x14ac:dyDescent="0.25">
      <c r="A388" s="59" t="s">
        <v>690</v>
      </c>
      <c r="B388" s="8">
        <v>21962</v>
      </c>
      <c r="C388" s="43" t="s">
        <v>1385</v>
      </c>
      <c r="D388" s="8" t="s">
        <v>1223</v>
      </c>
      <c r="E388" s="64" t="s">
        <v>68</v>
      </c>
      <c r="F388" s="8" t="s">
        <v>1594</v>
      </c>
      <c r="G388" s="36">
        <v>37</v>
      </c>
      <c r="H388" s="8">
        <v>0</v>
      </c>
      <c r="I388" s="8" t="s">
        <v>1595</v>
      </c>
      <c r="J388" s="8" t="s">
        <v>1596</v>
      </c>
      <c r="K388" s="71" t="s">
        <v>11</v>
      </c>
      <c r="L388" s="8" t="s">
        <v>1201</v>
      </c>
      <c r="M388" s="8" t="s">
        <v>864</v>
      </c>
      <c r="N388" s="60" t="s">
        <v>98</v>
      </c>
      <c r="O388" s="49" t="s">
        <v>2</v>
      </c>
      <c r="P388" s="8">
        <v>4</v>
      </c>
      <c r="Q388" s="8" t="s">
        <v>1733</v>
      </c>
      <c r="R388" s="8" t="s">
        <v>1598</v>
      </c>
      <c r="S388" s="9" t="str">
        <f>IFERROR(HYPERLINK("#Main!A"&amp;MATCH(A388,Main!A:A,0),"Open"),HYPERLINK("#Main!A1","Open"))</f>
        <v>Open</v>
      </c>
      <c r="T388" s="9" t="str">
        <f>IFERROR(HYPERLINK("#Technical!A"&amp;MATCH(A388,Technical!A:A,0),"Open"),HYPERLINK("#Technical!A1","Open"))</f>
        <v>Open</v>
      </c>
      <c r="U388" s="9"/>
    </row>
    <row r="389" spans="1:21" ht="30" customHeight="1" x14ac:dyDescent="0.25">
      <c r="A389" s="58" t="s">
        <v>698</v>
      </c>
      <c r="B389" s="11">
        <v>3252</v>
      </c>
      <c r="C389" s="43" t="s">
        <v>1387</v>
      </c>
      <c r="D389" s="11" t="s">
        <v>1223</v>
      </c>
      <c r="E389" s="64" t="s">
        <v>68</v>
      </c>
      <c r="F389" s="11" t="s">
        <v>1599</v>
      </c>
      <c r="G389" s="10">
        <v>37</v>
      </c>
      <c r="H389" s="11">
        <v>417</v>
      </c>
      <c r="I389" s="11" t="s">
        <v>1233</v>
      </c>
      <c r="J389" s="11" t="s">
        <v>1600</v>
      </c>
      <c r="K389" s="72" t="s">
        <v>6</v>
      </c>
      <c r="L389" s="11" t="s">
        <v>891</v>
      </c>
      <c r="M389" s="11" t="s">
        <v>864</v>
      </c>
      <c r="N389" s="60" t="s">
        <v>98</v>
      </c>
      <c r="O389" s="49" t="s">
        <v>2</v>
      </c>
      <c r="P389" s="11">
        <v>4</v>
      </c>
      <c r="Q389" s="11" t="s">
        <v>1734</v>
      </c>
      <c r="R389" s="11" t="s">
        <v>1602</v>
      </c>
      <c r="S389" t="str">
        <f>IFERROR(HYPERLINK("#Main!A"&amp;MATCH(A389,Main!A:A,0),"Open"),HYPERLINK("#Main!A1","Open"))</f>
        <v>Open</v>
      </c>
      <c r="T389" t="str">
        <f>IFERROR(HYPERLINK("#Technical!A"&amp;MATCH(A389,Technical!A:A,0),"Open"),HYPERLINK("#Technical!A1","Open"))</f>
        <v>Open</v>
      </c>
    </row>
    <row r="390" spans="1:21" ht="30" customHeight="1" x14ac:dyDescent="0.25">
      <c r="A390" s="59" t="s">
        <v>698</v>
      </c>
      <c r="B390" s="8">
        <v>3252</v>
      </c>
      <c r="C390" s="43" t="s">
        <v>1387</v>
      </c>
      <c r="D390" s="8" t="s">
        <v>1223</v>
      </c>
      <c r="E390" s="64" t="s">
        <v>68</v>
      </c>
      <c r="F390" s="8" t="s">
        <v>1594</v>
      </c>
      <c r="G390" s="36">
        <v>37</v>
      </c>
      <c r="H390" s="8">
        <v>0</v>
      </c>
      <c r="I390" s="8" t="s">
        <v>1595</v>
      </c>
      <c r="J390" s="8" t="s">
        <v>1596</v>
      </c>
      <c r="K390" s="71" t="s">
        <v>11</v>
      </c>
      <c r="L390" s="8" t="s">
        <v>1201</v>
      </c>
      <c r="M390" s="8" t="s">
        <v>864</v>
      </c>
      <c r="N390" s="60" t="s">
        <v>98</v>
      </c>
      <c r="O390" s="49" t="s">
        <v>2</v>
      </c>
      <c r="P390" s="8">
        <v>4</v>
      </c>
      <c r="Q390" s="8" t="s">
        <v>1735</v>
      </c>
      <c r="R390" s="8" t="s">
        <v>1598</v>
      </c>
      <c r="S390" s="9" t="str">
        <f>IFERROR(HYPERLINK("#Main!A"&amp;MATCH(A390,Main!A:A,0),"Open"),HYPERLINK("#Main!A1","Open"))</f>
        <v>Open</v>
      </c>
      <c r="T390" s="9" t="str">
        <f>IFERROR(HYPERLINK("#Technical!A"&amp;MATCH(A390,Technical!A:A,0),"Open"),HYPERLINK("#Technical!A1","Open"))</f>
        <v>Open</v>
      </c>
      <c r="U390" s="9"/>
    </row>
    <row r="391" spans="1:21" ht="30" customHeight="1" x14ac:dyDescent="0.25">
      <c r="A391" s="58" t="s">
        <v>704</v>
      </c>
      <c r="B391" s="11">
        <v>3634</v>
      </c>
      <c r="C391" s="43" t="s">
        <v>1389</v>
      </c>
      <c r="D391" s="11" t="s">
        <v>1223</v>
      </c>
      <c r="E391" s="64" t="s">
        <v>68</v>
      </c>
      <c r="F391" s="11" t="s">
        <v>1599</v>
      </c>
      <c r="G391" s="10">
        <v>37</v>
      </c>
      <c r="H391" s="11">
        <v>392</v>
      </c>
      <c r="I391" s="11" t="s">
        <v>1233</v>
      </c>
      <c r="J391" s="11" t="s">
        <v>1600</v>
      </c>
      <c r="K391" s="72" t="s">
        <v>6</v>
      </c>
      <c r="L391" s="11" t="s">
        <v>891</v>
      </c>
      <c r="M391" s="11" t="s">
        <v>864</v>
      </c>
      <c r="N391" s="60" t="s">
        <v>98</v>
      </c>
      <c r="O391" s="49" t="s">
        <v>2</v>
      </c>
      <c r="P391" s="11">
        <v>4</v>
      </c>
      <c r="Q391" s="11" t="s">
        <v>1736</v>
      </c>
      <c r="R391" s="11" t="s">
        <v>1602</v>
      </c>
      <c r="S391" t="str">
        <f>IFERROR(HYPERLINK("#Main!A"&amp;MATCH(A391,Main!A:A,0),"Open"),HYPERLINK("#Main!A1","Open"))</f>
        <v>Open</v>
      </c>
      <c r="T391" t="str">
        <f>IFERROR(HYPERLINK("#Technical!A"&amp;MATCH(A391,Technical!A:A,0),"Open"),HYPERLINK("#Technical!A1","Open"))</f>
        <v>Open</v>
      </c>
    </row>
    <row r="392" spans="1:21" ht="30" customHeight="1" x14ac:dyDescent="0.25">
      <c r="A392" s="59" t="s">
        <v>704</v>
      </c>
      <c r="B392" s="8">
        <v>3634</v>
      </c>
      <c r="C392" s="43" t="s">
        <v>1389</v>
      </c>
      <c r="D392" s="8" t="s">
        <v>1223</v>
      </c>
      <c r="E392" s="64" t="s">
        <v>68</v>
      </c>
      <c r="F392" s="8" t="s">
        <v>1594</v>
      </c>
      <c r="G392" s="36">
        <v>37</v>
      </c>
      <c r="H392" s="8">
        <v>0</v>
      </c>
      <c r="I392" s="8" t="s">
        <v>1595</v>
      </c>
      <c r="J392" s="8" t="s">
        <v>1596</v>
      </c>
      <c r="K392" s="71" t="s">
        <v>11</v>
      </c>
      <c r="L392" s="8" t="s">
        <v>1201</v>
      </c>
      <c r="M392" s="8" t="s">
        <v>864</v>
      </c>
      <c r="N392" s="60" t="s">
        <v>98</v>
      </c>
      <c r="O392" s="49" t="s">
        <v>2</v>
      </c>
      <c r="P392" s="8">
        <v>4</v>
      </c>
      <c r="Q392" s="8" t="s">
        <v>1737</v>
      </c>
      <c r="R392" s="8" t="s">
        <v>1598</v>
      </c>
      <c r="S392" s="9" t="str">
        <f>IFERROR(HYPERLINK("#Main!A"&amp;MATCH(A392,Main!A:A,0),"Open"),HYPERLINK("#Main!A1","Open"))</f>
        <v>Open</v>
      </c>
      <c r="T392" s="9" t="str">
        <f>IFERROR(HYPERLINK("#Technical!A"&amp;MATCH(A392,Technical!A:A,0),"Open"),HYPERLINK("#Technical!A1","Open"))</f>
        <v>Open</v>
      </c>
      <c r="U392" s="9"/>
    </row>
    <row r="393" spans="1:21" ht="30" customHeight="1" x14ac:dyDescent="0.25">
      <c r="A393" s="58" t="s">
        <v>712</v>
      </c>
      <c r="B393" s="11">
        <v>7781</v>
      </c>
      <c r="C393" s="43" t="s">
        <v>1391</v>
      </c>
      <c r="D393" s="11" t="s">
        <v>1223</v>
      </c>
      <c r="E393" s="64" t="s">
        <v>68</v>
      </c>
      <c r="F393" s="11" t="s">
        <v>1599</v>
      </c>
      <c r="G393" s="10">
        <v>37</v>
      </c>
      <c r="H393" s="11">
        <v>1176</v>
      </c>
      <c r="I393" s="11" t="s">
        <v>1233</v>
      </c>
      <c r="J393" s="11" t="s">
        <v>1600</v>
      </c>
      <c r="K393" s="72" t="s">
        <v>6</v>
      </c>
      <c r="L393" s="11" t="s">
        <v>891</v>
      </c>
      <c r="M393" s="11" t="s">
        <v>864</v>
      </c>
      <c r="N393" s="60" t="s">
        <v>98</v>
      </c>
      <c r="O393" s="49" t="s">
        <v>2</v>
      </c>
      <c r="P393" s="11">
        <v>4</v>
      </c>
      <c r="Q393" s="11" t="s">
        <v>1738</v>
      </c>
      <c r="R393" s="11" t="s">
        <v>1602</v>
      </c>
      <c r="S393" t="str">
        <f>IFERROR(HYPERLINK("#Main!A"&amp;MATCH(A393,Main!A:A,0),"Open"),HYPERLINK("#Main!A1","Open"))</f>
        <v>Open</v>
      </c>
      <c r="T393" t="str">
        <f>IFERROR(HYPERLINK("#Technical!A"&amp;MATCH(A393,Technical!A:A,0),"Open"),HYPERLINK("#Technical!A1","Open"))</f>
        <v>Open</v>
      </c>
    </row>
    <row r="394" spans="1:21" ht="30" customHeight="1" x14ac:dyDescent="0.25">
      <c r="A394" s="59" t="s">
        <v>712</v>
      </c>
      <c r="B394" s="8">
        <v>7781</v>
      </c>
      <c r="C394" s="43" t="s">
        <v>1391</v>
      </c>
      <c r="D394" s="8" t="s">
        <v>1223</v>
      </c>
      <c r="E394" s="64" t="s">
        <v>68</v>
      </c>
      <c r="F394" s="8" t="s">
        <v>1594</v>
      </c>
      <c r="G394" s="36">
        <v>37</v>
      </c>
      <c r="H394" s="8">
        <v>0</v>
      </c>
      <c r="I394" s="8" t="s">
        <v>1595</v>
      </c>
      <c r="J394" s="8" t="s">
        <v>1596</v>
      </c>
      <c r="K394" s="71" t="s">
        <v>11</v>
      </c>
      <c r="L394" s="8" t="s">
        <v>1201</v>
      </c>
      <c r="M394" s="8" t="s">
        <v>864</v>
      </c>
      <c r="N394" s="60" t="s">
        <v>98</v>
      </c>
      <c r="O394" s="49" t="s">
        <v>2</v>
      </c>
      <c r="P394" s="8">
        <v>4</v>
      </c>
      <c r="Q394" s="8" t="s">
        <v>1739</v>
      </c>
      <c r="R394" s="8" t="s">
        <v>1598</v>
      </c>
      <c r="S394" s="9" t="str">
        <f>IFERROR(HYPERLINK("#Main!A"&amp;MATCH(A394,Main!A:A,0),"Open"),HYPERLINK("#Main!A1","Open"))</f>
        <v>Open</v>
      </c>
      <c r="T394" s="9" t="str">
        <f>IFERROR(HYPERLINK("#Technical!A"&amp;MATCH(A394,Technical!A:A,0),"Open"),HYPERLINK("#Technical!A1","Open"))</f>
        <v>Open</v>
      </c>
      <c r="U394" s="9"/>
    </row>
    <row r="395" spans="1:21" ht="30" customHeight="1" x14ac:dyDescent="0.25">
      <c r="A395" s="58" t="s">
        <v>720</v>
      </c>
      <c r="B395" s="11">
        <v>5490</v>
      </c>
      <c r="C395" s="43" t="s">
        <v>1393</v>
      </c>
      <c r="D395" s="11" t="s">
        <v>1223</v>
      </c>
      <c r="E395" s="64" t="s">
        <v>68</v>
      </c>
      <c r="F395" s="11" t="s">
        <v>1599</v>
      </c>
      <c r="G395" s="10">
        <v>37</v>
      </c>
      <c r="H395" s="11">
        <v>371</v>
      </c>
      <c r="I395" s="11" t="s">
        <v>1233</v>
      </c>
      <c r="J395" s="11" t="s">
        <v>1600</v>
      </c>
      <c r="K395" s="72" t="s">
        <v>6</v>
      </c>
      <c r="L395" s="11" t="s">
        <v>891</v>
      </c>
      <c r="M395" s="11" t="s">
        <v>864</v>
      </c>
      <c r="N395" s="60" t="s">
        <v>98</v>
      </c>
      <c r="O395" s="49" t="s">
        <v>2</v>
      </c>
      <c r="P395" s="11">
        <v>4</v>
      </c>
      <c r="Q395" s="11" t="s">
        <v>1740</v>
      </c>
      <c r="R395" s="11" t="s">
        <v>1602</v>
      </c>
      <c r="S395" t="str">
        <f>IFERROR(HYPERLINK("#Main!A"&amp;MATCH(A395,Main!A:A,0),"Open"),HYPERLINK("#Main!A1","Open"))</f>
        <v>Open</v>
      </c>
      <c r="T395" t="str">
        <f>IFERROR(HYPERLINK("#Technical!A"&amp;MATCH(A395,Technical!A:A,0),"Open"),HYPERLINK("#Technical!A1","Open"))</f>
        <v>Open</v>
      </c>
    </row>
    <row r="396" spans="1:21" ht="30" customHeight="1" x14ac:dyDescent="0.25">
      <c r="A396" s="59" t="s">
        <v>720</v>
      </c>
      <c r="B396" s="8">
        <v>5490</v>
      </c>
      <c r="C396" s="43" t="s">
        <v>1393</v>
      </c>
      <c r="D396" s="8" t="s">
        <v>1223</v>
      </c>
      <c r="E396" s="64" t="s">
        <v>68</v>
      </c>
      <c r="F396" s="8" t="s">
        <v>1594</v>
      </c>
      <c r="G396" s="36">
        <v>37</v>
      </c>
      <c r="H396" s="8">
        <v>0</v>
      </c>
      <c r="I396" s="8" t="s">
        <v>1595</v>
      </c>
      <c r="J396" s="8" t="s">
        <v>1596</v>
      </c>
      <c r="K396" s="71" t="s">
        <v>11</v>
      </c>
      <c r="L396" s="8" t="s">
        <v>1201</v>
      </c>
      <c r="M396" s="8" t="s">
        <v>864</v>
      </c>
      <c r="N396" s="60" t="s">
        <v>98</v>
      </c>
      <c r="O396" s="49" t="s">
        <v>2</v>
      </c>
      <c r="P396" s="8">
        <v>4</v>
      </c>
      <c r="Q396" s="8" t="s">
        <v>1741</v>
      </c>
      <c r="R396" s="8" t="s">
        <v>1598</v>
      </c>
      <c r="S396" s="9" t="str">
        <f>IFERROR(HYPERLINK("#Main!A"&amp;MATCH(A396,Main!A:A,0),"Open"),HYPERLINK("#Main!A1","Open"))</f>
        <v>Open</v>
      </c>
      <c r="T396" s="9" t="str">
        <f>IFERROR(HYPERLINK("#Technical!A"&amp;MATCH(A396,Technical!A:A,0),"Open"),HYPERLINK("#Technical!A1","Open"))</f>
        <v>Open</v>
      </c>
      <c r="U396" s="9"/>
    </row>
    <row r="397" spans="1:21" ht="30" customHeight="1" x14ac:dyDescent="0.25">
      <c r="A397" s="58" t="s">
        <v>727</v>
      </c>
      <c r="B397" s="11">
        <v>27352</v>
      </c>
      <c r="C397" s="43" t="s">
        <v>1395</v>
      </c>
      <c r="D397" s="11" t="s">
        <v>1223</v>
      </c>
      <c r="E397" s="64" t="s">
        <v>68</v>
      </c>
      <c r="F397" s="11" t="s">
        <v>1599</v>
      </c>
      <c r="G397" s="10">
        <v>37</v>
      </c>
      <c r="H397" s="11">
        <v>306</v>
      </c>
      <c r="I397" s="11" t="s">
        <v>1233</v>
      </c>
      <c r="J397" s="11" t="s">
        <v>1600</v>
      </c>
      <c r="K397" s="72" t="s">
        <v>6</v>
      </c>
      <c r="L397" s="11" t="s">
        <v>891</v>
      </c>
      <c r="M397" s="11" t="s">
        <v>864</v>
      </c>
      <c r="N397" s="60" t="s">
        <v>98</v>
      </c>
      <c r="O397" s="49" t="s">
        <v>2</v>
      </c>
      <c r="P397" s="11">
        <v>4</v>
      </c>
      <c r="Q397" s="11" t="s">
        <v>1742</v>
      </c>
      <c r="R397" s="11" t="s">
        <v>1602</v>
      </c>
      <c r="S397" t="str">
        <f>IFERROR(HYPERLINK("#Main!A"&amp;MATCH(A397,Main!A:A,0),"Open"),HYPERLINK("#Main!A1","Open"))</f>
        <v>Open</v>
      </c>
      <c r="T397" t="str">
        <f>IFERROR(HYPERLINK("#Technical!A"&amp;MATCH(A397,Technical!A:A,0),"Open"),HYPERLINK("#Technical!A1","Open"))</f>
        <v>Open</v>
      </c>
    </row>
    <row r="398" spans="1:21" ht="30" customHeight="1" x14ac:dyDescent="0.25">
      <c r="A398" s="59" t="s">
        <v>727</v>
      </c>
      <c r="B398" s="8">
        <v>27352</v>
      </c>
      <c r="C398" s="43" t="s">
        <v>1395</v>
      </c>
      <c r="D398" s="8" t="s">
        <v>1223</v>
      </c>
      <c r="E398" s="64" t="s">
        <v>68</v>
      </c>
      <c r="F398" s="8" t="s">
        <v>1594</v>
      </c>
      <c r="G398" s="36">
        <v>37</v>
      </c>
      <c r="H398" s="8">
        <v>0</v>
      </c>
      <c r="I398" s="8" t="s">
        <v>1595</v>
      </c>
      <c r="J398" s="8" t="s">
        <v>1596</v>
      </c>
      <c r="K398" s="71" t="s">
        <v>11</v>
      </c>
      <c r="L398" s="8" t="s">
        <v>1201</v>
      </c>
      <c r="M398" s="8" t="s">
        <v>864</v>
      </c>
      <c r="N398" s="60" t="s">
        <v>98</v>
      </c>
      <c r="O398" s="49" t="s">
        <v>2</v>
      </c>
      <c r="P398" s="8">
        <v>4</v>
      </c>
      <c r="Q398" s="8" t="s">
        <v>1743</v>
      </c>
      <c r="R398" s="8" t="s">
        <v>1598</v>
      </c>
      <c r="S398" s="9" t="str">
        <f>IFERROR(HYPERLINK("#Main!A"&amp;MATCH(A398,Main!A:A,0),"Open"),HYPERLINK("#Main!A1","Open"))</f>
        <v>Open</v>
      </c>
      <c r="T398" s="9" t="str">
        <f>IFERROR(HYPERLINK("#Technical!A"&amp;MATCH(A398,Technical!A:A,0),"Open"),HYPERLINK("#Technical!A1","Open"))</f>
        <v>Open</v>
      </c>
      <c r="U398" s="9"/>
    </row>
    <row r="399" spans="1:21" ht="30" customHeight="1" x14ac:dyDescent="0.25">
      <c r="A399" s="58" t="s">
        <v>735</v>
      </c>
      <c r="B399" s="11">
        <v>21591</v>
      </c>
      <c r="C399" s="43" t="s">
        <v>1397</v>
      </c>
      <c r="D399" s="11" t="s">
        <v>1223</v>
      </c>
      <c r="E399" s="64" t="s">
        <v>68</v>
      </c>
      <c r="F399" s="11" t="s">
        <v>1625</v>
      </c>
      <c r="G399" s="10">
        <v>37</v>
      </c>
      <c r="H399" s="11">
        <v>106</v>
      </c>
      <c r="I399" s="11" t="s">
        <v>1233</v>
      </c>
      <c r="J399" s="11" t="s">
        <v>1626</v>
      </c>
      <c r="K399" s="72" t="s">
        <v>6</v>
      </c>
      <c r="L399" s="11" t="s">
        <v>891</v>
      </c>
      <c r="M399" s="11" t="s">
        <v>864</v>
      </c>
      <c r="N399" s="60" t="s">
        <v>98</v>
      </c>
      <c r="O399" s="49" t="s">
        <v>2</v>
      </c>
      <c r="P399" s="11">
        <v>4</v>
      </c>
      <c r="Q399" s="11" t="s">
        <v>1744</v>
      </c>
      <c r="R399" s="11" t="s">
        <v>1628</v>
      </c>
      <c r="S399" t="str">
        <f>IFERROR(HYPERLINK("#Main!A"&amp;MATCH(A399,Main!A:A,0),"Open"),HYPERLINK("#Main!A1","Open"))</f>
        <v>Open</v>
      </c>
      <c r="T399" t="str">
        <f>IFERROR(HYPERLINK("#Technical!A"&amp;MATCH(A399,Technical!A:A,0),"Open"),HYPERLINK("#Technical!A1","Open"))</f>
        <v>Open</v>
      </c>
    </row>
    <row r="400" spans="1:21" ht="30" customHeight="1" x14ac:dyDescent="0.25">
      <c r="A400" s="59" t="s">
        <v>735</v>
      </c>
      <c r="B400" s="8">
        <v>21591</v>
      </c>
      <c r="C400" s="43" t="s">
        <v>1397</v>
      </c>
      <c r="D400" s="8" t="s">
        <v>1223</v>
      </c>
      <c r="E400" s="64" t="s">
        <v>68</v>
      </c>
      <c r="F400" s="8" t="s">
        <v>1594</v>
      </c>
      <c r="G400" s="36">
        <v>37</v>
      </c>
      <c r="H400" s="8">
        <v>0</v>
      </c>
      <c r="I400" s="8" t="s">
        <v>1595</v>
      </c>
      <c r="J400" s="8" t="s">
        <v>1596</v>
      </c>
      <c r="K400" s="71" t="s">
        <v>11</v>
      </c>
      <c r="L400" s="8" t="s">
        <v>1201</v>
      </c>
      <c r="M400" s="8" t="s">
        <v>864</v>
      </c>
      <c r="N400" s="60" t="s">
        <v>98</v>
      </c>
      <c r="O400" s="49" t="s">
        <v>2</v>
      </c>
      <c r="P400" s="8">
        <v>4</v>
      </c>
      <c r="Q400" s="8" t="s">
        <v>1745</v>
      </c>
      <c r="R400" s="8" t="s">
        <v>1598</v>
      </c>
      <c r="S400" s="9" t="str">
        <f>IFERROR(HYPERLINK("#Main!A"&amp;MATCH(A400,Main!A:A,0),"Open"),HYPERLINK("#Main!A1","Open"))</f>
        <v>Open</v>
      </c>
      <c r="T400" s="9" t="str">
        <f>IFERROR(HYPERLINK("#Technical!A"&amp;MATCH(A400,Technical!A:A,0),"Open"),HYPERLINK("#Technical!A1","Open"))</f>
        <v>Open</v>
      </c>
      <c r="U400" s="9"/>
    </row>
    <row r="401" spans="1:21" ht="30" customHeight="1" x14ac:dyDescent="0.25">
      <c r="A401" s="58" t="s">
        <v>743</v>
      </c>
      <c r="B401" s="11">
        <v>17195</v>
      </c>
      <c r="C401" s="43" t="s">
        <v>1399</v>
      </c>
      <c r="D401" s="11" t="s">
        <v>1223</v>
      </c>
      <c r="E401" s="64" t="s">
        <v>68</v>
      </c>
      <c r="F401" s="11" t="s">
        <v>1599</v>
      </c>
      <c r="G401" s="10">
        <v>37</v>
      </c>
      <c r="H401" s="11">
        <v>192</v>
      </c>
      <c r="I401" s="11" t="s">
        <v>1233</v>
      </c>
      <c r="J401" s="11" t="s">
        <v>1600</v>
      </c>
      <c r="K401" s="72" t="s">
        <v>6</v>
      </c>
      <c r="L401" s="11" t="s">
        <v>891</v>
      </c>
      <c r="M401" s="11" t="s">
        <v>864</v>
      </c>
      <c r="N401" s="60" t="s">
        <v>98</v>
      </c>
      <c r="O401" s="49" t="s">
        <v>2</v>
      </c>
      <c r="P401" s="11">
        <v>4</v>
      </c>
      <c r="Q401" s="11" t="s">
        <v>1746</v>
      </c>
      <c r="R401" s="11" t="s">
        <v>1602</v>
      </c>
      <c r="S401" t="str">
        <f>IFERROR(HYPERLINK("#Main!A"&amp;MATCH(A401,Main!A:A,0),"Open"),HYPERLINK("#Main!A1","Open"))</f>
        <v>Open</v>
      </c>
      <c r="T401" t="str">
        <f>IFERROR(HYPERLINK("#Technical!A"&amp;MATCH(A401,Technical!A:A,0),"Open"),HYPERLINK("#Technical!A1","Open"))</f>
        <v>Open</v>
      </c>
    </row>
    <row r="402" spans="1:21" ht="30" customHeight="1" x14ac:dyDescent="0.25">
      <c r="A402" s="59" t="s">
        <v>743</v>
      </c>
      <c r="B402" s="8">
        <v>17195</v>
      </c>
      <c r="C402" s="43" t="s">
        <v>1399</v>
      </c>
      <c r="D402" s="8" t="s">
        <v>1223</v>
      </c>
      <c r="E402" s="64" t="s">
        <v>68</v>
      </c>
      <c r="F402" s="8" t="s">
        <v>1594</v>
      </c>
      <c r="G402" s="36">
        <v>37</v>
      </c>
      <c r="H402" s="8">
        <v>0</v>
      </c>
      <c r="I402" s="8" t="s">
        <v>1595</v>
      </c>
      <c r="J402" s="8" t="s">
        <v>1596</v>
      </c>
      <c r="K402" s="71" t="s">
        <v>11</v>
      </c>
      <c r="L402" s="8" t="s">
        <v>1201</v>
      </c>
      <c r="M402" s="8" t="s">
        <v>864</v>
      </c>
      <c r="N402" s="60" t="s">
        <v>98</v>
      </c>
      <c r="O402" s="49" t="s">
        <v>2</v>
      </c>
      <c r="P402" s="8">
        <v>4</v>
      </c>
      <c r="Q402" s="8" t="s">
        <v>1747</v>
      </c>
      <c r="R402" s="8" t="s">
        <v>1598</v>
      </c>
      <c r="S402" s="9" t="str">
        <f>IFERROR(HYPERLINK("#Main!A"&amp;MATCH(A402,Main!A:A,0),"Open"),HYPERLINK("#Main!A1","Open"))</f>
        <v>Open</v>
      </c>
      <c r="T402" s="9" t="str">
        <f>IFERROR(HYPERLINK("#Technical!A"&amp;MATCH(A402,Technical!A:A,0),"Open"),HYPERLINK("#Technical!A1","Open"))</f>
        <v>Open</v>
      </c>
      <c r="U402" s="9"/>
    </row>
    <row r="403" spans="1:21" ht="30" customHeight="1" x14ac:dyDescent="0.25">
      <c r="A403" s="58" t="s">
        <v>750</v>
      </c>
      <c r="B403" s="11">
        <v>7916</v>
      </c>
      <c r="C403" s="43" t="s">
        <v>1401</v>
      </c>
      <c r="D403" s="11" t="s">
        <v>1223</v>
      </c>
      <c r="E403" s="64" t="s">
        <v>68</v>
      </c>
      <c r="F403" s="11" t="s">
        <v>1599</v>
      </c>
      <c r="G403" s="10">
        <v>37</v>
      </c>
      <c r="H403" s="11">
        <v>345</v>
      </c>
      <c r="I403" s="11" t="s">
        <v>1233</v>
      </c>
      <c r="J403" s="11" t="s">
        <v>1600</v>
      </c>
      <c r="K403" s="72" t="s">
        <v>6</v>
      </c>
      <c r="L403" s="11" t="s">
        <v>891</v>
      </c>
      <c r="M403" s="11" t="s">
        <v>864</v>
      </c>
      <c r="N403" s="60" t="s">
        <v>98</v>
      </c>
      <c r="O403" s="49" t="s">
        <v>2</v>
      </c>
      <c r="P403" s="11">
        <v>4</v>
      </c>
      <c r="Q403" s="11" t="s">
        <v>1748</v>
      </c>
      <c r="R403" s="11" t="s">
        <v>1602</v>
      </c>
      <c r="S403" t="str">
        <f>IFERROR(HYPERLINK("#Main!A"&amp;MATCH(A403,Main!A:A,0),"Open"),HYPERLINK("#Main!A1","Open"))</f>
        <v>Open</v>
      </c>
      <c r="T403" t="str">
        <f>IFERROR(HYPERLINK("#Technical!A"&amp;MATCH(A403,Technical!A:A,0),"Open"),HYPERLINK("#Technical!A1","Open"))</f>
        <v>Open</v>
      </c>
    </row>
    <row r="404" spans="1:21" ht="30" customHeight="1" x14ac:dyDescent="0.25">
      <c r="A404" s="59" t="s">
        <v>750</v>
      </c>
      <c r="B404" s="8">
        <v>7916</v>
      </c>
      <c r="C404" s="43" t="s">
        <v>1401</v>
      </c>
      <c r="D404" s="8" t="s">
        <v>1223</v>
      </c>
      <c r="E404" s="64" t="s">
        <v>68</v>
      </c>
      <c r="F404" s="8" t="s">
        <v>1594</v>
      </c>
      <c r="G404" s="36">
        <v>37</v>
      </c>
      <c r="H404" s="8">
        <v>0</v>
      </c>
      <c r="I404" s="8" t="s">
        <v>1595</v>
      </c>
      <c r="J404" s="8" t="s">
        <v>1596</v>
      </c>
      <c r="K404" s="71" t="s">
        <v>11</v>
      </c>
      <c r="L404" s="8" t="s">
        <v>1201</v>
      </c>
      <c r="M404" s="8" t="s">
        <v>864</v>
      </c>
      <c r="N404" s="60" t="s">
        <v>98</v>
      </c>
      <c r="O404" s="49" t="s">
        <v>2</v>
      </c>
      <c r="P404" s="8">
        <v>4</v>
      </c>
      <c r="Q404" s="8" t="s">
        <v>1749</v>
      </c>
      <c r="R404" s="8" t="s">
        <v>1598</v>
      </c>
      <c r="S404" s="9" t="str">
        <f>IFERROR(HYPERLINK("#Main!A"&amp;MATCH(A404,Main!A:A,0),"Open"),HYPERLINK("#Main!A1","Open"))</f>
        <v>Open</v>
      </c>
      <c r="T404" s="9" t="str">
        <f>IFERROR(HYPERLINK("#Technical!A"&amp;MATCH(A404,Technical!A:A,0),"Open"),HYPERLINK("#Technical!A1","Open"))</f>
        <v>Open</v>
      </c>
      <c r="U404" s="9"/>
    </row>
    <row r="405" spans="1:21" ht="30" customHeight="1" x14ac:dyDescent="0.25">
      <c r="A405" s="58" t="s">
        <v>758</v>
      </c>
      <c r="B405" s="11">
        <v>17000</v>
      </c>
      <c r="C405" s="43" t="s">
        <v>1403</v>
      </c>
      <c r="D405" s="11" t="s">
        <v>1223</v>
      </c>
      <c r="E405" s="64" t="s">
        <v>68</v>
      </c>
      <c r="F405" s="11" t="s">
        <v>1625</v>
      </c>
      <c r="G405" s="10">
        <v>37</v>
      </c>
      <c r="H405" s="11">
        <v>56</v>
      </c>
      <c r="I405" s="11" t="s">
        <v>1233</v>
      </c>
      <c r="J405" s="11" t="s">
        <v>1626</v>
      </c>
      <c r="K405" s="72" t="s">
        <v>6</v>
      </c>
      <c r="L405" s="11" t="s">
        <v>891</v>
      </c>
      <c r="M405" s="11" t="s">
        <v>864</v>
      </c>
      <c r="N405" s="60" t="s">
        <v>98</v>
      </c>
      <c r="O405" s="49" t="s">
        <v>2</v>
      </c>
      <c r="P405" s="11">
        <v>4</v>
      </c>
      <c r="Q405" s="11" t="s">
        <v>1750</v>
      </c>
      <c r="R405" s="11" t="s">
        <v>1628</v>
      </c>
      <c r="S405" t="str">
        <f>IFERROR(HYPERLINK("#Main!A"&amp;MATCH(A405,Main!A:A,0),"Open"),HYPERLINK("#Main!A1","Open"))</f>
        <v>Open</v>
      </c>
      <c r="T405" t="str">
        <f>IFERROR(HYPERLINK("#Technical!A"&amp;MATCH(A405,Technical!A:A,0),"Open"),HYPERLINK("#Technical!A1","Open"))</f>
        <v>Open</v>
      </c>
    </row>
    <row r="406" spans="1:21" ht="30" customHeight="1" x14ac:dyDescent="0.25">
      <c r="A406" s="59" t="s">
        <v>758</v>
      </c>
      <c r="B406" s="8">
        <v>17000</v>
      </c>
      <c r="C406" s="43" t="s">
        <v>1403</v>
      </c>
      <c r="D406" s="8" t="s">
        <v>1223</v>
      </c>
      <c r="E406" s="64" t="s">
        <v>68</v>
      </c>
      <c r="F406" s="8" t="s">
        <v>1594</v>
      </c>
      <c r="G406" s="36">
        <v>37</v>
      </c>
      <c r="H406" s="8">
        <v>0</v>
      </c>
      <c r="I406" s="8" t="s">
        <v>1595</v>
      </c>
      <c r="J406" s="8" t="s">
        <v>1596</v>
      </c>
      <c r="K406" s="71" t="s">
        <v>11</v>
      </c>
      <c r="L406" s="8" t="s">
        <v>1201</v>
      </c>
      <c r="M406" s="8" t="s">
        <v>864</v>
      </c>
      <c r="N406" s="60" t="s">
        <v>98</v>
      </c>
      <c r="O406" s="49" t="s">
        <v>2</v>
      </c>
      <c r="P406" s="8">
        <v>4</v>
      </c>
      <c r="Q406" s="8" t="s">
        <v>1751</v>
      </c>
      <c r="R406" s="8" t="s">
        <v>1598</v>
      </c>
      <c r="S406" s="9" t="str">
        <f>IFERROR(HYPERLINK("#Main!A"&amp;MATCH(A406,Main!A:A,0),"Open"),HYPERLINK("#Main!A1","Open"))</f>
        <v>Open</v>
      </c>
      <c r="T406" s="9" t="str">
        <f>IFERROR(HYPERLINK("#Technical!A"&amp;MATCH(A406,Technical!A:A,0),"Open"),HYPERLINK("#Technical!A1","Open"))</f>
        <v>Open</v>
      </c>
      <c r="U406" s="9"/>
    </row>
    <row r="407" spans="1:21" ht="30" customHeight="1" x14ac:dyDescent="0.25">
      <c r="A407" s="58" t="s">
        <v>766</v>
      </c>
      <c r="B407" s="11">
        <v>17196</v>
      </c>
      <c r="C407" s="43" t="s">
        <v>1405</v>
      </c>
      <c r="D407" s="11" t="s">
        <v>1223</v>
      </c>
      <c r="E407" s="64" t="s">
        <v>68</v>
      </c>
      <c r="F407" s="11" t="s">
        <v>1625</v>
      </c>
      <c r="G407" s="10">
        <v>37</v>
      </c>
      <c r="H407" s="11">
        <v>56</v>
      </c>
      <c r="I407" s="11" t="s">
        <v>1233</v>
      </c>
      <c r="J407" s="11" t="s">
        <v>1626</v>
      </c>
      <c r="K407" s="72" t="s">
        <v>6</v>
      </c>
      <c r="L407" s="11" t="s">
        <v>891</v>
      </c>
      <c r="M407" s="11" t="s">
        <v>864</v>
      </c>
      <c r="N407" s="60" t="s">
        <v>98</v>
      </c>
      <c r="O407" s="49" t="s">
        <v>2</v>
      </c>
      <c r="P407" s="11">
        <v>4</v>
      </c>
      <c r="Q407" s="11" t="s">
        <v>1752</v>
      </c>
      <c r="R407" s="11" t="s">
        <v>1628</v>
      </c>
      <c r="S407" t="str">
        <f>IFERROR(HYPERLINK("#Main!A"&amp;MATCH(A407,Main!A:A,0),"Open"),HYPERLINK("#Main!A1","Open"))</f>
        <v>Open</v>
      </c>
      <c r="T407" t="str">
        <f>IFERROR(HYPERLINK("#Technical!A"&amp;MATCH(A407,Technical!A:A,0),"Open"),HYPERLINK("#Technical!A1","Open"))</f>
        <v>Open</v>
      </c>
    </row>
    <row r="408" spans="1:21" ht="30" customHeight="1" x14ac:dyDescent="0.25">
      <c r="A408" s="59" t="s">
        <v>766</v>
      </c>
      <c r="B408" s="8">
        <v>17196</v>
      </c>
      <c r="C408" s="43" t="s">
        <v>1405</v>
      </c>
      <c r="D408" s="8" t="s">
        <v>1223</v>
      </c>
      <c r="E408" s="64" t="s">
        <v>68</v>
      </c>
      <c r="F408" s="8" t="s">
        <v>1594</v>
      </c>
      <c r="G408" s="36">
        <v>37</v>
      </c>
      <c r="H408" s="8">
        <v>0</v>
      </c>
      <c r="I408" s="8" t="s">
        <v>1595</v>
      </c>
      <c r="J408" s="8" t="s">
        <v>1596</v>
      </c>
      <c r="K408" s="71" t="s">
        <v>11</v>
      </c>
      <c r="L408" s="8" t="s">
        <v>1201</v>
      </c>
      <c r="M408" s="8" t="s">
        <v>864</v>
      </c>
      <c r="N408" s="60" t="s">
        <v>98</v>
      </c>
      <c r="O408" s="49" t="s">
        <v>2</v>
      </c>
      <c r="P408" s="8">
        <v>4</v>
      </c>
      <c r="Q408" s="8" t="s">
        <v>1753</v>
      </c>
      <c r="R408" s="8" t="s">
        <v>1598</v>
      </c>
      <c r="S408" s="9" t="str">
        <f>IFERROR(HYPERLINK("#Main!A"&amp;MATCH(A408,Main!A:A,0),"Open"),HYPERLINK("#Main!A1","Open"))</f>
        <v>Open</v>
      </c>
      <c r="T408" s="9" t="str">
        <f>IFERROR(HYPERLINK("#Technical!A"&amp;MATCH(A408,Technical!A:A,0),"Open"),HYPERLINK("#Technical!A1","Open"))</f>
        <v>Open</v>
      </c>
      <c r="U408" s="9"/>
    </row>
    <row r="409" spans="1:21" ht="30" customHeight="1" x14ac:dyDescent="0.25">
      <c r="A409" s="58" t="s">
        <v>774</v>
      </c>
      <c r="B409" s="11">
        <v>4909</v>
      </c>
      <c r="C409" s="43" t="s">
        <v>1407</v>
      </c>
      <c r="D409" s="11" t="s">
        <v>1223</v>
      </c>
      <c r="E409" s="64" t="s">
        <v>68</v>
      </c>
      <c r="F409" s="11" t="s">
        <v>1599</v>
      </c>
      <c r="G409" s="10">
        <v>37</v>
      </c>
      <c r="H409" s="11">
        <v>352</v>
      </c>
      <c r="I409" s="11" t="s">
        <v>1233</v>
      </c>
      <c r="J409" s="11" t="s">
        <v>1600</v>
      </c>
      <c r="K409" s="72" t="s">
        <v>6</v>
      </c>
      <c r="L409" s="11" t="s">
        <v>891</v>
      </c>
      <c r="M409" s="11" t="s">
        <v>864</v>
      </c>
      <c r="N409" s="60" t="s">
        <v>98</v>
      </c>
      <c r="O409" s="49" t="s">
        <v>2</v>
      </c>
      <c r="P409" s="11">
        <v>4</v>
      </c>
      <c r="Q409" s="11" t="s">
        <v>1754</v>
      </c>
      <c r="R409" s="11" t="s">
        <v>1602</v>
      </c>
      <c r="S409" t="str">
        <f>IFERROR(HYPERLINK("#Main!A"&amp;MATCH(A409,Main!A:A,0),"Open"),HYPERLINK("#Main!A1","Open"))</f>
        <v>Open</v>
      </c>
      <c r="T409" t="str">
        <f>IFERROR(HYPERLINK("#Technical!A"&amp;MATCH(A409,Technical!A:A,0),"Open"),HYPERLINK("#Technical!A1","Open"))</f>
        <v>Open</v>
      </c>
    </row>
    <row r="410" spans="1:21" ht="30" customHeight="1" x14ac:dyDescent="0.25">
      <c r="A410" s="59" t="s">
        <v>774</v>
      </c>
      <c r="B410" s="8">
        <v>4909</v>
      </c>
      <c r="C410" s="43" t="s">
        <v>1407</v>
      </c>
      <c r="D410" s="8" t="s">
        <v>1223</v>
      </c>
      <c r="E410" s="64" t="s">
        <v>68</v>
      </c>
      <c r="F410" s="8" t="s">
        <v>1594</v>
      </c>
      <c r="G410" s="36">
        <v>37</v>
      </c>
      <c r="H410" s="8">
        <v>0</v>
      </c>
      <c r="I410" s="8" t="s">
        <v>1595</v>
      </c>
      <c r="J410" s="8" t="s">
        <v>1596</v>
      </c>
      <c r="K410" s="71" t="s">
        <v>11</v>
      </c>
      <c r="L410" s="8" t="s">
        <v>1201</v>
      </c>
      <c r="M410" s="8" t="s">
        <v>864</v>
      </c>
      <c r="N410" s="60" t="s">
        <v>98</v>
      </c>
      <c r="O410" s="49" t="s">
        <v>2</v>
      </c>
      <c r="P410" s="8">
        <v>4</v>
      </c>
      <c r="Q410" s="8" t="s">
        <v>1755</v>
      </c>
      <c r="R410" s="8" t="s">
        <v>1598</v>
      </c>
      <c r="S410" s="9" t="str">
        <f>IFERROR(HYPERLINK("#Main!A"&amp;MATCH(A410,Main!A:A,0),"Open"),HYPERLINK("#Main!A1","Open"))</f>
        <v>Open</v>
      </c>
      <c r="T410" s="9" t="str">
        <f>IFERROR(HYPERLINK("#Technical!A"&amp;MATCH(A410,Technical!A:A,0),"Open"),HYPERLINK("#Technical!A1","Open"))</f>
        <v>Open</v>
      </c>
      <c r="U410" s="9"/>
    </row>
    <row r="411" spans="1:21" ht="30" customHeight="1" x14ac:dyDescent="0.25">
      <c r="A411" s="58" t="s">
        <v>782</v>
      </c>
      <c r="B411" s="11">
        <v>5290</v>
      </c>
      <c r="C411" s="43" t="s">
        <v>1409</v>
      </c>
      <c r="D411" s="11" t="s">
        <v>1223</v>
      </c>
      <c r="E411" s="64" t="s">
        <v>68</v>
      </c>
      <c r="F411" s="11" t="s">
        <v>1599</v>
      </c>
      <c r="G411" s="10">
        <v>37</v>
      </c>
      <c r="H411" s="11">
        <v>347</v>
      </c>
      <c r="I411" s="11" t="s">
        <v>1233</v>
      </c>
      <c r="J411" s="11" t="s">
        <v>1600</v>
      </c>
      <c r="K411" s="72" t="s">
        <v>6</v>
      </c>
      <c r="L411" s="11" t="s">
        <v>891</v>
      </c>
      <c r="M411" s="11" t="s">
        <v>864</v>
      </c>
      <c r="N411" s="60" t="s">
        <v>98</v>
      </c>
      <c r="O411" s="49" t="s">
        <v>2</v>
      </c>
      <c r="P411" s="11">
        <v>4</v>
      </c>
      <c r="Q411" s="11" t="s">
        <v>1756</v>
      </c>
      <c r="R411" s="11" t="s">
        <v>1602</v>
      </c>
      <c r="S411" t="str">
        <f>IFERROR(HYPERLINK("#Main!A"&amp;MATCH(A411,Main!A:A,0),"Open"),HYPERLINK("#Main!A1","Open"))</f>
        <v>Open</v>
      </c>
      <c r="T411" t="str">
        <f>IFERROR(HYPERLINK("#Technical!A"&amp;MATCH(A411,Technical!A:A,0),"Open"),HYPERLINK("#Technical!A1","Open"))</f>
        <v>Open</v>
      </c>
    </row>
    <row r="412" spans="1:21" ht="30" customHeight="1" x14ac:dyDescent="0.25">
      <c r="A412" s="59" t="s">
        <v>782</v>
      </c>
      <c r="B412" s="8">
        <v>5290</v>
      </c>
      <c r="C412" s="43" t="s">
        <v>1409</v>
      </c>
      <c r="D412" s="8" t="s">
        <v>1223</v>
      </c>
      <c r="E412" s="64" t="s">
        <v>68</v>
      </c>
      <c r="F412" s="8" t="s">
        <v>1594</v>
      </c>
      <c r="G412" s="36">
        <v>37</v>
      </c>
      <c r="H412" s="8">
        <v>0</v>
      </c>
      <c r="I412" s="8" t="s">
        <v>1595</v>
      </c>
      <c r="J412" s="8" t="s">
        <v>1596</v>
      </c>
      <c r="K412" s="71" t="s">
        <v>11</v>
      </c>
      <c r="L412" s="8" t="s">
        <v>1201</v>
      </c>
      <c r="M412" s="8" t="s">
        <v>864</v>
      </c>
      <c r="N412" s="60" t="s">
        <v>98</v>
      </c>
      <c r="O412" s="49" t="s">
        <v>2</v>
      </c>
      <c r="P412" s="8">
        <v>4</v>
      </c>
      <c r="Q412" s="8" t="s">
        <v>1757</v>
      </c>
      <c r="R412" s="8" t="s">
        <v>1598</v>
      </c>
      <c r="S412" s="9" t="str">
        <f>IFERROR(HYPERLINK("#Main!A"&amp;MATCH(A412,Main!A:A,0),"Open"),HYPERLINK("#Main!A1","Open"))</f>
        <v>Open</v>
      </c>
      <c r="T412" s="9" t="str">
        <f>IFERROR(HYPERLINK("#Technical!A"&amp;MATCH(A412,Technical!A:A,0),"Open"),HYPERLINK("#Technical!A1","Open"))</f>
        <v>Open</v>
      </c>
      <c r="U412" s="9"/>
    </row>
    <row r="413" spans="1:21" ht="30" customHeight="1" x14ac:dyDescent="0.25">
      <c r="A413" s="58" t="s">
        <v>140</v>
      </c>
      <c r="B413" s="11">
        <v>8</v>
      </c>
      <c r="C413" s="43" t="s">
        <v>1243</v>
      </c>
      <c r="D413" s="11" t="s">
        <v>8</v>
      </c>
      <c r="E413" s="64" t="s">
        <v>68</v>
      </c>
      <c r="F413" s="11" t="s">
        <v>1758</v>
      </c>
      <c r="G413" s="10">
        <v>37</v>
      </c>
      <c r="H413" s="11">
        <v>0</v>
      </c>
      <c r="I413" s="11" t="s">
        <v>1759</v>
      </c>
      <c r="J413" s="11" t="s">
        <v>1760</v>
      </c>
      <c r="K413" s="72" t="s">
        <v>9</v>
      </c>
      <c r="L413" s="11" t="s">
        <v>1183</v>
      </c>
      <c r="M413" s="11" t="s">
        <v>864</v>
      </c>
      <c r="N413" s="60" t="s">
        <v>98</v>
      </c>
      <c r="O413" s="49" t="s">
        <v>2</v>
      </c>
      <c r="P413" s="11">
        <v>4</v>
      </c>
      <c r="Q413" s="11" t="s">
        <v>1761</v>
      </c>
      <c r="R413" s="11" t="s">
        <v>1762</v>
      </c>
      <c r="S413" t="str">
        <f>IFERROR(HYPERLINK("#Main!A"&amp;MATCH(A413,Main!A:A,0),"Open"),HYPERLINK("#Main!A1","Open"))</f>
        <v>Open</v>
      </c>
      <c r="T413" t="str">
        <f>IFERROR(HYPERLINK("#Technical!A"&amp;MATCH(A413,Technical!A:A,0),"Open"),HYPERLINK("#Technical!A1","Open"))</f>
        <v>Open</v>
      </c>
    </row>
    <row r="414" spans="1:21" ht="30" customHeight="1" x14ac:dyDescent="0.25">
      <c r="A414" s="59" t="s">
        <v>148</v>
      </c>
      <c r="B414" s="8">
        <v>84</v>
      </c>
      <c r="C414" s="43" t="s">
        <v>1249</v>
      </c>
      <c r="D414" s="8" t="s">
        <v>8</v>
      </c>
      <c r="E414" s="64" t="s">
        <v>68</v>
      </c>
      <c r="F414" s="8" t="s">
        <v>1758</v>
      </c>
      <c r="G414" s="36">
        <v>37</v>
      </c>
      <c r="H414" s="8">
        <v>0</v>
      </c>
      <c r="I414" s="8" t="s">
        <v>1759</v>
      </c>
      <c r="J414" s="8" t="s">
        <v>1760</v>
      </c>
      <c r="K414" s="71" t="s">
        <v>9</v>
      </c>
      <c r="L414" s="8" t="s">
        <v>1183</v>
      </c>
      <c r="M414" s="8" t="s">
        <v>864</v>
      </c>
      <c r="N414" s="60" t="s">
        <v>98</v>
      </c>
      <c r="O414" s="49" t="s">
        <v>2</v>
      </c>
      <c r="P414" s="8">
        <v>4</v>
      </c>
      <c r="Q414" s="8" t="s">
        <v>1763</v>
      </c>
      <c r="R414" s="8" t="s">
        <v>1762</v>
      </c>
      <c r="S414" s="9" t="str">
        <f>IFERROR(HYPERLINK("#Main!A"&amp;MATCH(A414,Main!A:A,0),"Open"),HYPERLINK("#Main!A1","Open"))</f>
        <v>Open</v>
      </c>
      <c r="T414" s="9" t="str">
        <f>IFERROR(HYPERLINK("#Technical!A"&amp;MATCH(A414,Technical!A:A,0),"Open"),HYPERLINK("#Technical!A1","Open"))</f>
        <v>Open</v>
      </c>
      <c r="U414" s="9"/>
    </row>
    <row r="415" spans="1:21" ht="30" customHeight="1" x14ac:dyDescent="0.25">
      <c r="A415" s="58" t="s">
        <v>156</v>
      </c>
      <c r="B415" s="11">
        <v>28165</v>
      </c>
      <c r="C415" s="43" t="s">
        <v>1251</v>
      </c>
      <c r="D415" s="11" t="s">
        <v>8</v>
      </c>
      <c r="E415" s="64" t="s">
        <v>68</v>
      </c>
      <c r="F415" s="11" t="s">
        <v>1758</v>
      </c>
      <c r="G415" s="10">
        <v>37</v>
      </c>
      <c r="H415" s="11">
        <v>0</v>
      </c>
      <c r="I415" s="11" t="s">
        <v>1759</v>
      </c>
      <c r="J415" s="11" t="s">
        <v>1760</v>
      </c>
      <c r="K415" s="72" t="s">
        <v>9</v>
      </c>
      <c r="L415" s="11" t="s">
        <v>1183</v>
      </c>
      <c r="M415" s="11" t="s">
        <v>864</v>
      </c>
      <c r="N415" s="60" t="s">
        <v>98</v>
      </c>
      <c r="O415" s="49" t="s">
        <v>2</v>
      </c>
      <c r="P415" s="11">
        <v>4</v>
      </c>
      <c r="Q415" s="11" t="s">
        <v>1764</v>
      </c>
      <c r="R415" s="11" t="s">
        <v>1762</v>
      </c>
      <c r="S415" t="str">
        <f>IFERROR(HYPERLINK("#Main!A"&amp;MATCH(A415,Main!A:A,0),"Open"),HYPERLINK("#Main!A1","Open"))</f>
        <v>Open</v>
      </c>
      <c r="T415" t="str">
        <f>IFERROR(HYPERLINK("#Technical!A"&amp;MATCH(A415,Technical!A:A,0),"Open"),HYPERLINK("#Technical!A1","Open"))</f>
        <v>Open</v>
      </c>
    </row>
    <row r="416" spans="1:21" ht="30" customHeight="1" x14ac:dyDescent="0.25">
      <c r="A416" s="59" t="s">
        <v>164</v>
      </c>
      <c r="B416" s="8">
        <v>16125</v>
      </c>
      <c r="C416" s="43" t="s">
        <v>1253</v>
      </c>
      <c r="D416" s="8" t="s">
        <v>8</v>
      </c>
      <c r="E416" s="64" t="s">
        <v>68</v>
      </c>
      <c r="F416" s="8" t="s">
        <v>1758</v>
      </c>
      <c r="G416" s="36">
        <v>37</v>
      </c>
      <c r="H416" s="8">
        <v>0</v>
      </c>
      <c r="I416" s="8" t="s">
        <v>1759</v>
      </c>
      <c r="J416" s="8" t="s">
        <v>1760</v>
      </c>
      <c r="K416" s="71" t="s">
        <v>9</v>
      </c>
      <c r="L416" s="8" t="s">
        <v>1183</v>
      </c>
      <c r="M416" s="8" t="s">
        <v>864</v>
      </c>
      <c r="N416" s="60" t="s">
        <v>98</v>
      </c>
      <c r="O416" s="49" t="s">
        <v>2</v>
      </c>
      <c r="P416" s="8">
        <v>4</v>
      </c>
      <c r="Q416" s="8" t="s">
        <v>1765</v>
      </c>
      <c r="R416" s="8" t="s">
        <v>1762</v>
      </c>
      <c r="S416" s="9" t="str">
        <f>IFERROR(HYPERLINK("#Main!A"&amp;MATCH(A416,Main!A:A,0),"Open"),HYPERLINK("#Main!A1","Open"))</f>
        <v>Open</v>
      </c>
      <c r="T416" s="9" t="str">
        <f>IFERROR(HYPERLINK("#Technical!A"&amp;MATCH(A416,Technical!A:A,0),"Open"),HYPERLINK("#Technical!A1","Open"))</f>
        <v>Open</v>
      </c>
      <c r="U416" s="9"/>
    </row>
    <row r="417" spans="1:21" ht="30" customHeight="1" x14ac:dyDescent="0.25">
      <c r="A417" s="58" t="s">
        <v>172</v>
      </c>
      <c r="B417" s="11">
        <v>5619</v>
      </c>
      <c r="C417" s="43" t="s">
        <v>1255</v>
      </c>
      <c r="D417" s="11" t="s">
        <v>8</v>
      </c>
      <c r="E417" s="64" t="s">
        <v>68</v>
      </c>
      <c r="F417" s="11" t="s">
        <v>1758</v>
      </c>
      <c r="G417" s="10">
        <v>37</v>
      </c>
      <c r="H417" s="11">
        <v>0</v>
      </c>
      <c r="I417" s="11" t="s">
        <v>1759</v>
      </c>
      <c r="J417" s="11" t="s">
        <v>1760</v>
      </c>
      <c r="K417" s="72" t="s">
        <v>9</v>
      </c>
      <c r="L417" s="11" t="s">
        <v>1183</v>
      </c>
      <c r="M417" s="11" t="s">
        <v>864</v>
      </c>
      <c r="N417" s="60" t="s">
        <v>98</v>
      </c>
      <c r="O417" s="49" t="s">
        <v>2</v>
      </c>
      <c r="P417" s="11">
        <v>4</v>
      </c>
      <c r="Q417" s="11" t="s">
        <v>1766</v>
      </c>
      <c r="R417" s="11" t="s">
        <v>1762</v>
      </c>
      <c r="S417" t="str">
        <f>IFERROR(HYPERLINK("#Main!A"&amp;MATCH(A417,Main!A:A,0),"Open"),HYPERLINK("#Main!A1","Open"))</f>
        <v>Open</v>
      </c>
      <c r="T417" t="str">
        <f>IFERROR(HYPERLINK("#Technical!A"&amp;MATCH(A417,Technical!A:A,0),"Open"),HYPERLINK("#Technical!A1","Open"))</f>
        <v>Open</v>
      </c>
    </row>
    <row r="418" spans="1:21" ht="30" customHeight="1" x14ac:dyDescent="0.25">
      <c r="A418" s="59" t="s">
        <v>180</v>
      </c>
      <c r="B418" s="8">
        <v>4941</v>
      </c>
      <c r="C418" s="43" t="s">
        <v>1257</v>
      </c>
      <c r="D418" s="8" t="s">
        <v>8</v>
      </c>
      <c r="E418" s="64" t="s">
        <v>68</v>
      </c>
      <c r="F418" s="8" t="s">
        <v>1758</v>
      </c>
      <c r="G418" s="36">
        <v>37</v>
      </c>
      <c r="H418" s="8">
        <v>0</v>
      </c>
      <c r="I418" s="8" t="s">
        <v>1759</v>
      </c>
      <c r="J418" s="8" t="s">
        <v>1760</v>
      </c>
      <c r="K418" s="71" t="s">
        <v>9</v>
      </c>
      <c r="L418" s="8" t="s">
        <v>1183</v>
      </c>
      <c r="M418" s="8" t="s">
        <v>864</v>
      </c>
      <c r="N418" s="60" t="s">
        <v>98</v>
      </c>
      <c r="O418" s="49" t="s">
        <v>2</v>
      </c>
      <c r="P418" s="8">
        <v>4</v>
      </c>
      <c r="Q418" s="8" t="s">
        <v>1767</v>
      </c>
      <c r="R418" s="8" t="s">
        <v>1762</v>
      </c>
      <c r="S418" s="9" t="str">
        <f>IFERROR(HYPERLINK("#Main!A"&amp;MATCH(A418,Main!A:A,0),"Open"),HYPERLINK("#Main!A1","Open"))</f>
        <v>Open</v>
      </c>
      <c r="T418" s="9" t="str">
        <f>IFERROR(HYPERLINK("#Technical!A"&amp;MATCH(A418,Technical!A:A,0),"Open"),HYPERLINK("#Technical!A1","Open"))</f>
        <v>Open</v>
      </c>
      <c r="U418" s="9"/>
    </row>
    <row r="419" spans="1:21" ht="30" customHeight="1" x14ac:dyDescent="0.25">
      <c r="A419" s="58" t="s">
        <v>188</v>
      </c>
      <c r="B419" s="11">
        <v>4494</v>
      </c>
      <c r="C419" s="43" t="s">
        <v>1259</v>
      </c>
      <c r="D419" s="11" t="s">
        <v>8</v>
      </c>
      <c r="E419" s="64" t="s">
        <v>68</v>
      </c>
      <c r="F419" s="11" t="s">
        <v>1758</v>
      </c>
      <c r="G419" s="10">
        <v>37</v>
      </c>
      <c r="H419" s="11">
        <v>0</v>
      </c>
      <c r="I419" s="11" t="s">
        <v>1759</v>
      </c>
      <c r="J419" s="11" t="s">
        <v>1760</v>
      </c>
      <c r="K419" s="72" t="s">
        <v>9</v>
      </c>
      <c r="L419" s="11" t="s">
        <v>1183</v>
      </c>
      <c r="M419" s="11" t="s">
        <v>864</v>
      </c>
      <c r="N419" s="60" t="s">
        <v>98</v>
      </c>
      <c r="O419" s="49" t="s">
        <v>2</v>
      </c>
      <c r="P419" s="11">
        <v>4</v>
      </c>
      <c r="Q419" s="11" t="s">
        <v>1768</v>
      </c>
      <c r="R419" s="11" t="s">
        <v>1762</v>
      </c>
      <c r="S419" t="str">
        <f>IFERROR(HYPERLINK("#Main!A"&amp;MATCH(A419,Main!A:A,0),"Open"),HYPERLINK("#Main!A1","Open"))</f>
        <v>Open</v>
      </c>
      <c r="T419" t="str">
        <f>IFERROR(HYPERLINK("#Technical!A"&amp;MATCH(A419,Technical!A:A,0),"Open"),HYPERLINK("#Technical!A1","Open"))</f>
        <v>Open</v>
      </c>
    </row>
    <row r="420" spans="1:21" ht="30" customHeight="1" x14ac:dyDescent="0.25">
      <c r="A420" s="59" t="s">
        <v>196</v>
      </c>
      <c r="B420" s="8">
        <v>12371</v>
      </c>
      <c r="C420" s="43" t="s">
        <v>1261</v>
      </c>
      <c r="D420" s="8" t="s">
        <v>8</v>
      </c>
      <c r="E420" s="64" t="s">
        <v>68</v>
      </c>
      <c r="F420" s="8" t="s">
        <v>1758</v>
      </c>
      <c r="G420" s="36">
        <v>37</v>
      </c>
      <c r="H420" s="8">
        <v>0</v>
      </c>
      <c r="I420" s="8" t="s">
        <v>1759</v>
      </c>
      <c r="J420" s="8" t="s">
        <v>1760</v>
      </c>
      <c r="K420" s="71" t="s">
        <v>9</v>
      </c>
      <c r="L420" s="8" t="s">
        <v>1183</v>
      </c>
      <c r="M420" s="8" t="s">
        <v>864</v>
      </c>
      <c r="N420" s="60" t="s">
        <v>98</v>
      </c>
      <c r="O420" s="49" t="s">
        <v>2</v>
      </c>
      <c r="P420" s="8">
        <v>4</v>
      </c>
      <c r="Q420" s="8" t="s">
        <v>1769</v>
      </c>
      <c r="R420" s="8" t="s">
        <v>1762</v>
      </c>
      <c r="S420" s="9" t="str">
        <f>IFERROR(HYPERLINK("#Main!A"&amp;MATCH(A420,Main!A:A,0),"Open"),HYPERLINK("#Main!A1","Open"))</f>
        <v>Open</v>
      </c>
      <c r="T420" s="9" t="str">
        <f>IFERROR(HYPERLINK("#Technical!A"&amp;MATCH(A420,Technical!A:A,0),"Open"),HYPERLINK("#Technical!A1","Open"))</f>
        <v>Open</v>
      </c>
      <c r="U420" s="9"/>
    </row>
    <row r="421" spans="1:21" ht="30" customHeight="1" x14ac:dyDescent="0.25">
      <c r="A421" s="58" t="s">
        <v>99</v>
      </c>
      <c r="B421" s="11">
        <v>13164</v>
      </c>
      <c r="C421" s="43" t="s">
        <v>1230</v>
      </c>
      <c r="D421" s="11" t="s">
        <v>8</v>
      </c>
      <c r="E421" s="64" t="s">
        <v>68</v>
      </c>
      <c r="F421" s="11" t="s">
        <v>1758</v>
      </c>
      <c r="G421" s="10">
        <v>37</v>
      </c>
      <c r="H421" s="11">
        <v>0</v>
      </c>
      <c r="I421" s="11" t="s">
        <v>1759</v>
      </c>
      <c r="J421" s="11" t="s">
        <v>1760</v>
      </c>
      <c r="K421" s="72" t="s">
        <v>9</v>
      </c>
      <c r="L421" s="11" t="s">
        <v>1183</v>
      </c>
      <c r="M421" s="11" t="s">
        <v>864</v>
      </c>
      <c r="N421" s="60" t="s">
        <v>98</v>
      </c>
      <c r="O421" s="49" t="s">
        <v>2</v>
      </c>
      <c r="P421" s="11">
        <v>4</v>
      </c>
      <c r="Q421" s="11" t="s">
        <v>1770</v>
      </c>
      <c r="R421" s="11" t="s">
        <v>1762</v>
      </c>
      <c r="S421" t="str">
        <f>IFERROR(HYPERLINK("#Main!A"&amp;MATCH(A421,Main!A:A,0),"Open"),HYPERLINK("#Main!A1","Open"))</f>
        <v>Open</v>
      </c>
      <c r="T421" t="str">
        <f>IFERROR(HYPERLINK("#Technical!A"&amp;MATCH(A421,Technical!A:A,0),"Open"),HYPERLINK("#Technical!A1","Open"))</f>
        <v>Open</v>
      </c>
    </row>
    <row r="422" spans="1:21" ht="30" customHeight="1" x14ac:dyDescent="0.25">
      <c r="A422" s="59" t="s">
        <v>210</v>
      </c>
      <c r="B422" s="8">
        <v>12954</v>
      </c>
      <c r="C422" s="43" t="s">
        <v>1264</v>
      </c>
      <c r="D422" s="8" t="s">
        <v>8</v>
      </c>
      <c r="E422" s="64" t="s">
        <v>68</v>
      </c>
      <c r="F422" s="8" t="s">
        <v>1758</v>
      </c>
      <c r="G422" s="36">
        <v>37</v>
      </c>
      <c r="H422" s="8">
        <v>0</v>
      </c>
      <c r="I422" s="8" t="s">
        <v>1759</v>
      </c>
      <c r="J422" s="8" t="s">
        <v>1760</v>
      </c>
      <c r="K422" s="71" t="s">
        <v>9</v>
      </c>
      <c r="L422" s="8" t="s">
        <v>1183</v>
      </c>
      <c r="M422" s="8" t="s">
        <v>864</v>
      </c>
      <c r="N422" s="60" t="s">
        <v>98</v>
      </c>
      <c r="O422" s="49" t="s">
        <v>2</v>
      </c>
      <c r="P422" s="8">
        <v>4</v>
      </c>
      <c r="Q422" s="8" t="s">
        <v>1771</v>
      </c>
      <c r="R422" s="8" t="s">
        <v>1762</v>
      </c>
      <c r="S422" s="9" t="str">
        <f>IFERROR(HYPERLINK("#Main!A"&amp;MATCH(A422,Main!A:A,0),"Open"),HYPERLINK("#Main!A1","Open"))</f>
        <v>Open</v>
      </c>
      <c r="T422" s="9" t="str">
        <f>IFERROR(HYPERLINK("#Technical!A"&amp;MATCH(A422,Technical!A:A,0),"Open"),HYPERLINK("#Technical!A1","Open"))</f>
        <v>Open</v>
      </c>
      <c r="U422" s="9"/>
    </row>
    <row r="423" spans="1:21" ht="30" customHeight="1" x14ac:dyDescent="0.25">
      <c r="A423" s="58" t="s">
        <v>218</v>
      </c>
      <c r="B423" s="11">
        <v>12497</v>
      </c>
      <c r="C423" s="43" t="s">
        <v>1266</v>
      </c>
      <c r="D423" s="11" t="s">
        <v>8</v>
      </c>
      <c r="E423" s="64" t="s">
        <v>68</v>
      </c>
      <c r="F423" s="11" t="s">
        <v>1758</v>
      </c>
      <c r="G423" s="10">
        <v>37</v>
      </c>
      <c r="H423" s="11">
        <v>0</v>
      </c>
      <c r="I423" s="11" t="s">
        <v>1759</v>
      </c>
      <c r="J423" s="11" t="s">
        <v>1760</v>
      </c>
      <c r="K423" s="72" t="s">
        <v>9</v>
      </c>
      <c r="L423" s="11" t="s">
        <v>1183</v>
      </c>
      <c r="M423" s="11" t="s">
        <v>864</v>
      </c>
      <c r="N423" s="60" t="s">
        <v>98</v>
      </c>
      <c r="O423" s="49" t="s">
        <v>2</v>
      </c>
      <c r="P423" s="11">
        <v>4</v>
      </c>
      <c r="Q423" s="11" t="s">
        <v>1772</v>
      </c>
      <c r="R423" s="11" t="s">
        <v>1762</v>
      </c>
      <c r="S423" t="str">
        <f>IFERROR(HYPERLINK("#Main!A"&amp;MATCH(A423,Main!A:A,0),"Open"),HYPERLINK("#Main!A1","Open"))</f>
        <v>Open</v>
      </c>
      <c r="T423" t="str">
        <f>IFERROR(HYPERLINK("#Technical!A"&amp;MATCH(A423,Technical!A:A,0),"Open"),HYPERLINK("#Technical!A1","Open"))</f>
        <v>Open</v>
      </c>
    </row>
    <row r="424" spans="1:21" ht="30" customHeight="1" x14ac:dyDescent="0.25">
      <c r="A424" s="59" t="s">
        <v>226</v>
      </c>
      <c r="B424" s="8">
        <v>12407</v>
      </c>
      <c r="C424" s="43" t="s">
        <v>1268</v>
      </c>
      <c r="D424" s="8" t="s">
        <v>8</v>
      </c>
      <c r="E424" s="64" t="s">
        <v>68</v>
      </c>
      <c r="F424" s="8" t="s">
        <v>1758</v>
      </c>
      <c r="G424" s="36">
        <v>37</v>
      </c>
      <c r="H424" s="8">
        <v>0</v>
      </c>
      <c r="I424" s="8" t="s">
        <v>1759</v>
      </c>
      <c r="J424" s="8" t="s">
        <v>1760</v>
      </c>
      <c r="K424" s="71" t="s">
        <v>9</v>
      </c>
      <c r="L424" s="8" t="s">
        <v>1183</v>
      </c>
      <c r="M424" s="8" t="s">
        <v>864</v>
      </c>
      <c r="N424" s="60" t="s">
        <v>98</v>
      </c>
      <c r="O424" s="49" t="s">
        <v>2</v>
      </c>
      <c r="P424" s="8">
        <v>4</v>
      </c>
      <c r="Q424" s="8" t="s">
        <v>1773</v>
      </c>
      <c r="R424" s="8" t="s">
        <v>1762</v>
      </c>
      <c r="S424" s="9" t="str">
        <f>IFERROR(HYPERLINK("#Main!A"&amp;MATCH(A424,Main!A:A,0),"Open"),HYPERLINK("#Main!A1","Open"))</f>
        <v>Open</v>
      </c>
      <c r="T424" s="9" t="str">
        <f>IFERROR(HYPERLINK("#Technical!A"&amp;MATCH(A424,Technical!A:A,0),"Open"),HYPERLINK("#Technical!A1","Open"))</f>
        <v>Open</v>
      </c>
      <c r="U424" s="9"/>
    </row>
    <row r="425" spans="1:21" ht="30" customHeight="1" x14ac:dyDescent="0.25">
      <c r="A425" s="58" t="s">
        <v>234</v>
      </c>
      <c r="B425" s="11">
        <v>13098</v>
      </c>
      <c r="C425" s="43" t="s">
        <v>1270</v>
      </c>
      <c r="D425" s="11" t="s">
        <v>8</v>
      </c>
      <c r="E425" s="64" t="s">
        <v>68</v>
      </c>
      <c r="F425" s="11" t="s">
        <v>1758</v>
      </c>
      <c r="G425" s="10">
        <v>37</v>
      </c>
      <c r="H425" s="11">
        <v>0</v>
      </c>
      <c r="I425" s="11" t="s">
        <v>1759</v>
      </c>
      <c r="J425" s="11" t="s">
        <v>1760</v>
      </c>
      <c r="K425" s="72" t="s">
        <v>9</v>
      </c>
      <c r="L425" s="11" t="s">
        <v>1183</v>
      </c>
      <c r="M425" s="11" t="s">
        <v>864</v>
      </c>
      <c r="N425" s="60" t="s">
        <v>98</v>
      </c>
      <c r="O425" s="49" t="s">
        <v>2</v>
      </c>
      <c r="P425" s="11">
        <v>4</v>
      </c>
      <c r="Q425" s="11" t="s">
        <v>1774</v>
      </c>
      <c r="R425" s="11" t="s">
        <v>1762</v>
      </c>
      <c r="S425" t="str">
        <f>IFERROR(HYPERLINK("#Main!A"&amp;MATCH(A425,Main!A:A,0),"Open"),HYPERLINK("#Main!A1","Open"))</f>
        <v>Open</v>
      </c>
      <c r="T425" t="str">
        <f>IFERROR(HYPERLINK("#Technical!A"&amp;MATCH(A425,Technical!A:A,0),"Open"),HYPERLINK("#Technical!A1","Open"))</f>
        <v>Open</v>
      </c>
    </row>
    <row r="426" spans="1:21" ht="30" customHeight="1" x14ac:dyDescent="0.25">
      <c r="A426" s="59" t="s">
        <v>242</v>
      </c>
      <c r="B426" s="8">
        <v>13549</v>
      </c>
      <c r="C426" s="43" t="s">
        <v>1272</v>
      </c>
      <c r="D426" s="8" t="s">
        <v>8</v>
      </c>
      <c r="E426" s="64" t="s">
        <v>68</v>
      </c>
      <c r="F426" s="8" t="s">
        <v>1758</v>
      </c>
      <c r="G426" s="36">
        <v>37</v>
      </c>
      <c r="H426" s="8">
        <v>0</v>
      </c>
      <c r="I426" s="8" t="s">
        <v>1759</v>
      </c>
      <c r="J426" s="8" t="s">
        <v>1760</v>
      </c>
      <c r="K426" s="71" t="s">
        <v>9</v>
      </c>
      <c r="L426" s="8" t="s">
        <v>1183</v>
      </c>
      <c r="M426" s="8" t="s">
        <v>864</v>
      </c>
      <c r="N426" s="60" t="s">
        <v>98</v>
      </c>
      <c r="O426" s="49" t="s">
        <v>2</v>
      </c>
      <c r="P426" s="8">
        <v>4</v>
      </c>
      <c r="Q426" s="8" t="s">
        <v>1775</v>
      </c>
      <c r="R426" s="8" t="s">
        <v>1762</v>
      </c>
      <c r="S426" s="9" t="str">
        <f>IFERROR(HYPERLINK("#Main!A"&amp;MATCH(A426,Main!A:A,0),"Open"),HYPERLINK("#Main!A1","Open"))</f>
        <v>Open</v>
      </c>
      <c r="T426" s="9" t="str">
        <f>IFERROR(HYPERLINK("#Technical!A"&amp;MATCH(A426,Technical!A:A,0),"Open"),HYPERLINK("#Technical!A1","Open"))</f>
        <v>Open</v>
      </c>
      <c r="U426" s="9"/>
    </row>
    <row r="427" spans="1:21" ht="30" customHeight="1" x14ac:dyDescent="0.25">
      <c r="A427" s="58" t="s">
        <v>250</v>
      </c>
      <c r="B427" s="11">
        <v>13282</v>
      </c>
      <c r="C427" s="43" t="s">
        <v>1274</v>
      </c>
      <c r="D427" s="11" t="s">
        <v>8</v>
      </c>
      <c r="E427" s="64" t="s">
        <v>68</v>
      </c>
      <c r="F427" s="11" t="s">
        <v>1758</v>
      </c>
      <c r="G427" s="10">
        <v>37</v>
      </c>
      <c r="H427" s="11">
        <v>0</v>
      </c>
      <c r="I427" s="11" t="s">
        <v>1759</v>
      </c>
      <c r="J427" s="11" t="s">
        <v>1760</v>
      </c>
      <c r="K427" s="72" t="s">
        <v>9</v>
      </c>
      <c r="L427" s="11" t="s">
        <v>1183</v>
      </c>
      <c r="M427" s="11" t="s">
        <v>864</v>
      </c>
      <c r="N427" s="60" t="s">
        <v>98</v>
      </c>
      <c r="O427" s="49" t="s">
        <v>2</v>
      </c>
      <c r="P427" s="11">
        <v>4</v>
      </c>
      <c r="Q427" s="11" t="s">
        <v>1776</v>
      </c>
      <c r="R427" s="11" t="s">
        <v>1762</v>
      </c>
      <c r="S427" t="str">
        <f>IFERROR(HYPERLINK("#Main!A"&amp;MATCH(A427,Main!A:A,0),"Open"),HYPERLINK("#Main!A1","Open"))</f>
        <v>Open</v>
      </c>
      <c r="T427" t="str">
        <f>IFERROR(HYPERLINK("#Technical!A"&amp;MATCH(A427,Technical!A:A,0),"Open"),HYPERLINK("#Technical!A1","Open"))</f>
        <v>Open</v>
      </c>
    </row>
    <row r="428" spans="1:21" ht="30" customHeight="1" x14ac:dyDescent="0.25">
      <c r="A428" s="59" t="s">
        <v>258</v>
      </c>
      <c r="B428" s="8">
        <v>12945</v>
      </c>
      <c r="C428" s="43" t="s">
        <v>1276</v>
      </c>
      <c r="D428" s="8" t="s">
        <v>8</v>
      </c>
      <c r="E428" s="64" t="s">
        <v>68</v>
      </c>
      <c r="F428" s="8" t="s">
        <v>1758</v>
      </c>
      <c r="G428" s="36">
        <v>37</v>
      </c>
      <c r="H428" s="8">
        <v>0</v>
      </c>
      <c r="I428" s="8" t="s">
        <v>1759</v>
      </c>
      <c r="J428" s="8" t="s">
        <v>1760</v>
      </c>
      <c r="K428" s="71" t="s">
        <v>9</v>
      </c>
      <c r="L428" s="8" t="s">
        <v>1183</v>
      </c>
      <c r="M428" s="8" t="s">
        <v>864</v>
      </c>
      <c r="N428" s="60" t="s">
        <v>98</v>
      </c>
      <c r="O428" s="49" t="s">
        <v>2</v>
      </c>
      <c r="P428" s="8">
        <v>4</v>
      </c>
      <c r="Q428" s="8" t="s">
        <v>1777</v>
      </c>
      <c r="R428" s="8" t="s">
        <v>1762</v>
      </c>
      <c r="S428" s="9" t="str">
        <f>IFERROR(HYPERLINK("#Main!A"&amp;MATCH(A428,Main!A:A,0),"Open"),HYPERLINK("#Main!A1","Open"))</f>
        <v>Open</v>
      </c>
      <c r="T428" s="9" t="str">
        <f>IFERROR(HYPERLINK("#Technical!A"&amp;MATCH(A428,Technical!A:A,0),"Open"),HYPERLINK("#Technical!A1","Open"))</f>
        <v>Open</v>
      </c>
      <c r="U428" s="9"/>
    </row>
    <row r="429" spans="1:21" ht="30" customHeight="1" x14ac:dyDescent="0.25">
      <c r="A429" s="58" t="s">
        <v>266</v>
      </c>
      <c r="B429" s="11">
        <v>13179</v>
      </c>
      <c r="C429" s="43" t="s">
        <v>1278</v>
      </c>
      <c r="D429" s="11" t="s">
        <v>8</v>
      </c>
      <c r="E429" s="64" t="s">
        <v>68</v>
      </c>
      <c r="F429" s="11" t="s">
        <v>1758</v>
      </c>
      <c r="G429" s="10">
        <v>37</v>
      </c>
      <c r="H429" s="11">
        <v>0</v>
      </c>
      <c r="I429" s="11" t="s">
        <v>1759</v>
      </c>
      <c r="J429" s="11" t="s">
        <v>1760</v>
      </c>
      <c r="K429" s="72" t="s">
        <v>9</v>
      </c>
      <c r="L429" s="11" t="s">
        <v>1183</v>
      </c>
      <c r="M429" s="11" t="s">
        <v>864</v>
      </c>
      <c r="N429" s="60" t="s">
        <v>98</v>
      </c>
      <c r="O429" s="49" t="s">
        <v>2</v>
      </c>
      <c r="P429" s="11">
        <v>4</v>
      </c>
      <c r="Q429" s="11" t="s">
        <v>1778</v>
      </c>
      <c r="R429" s="11" t="s">
        <v>1762</v>
      </c>
      <c r="S429" t="str">
        <f>IFERROR(HYPERLINK("#Main!A"&amp;MATCH(A429,Main!A:A,0),"Open"),HYPERLINK("#Main!A1","Open"))</f>
        <v>Open</v>
      </c>
      <c r="T429" t="str">
        <f>IFERROR(HYPERLINK("#Technical!A"&amp;MATCH(A429,Technical!A:A,0),"Open"),HYPERLINK("#Technical!A1","Open"))</f>
        <v>Open</v>
      </c>
    </row>
    <row r="430" spans="1:21" ht="30" customHeight="1" x14ac:dyDescent="0.25">
      <c r="A430" s="59" t="s">
        <v>274</v>
      </c>
      <c r="B430" s="8">
        <v>22401</v>
      </c>
      <c r="C430" s="43" t="s">
        <v>1280</v>
      </c>
      <c r="D430" s="8" t="s">
        <v>8</v>
      </c>
      <c r="E430" s="64" t="s">
        <v>68</v>
      </c>
      <c r="F430" s="8" t="s">
        <v>1758</v>
      </c>
      <c r="G430" s="36">
        <v>37</v>
      </c>
      <c r="H430" s="8">
        <v>0</v>
      </c>
      <c r="I430" s="8" t="s">
        <v>1759</v>
      </c>
      <c r="J430" s="8" t="s">
        <v>1760</v>
      </c>
      <c r="K430" s="71" t="s">
        <v>9</v>
      </c>
      <c r="L430" s="8" t="s">
        <v>1183</v>
      </c>
      <c r="M430" s="8" t="s">
        <v>864</v>
      </c>
      <c r="N430" s="60" t="s">
        <v>98</v>
      </c>
      <c r="O430" s="49" t="s">
        <v>2</v>
      </c>
      <c r="P430" s="8">
        <v>4</v>
      </c>
      <c r="Q430" s="8" t="s">
        <v>1779</v>
      </c>
      <c r="R430" s="8" t="s">
        <v>1762</v>
      </c>
      <c r="S430" s="9" t="str">
        <f>IFERROR(HYPERLINK("#Main!A"&amp;MATCH(A430,Main!A:A,0),"Open"),HYPERLINK("#Main!A1","Open"))</f>
        <v>Open</v>
      </c>
      <c r="T430" s="9" t="str">
        <f>IFERROR(HYPERLINK("#Technical!A"&amp;MATCH(A430,Technical!A:A,0),"Open"),HYPERLINK("#Technical!A1","Open"))</f>
        <v>Open</v>
      </c>
      <c r="U430" s="9"/>
    </row>
    <row r="431" spans="1:21" ht="30" customHeight="1" x14ac:dyDescent="0.25">
      <c r="A431" s="58" t="s">
        <v>282</v>
      </c>
      <c r="B431" s="11">
        <v>18318</v>
      </c>
      <c r="C431" s="43" t="s">
        <v>1282</v>
      </c>
      <c r="D431" s="11" t="s">
        <v>8</v>
      </c>
      <c r="E431" s="64" t="s">
        <v>68</v>
      </c>
      <c r="F431" s="11" t="s">
        <v>1758</v>
      </c>
      <c r="G431" s="10">
        <v>37</v>
      </c>
      <c r="H431" s="11">
        <v>0</v>
      </c>
      <c r="I431" s="11" t="s">
        <v>1759</v>
      </c>
      <c r="J431" s="11" t="s">
        <v>1760</v>
      </c>
      <c r="K431" s="72" t="s">
        <v>9</v>
      </c>
      <c r="L431" s="11" t="s">
        <v>1183</v>
      </c>
      <c r="M431" s="11" t="s">
        <v>864</v>
      </c>
      <c r="N431" s="60" t="s">
        <v>98</v>
      </c>
      <c r="O431" s="49" t="s">
        <v>2</v>
      </c>
      <c r="P431" s="11">
        <v>4</v>
      </c>
      <c r="Q431" s="11" t="s">
        <v>1780</v>
      </c>
      <c r="R431" s="11" t="s">
        <v>1762</v>
      </c>
      <c r="S431" t="str">
        <f>IFERROR(HYPERLINK("#Main!A"&amp;MATCH(A431,Main!A:A,0),"Open"),HYPERLINK("#Main!A1","Open"))</f>
        <v>Open</v>
      </c>
      <c r="T431" t="str">
        <f>IFERROR(HYPERLINK("#Technical!A"&amp;MATCH(A431,Technical!A:A,0),"Open"),HYPERLINK("#Technical!A1","Open"))</f>
        <v>Open</v>
      </c>
    </row>
    <row r="432" spans="1:21" ht="30" customHeight="1" x14ac:dyDescent="0.25">
      <c r="A432" s="59" t="s">
        <v>290</v>
      </c>
      <c r="B432" s="8">
        <v>30257</v>
      </c>
      <c r="C432" s="43" t="s">
        <v>1284</v>
      </c>
      <c r="D432" s="8" t="s">
        <v>8</v>
      </c>
      <c r="E432" s="64" t="s">
        <v>68</v>
      </c>
      <c r="F432" s="8" t="s">
        <v>1758</v>
      </c>
      <c r="G432" s="36">
        <v>37</v>
      </c>
      <c r="H432" s="8">
        <v>0</v>
      </c>
      <c r="I432" s="8" t="s">
        <v>1759</v>
      </c>
      <c r="J432" s="8" t="s">
        <v>1760</v>
      </c>
      <c r="K432" s="71" t="s">
        <v>9</v>
      </c>
      <c r="L432" s="8" t="s">
        <v>1183</v>
      </c>
      <c r="M432" s="8" t="s">
        <v>864</v>
      </c>
      <c r="N432" s="60" t="s">
        <v>98</v>
      </c>
      <c r="O432" s="49" t="s">
        <v>2</v>
      </c>
      <c r="P432" s="8">
        <v>4</v>
      </c>
      <c r="Q432" s="8" t="s">
        <v>1781</v>
      </c>
      <c r="R432" s="8" t="s">
        <v>1762</v>
      </c>
      <c r="S432" s="9" t="str">
        <f>IFERROR(HYPERLINK("#Main!A"&amp;MATCH(A432,Main!A:A,0),"Open"),HYPERLINK("#Main!A1","Open"))</f>
        <v>Open</v>
      </c>
      <c r="T432" s="9" t="str">
        <f>IFERROR(HYPERLINK("#Technical!A"&amp;MATCH(A432,Technical!A:A,0),"Open"),HYPERLINK("#Technical!A1","Open"))</f>
        <v>Open</v>
      </c>
      <c r="U432" s="9"/>
    </row>
    <row r="433" spans="1:21" ht="30" customHeight="1" x14ac:dyDescent="0.25">
      <c r="A433" s="58" t="s">
        <v>298</v>
      </c>
      <c r="B433" s="11">
        <v>23710</v>
      </c>
      <c r="C433" s="43" t="s">
        <v>1286</v>
      </c>
      <c r="D433" s="11" t="s">
        <v>8</v>
      </c>
      <c r="E433" s="64" t="s">
        <v>68</v>
      </c>
      <c r="F433" s="11" t="s">
        <v>1758</v>
      </c>
      <c r="G433" s="10">
        <v>37</v>
      </c>
      <c r="H433" s="11">
        <v>0</v>
      </c>
      <c r="I433" s="11" t="s">
        <v>1759</v>
      </c>
      <c r="J433" s="11" t="s">
        <v>1760</v>
      </c>
      <c r="K433" s="72" t="s">
        <v>9</v>
      </c>
      <c r="L433" s="11" t="s">
        <v>1183</v>
      </c>
      <c r="M433" s="11" t="s">
        <v>864</v>
      </c>
      <c r="N433" s="60" t="s">
        <v>98</v>
      </c>
      <c r="O433" s="49" t="s">
        <v>2</v>
      </c>
      <c r="P433" s="11">
        <v>4</v>
      </c>
      <c r="Q433" s="11" t="s">
        <v>1782</v>
      </c>
      <c r="R433" s="11" t="s">
        <v>1762</v>
      </c>
      <c r="S433" t="str">
        <f>IFERROR(HYPERLINK("#Main!A"&amp;MATCH(A433,Main!A:A,0),"Open"),HYPERLINK("#Main!A1","Open"))</f>
        <v>Open</v>
      </c>
      <c r="T433" t="str">
        <f>IFERROR(HYPERLINK("#Technical!A"&amp;MATCH(A433,Technical!A:A,0),"Open"),HYPERLINK("#Technical!A1","Open"))</f>
        <v>Open</v>
      </c>
    </row>
    <row r="434" spans="1:21" ht="30" customHeight="1" x14ac:dyDescent="0.25">
      <c r="A434" s="59" t="s">
        <v>306</v>
      </c>
      <c r="B434" s="8">
        <v>33280</v>
      </c>
      <c r="C434" s="43" t="s">
        <v>1288</v>
      </c>
      <c r="D434" s="8" t="s">
        <v>8</v>
      </c>
      <c r="E434" s="64" t="s">
        <v>68</v>
      </c>
      <c r="F434" s="8" t="s">
        <v>1758</v>
      </c>
      <c r="G434" s="36">
        <v>37</v>
      </c>
      <c r="H434" s="8">
        <v>0</v>
      </c>
      <c r="I434" s="8" t="s">
        <v>1759</v>
      </c>
      <c r="J434" s="8" t="s">
        <v>1760</v>
      </c>
      <c r="K434" s="71" t="s">
        <v>9</v>
      </c>
      <c r="L434" s="8" t="s">
        <v>1183</v>
      </c>
      <c r="M434" s="8" t="s">
        <v>864</v>
      </c>
      <c r="N434" s="60" t="s">
        <v>98</v>
      </c>
      <c r="O434" s="49" t="s">
        <v>2</v>
      </c>
      <c r="P434" s="8">
        <v>4</v>
      </c>
      <c r="Q434" s="8" t="s">
        <v>1783</v>
      </c>
      <c r="R434" s="8" t="s">
        <v>1762</v>
      </c>
      <c r="S434" s="9" t="str">
        <f>IFERROR(HYPERLINK("#Main!A"&amp;MATCH(A434,Main!A:A,0),"Open"),HYPERLINK("#Main!A1","Open"))</f>
        <v>Open</v>
      </c>
      <c r="T434" s="9" t="str">
        <f>IFERROR(HYPERLINK("#Technical!A"&amp;MATCH(A434,Technical!A:A,0),"Open"),HYPERLINK("#Technical!A1","Open"))</f>
        <v>Open</v>
      </c>
      <c r="U434" s="9"/>
    </row>
    <row r="435" spans="1:21" ht="30" customHeight="1" x14ac:dyDescent="0.25">
      <c r="A435" s="58" t="s">
        <v>314</v>
      </c>
      <c r="B435" s="11">
        <v>22778</v>
      </c>
      <c r="C435" s="43" t="s">
        <v>1290</v>
      </c>
      <c r="D435" s="11" t="s">
        <v>8</v>
      </c>
      <c r="E435" s="64" t="s">
        <v>68</v>
      </c>
      <c r="F435" s="11" t="s">
        <v>1758</v>
      </c>
      <c r="G435" s="10">
        <v>37</v>
      </c>
      <c r="H435" s="11">
        <v>0</v>
      </c>
      <c r="I435" s="11" t="s">
        <v>1759</v>
      </c>
      <c r="J435" s="11" t="s">
        <v>1760</v>
      </c>
      <c r="K435" s="72" t="s">
        <v>9</v>
      </c>
      <c r="L435" s="11" t="s">
        <v>1183</v>
      </c>
      <c r="M435" s="11" t="s">
        <v>864</v>
      </c>
      <c r="N435" s="60" t="s">
        <v>98</v>
      </c>
      <c r="O435" s="49" t="s">
        <v>2</v>
      </c>
      <c r="P435" s="11">
        <v>4</v>
      </c>
      <c r="Q435" s="11" t="s">
        <v>1784</v>
      </c>
      <c r="R435" s="11" t="s">
        <v>1762</v>
      </c>
      <c r="S435" t="str">
        <f>IFERROR(HYPERLINK("#Main!A"&amp;MATCH(A435,Main!A:A,0),"Open"),HYPERLINK("#Main!A1","Open"))</f>
        <v>Open</v>
      </c>
      <c r="T435" t="str">
        <f>IFERROR(HYPERLINK("#Technical!A"&amp;MATCH(A435,Technical!A:A,0),"Open"),HYPERLINK("#Technical!A1","Open"))</f>
        <v>Open</v>
      </c>
    </row>
    <row r="436" spans="1:21" ht="30" customHeight="1" x14ac:dyDescent="0.25">
      <c r="A436" s="59" t="s">
        <v>322</v>
      </c>
      <c r="B436" s="8">
        <v>31478</v>
      </c>
      <c r="C436" s="43" t="s">
        <v>1292</v>
      </c>
      <c r="D436" s="8" t="s">
        <v>8</v>
      </c>
      <c r="E436" s="64" t="s">
        <v>68</v>
      </c>
      <c r="F436" s="8" t="s">
        <v>1758</v>
      </c>
      <c r="G436" s="36">
        <v>37</v>
      </c>
      <c r="H436" s="8">
        <v>0</v>
      </c>
      <c r="I436" s="8" t="s">
        <v>1759</v>
      </c>
      <c r="J436" s="8" t="s">
        <v>1760</v>
      </c>
      <c r="K436" s="71" t="s">
        <v>9</v>
      </c>
      <c r="L436" s="8" t="s">
        <v>1183</v>
      </c>
      <c r="M436" s="8" t="s">
        <v>864</v>
      </c>
      <c r="N436" s="60" t="s">
        <v>98</v>
      </c>
      <c r="O436" s="49" t="s">
        <v>2</v>
      </c>
      <c r="P436" s="8">
        <v>4</v>
      </c>
      <c r="Q436" s="8" t="s">
        <v>1785</v>
      </c>
      <c r="R436" s="8" t="s">
        <v>1762</v>
      </c>
      <c r="S436" s="9" t="str">
        <f>IFERROR(HYPERLINK("#Main!A"&amp;MATCH(A436,Main!A:A,0),"Open"),HYPERLINK("#Main!A1","Open"))</f>
        <v>Open</v>
      </c>
      <c r="T436" s="9" t="str">
        <f>IFERROR(HYPERLINK("#Technical!A"&amp;MATCH(A436,Technical!A:A,0),"Open"),HYPERLINK("#Technical!A1","Open"))</f>
        <v>Open</v>
      </c>
      <c r="U436" s="9"/>
    </row>
    <row r="437" spans="1:21" ht="30" customHeight="1" x14ac:dyDescent="0.25">
      <c r="A437" s="58" t="s">
        <v>330</v>
      </c>
      <c r="B437" s="11">
        <v>5057</v>
      </c>
      <c r="C437" s="43" t="s">
        <v>1294</v>
      </c>
      <c r="D437" s="11" t="s">
        <v>8</v>
      </c>
      <c r="E437" s="64" t="s">
        <v>68</v>
      </c>
      <c r="F437" s="11" t="s">
        <v>1758</v>
      </c>
      <c r="G437" s="10">
        <v>37</v>
      </c>
      <c r="H437" s="11">
        <v>0</v>
      </c>
      <c r="I437" s="11" t="s">
        <v>1759</v>
      </c>
      <c r="J437" s="11" t="s">
        <v>1760</v>
      </c>
      <c r="K437" s="72" t="s">
        <v>9</v>
      </c>
      <c r="L437" s="11" t="s">
        <v>1183</v>
      </c>
      <c r="M437" s="11" t="s">
        <v>864</v>
      </c>
      <c r="N437" s="60" t="s">
        <v>98</v>
      </c>
      <c r="O437" s="49" t="s">
        <v>2</v>
      </c>
      <c r="P437" s="11">
        <v>4</v>
      </c>
      <c r="Q437" s="11" t="s">
        <v>1786</v>
      </c>
      <c r="R437" s="11" t="s">
        <v>1762</v>
      </c>
      <c r="S437" t="str">
        <f>IFERROR(HYPERLINK("#Main!A"&amp;MATCH(A437,Main!A:A,0),"Open"),HYPERLINK("#Main!A1","Open"))</f>
        <v>Open</v>
      </c>
      <c r="T437" t="str">
        <f>IFERROR(HYPERLINK("#Technical!A"&amp;MATCH(A437,Technical!A:A,0),"Open"),HYPERLINK("#Technical!A1","Open"))</f>
        <v>Open</v>
      </c>
    </row>
    <row r="438" spans="1:21" ht="30" customHeight="1" x14ac:dyDescent="0.25">
      <c r="A438" s="59" t="s">
        <v>338</v>
      </c>
      <c r="B438" s="8"/>
      <c r="C438" s="8"/>
      <c r="D438" s="8" t="s">
        <v>8</v>
      </c>
      <c r="E438" s="64" t="s">
        <v>68</v>
      </c>
      <c r="F438" s="8" t="s">
        <v>1758</v>
      </c>
      <c r="G438" s="36">
        <v>37</v>
      </c>
      <c r="H438" s="8">
        <v>0</v>
      </c>
      <c r="I438" s="8" t="s">
        <v>1759</v>
      </c>
      <c r="J438" s="8" t="s">
        <v>1760</v>
      </c>
      <c r="K438" s="71" t="s">
        <v>9</v>
      </c>
      <c r="L438" s="8" t="s">
        <v>1183</v>
      </c>
      <c r="M438" s="8" t="s">
        <v>864</v>
      </c>
      <c r="N438" s="60" t="s">
        <v>98</v>
      </c>
      <c r="O438" s="49" t="s">
        <v>2</v>
      </c>
      <c r="P438" s="8">
        <v>4</v>
      </c>
      <c r="Q438" s="8" t="s">
        <v>1787</v>
      </c>
      <c r="R438" s="8" t="s">
        <v>1762</v>
      </c>
      <c r="S438" s="9" t="str">
        <f>IFERROR(HYPERLINK("#Main!A"&amp;MATCH(A438,Main!A:A,0),"Open"),HYPERLINK("#Main!A1","Open"))</f>
        <v>Open</v>
      </c>
      <c r="T438" s="9" t="str">
        <f>IFERROR(HYPERLINK("#Technical!A"&amp;MATCH(A438,Technical!A:A,0),"Open"),HYPERLINK("#Technical!A1","Open"))</f>
        <v>Open</v>
      </c>
      <c r="U438" s="9"/>
    </row>
    <row r="439" spans="1:21" ht="30" customHeight="1" x14ac:dyDescent="0.25">
      <c r="A439" s="58" t="s">
        <v>342</v>
      </c>
      <c r="B439" s="11">
        <v>12477</v>
      </c>
      <c r="C439" s="43" t="s">
        <v>1297</v>
      </c>
      <c r="D439" s="11" t="s">
        <v>8</v>
      </c>
      <c r="E439" s="64" t="s">
        <v>68</v>
      </c>
      <c r="F439" s="11" t="s">
        <v>1758</v>
      </c>
      <c r="G439" s="10">
        <v>37</v>
      </c>
      <c r="H439" s="11">
        <v>0</v>
      </c>
      <c r="I439" s="11" t="s">
        <v>1759</v>
      </c>
      <c r="J439" s="11" t="s">
        <v>1760</v>
      </c>
      <c r="K439" s="72" t="s">
        <v>9</v>
      </c>
      <c r="L439" s="11" t="s">
        <v>1183</v>
      </c>
      <c r="M439" s="11" t="s">
        <v>864</v>
      </c>
      <c r="N439" s="60" t="s">
        <v>98</v>
      </c>
      <c r="O439" s="49" t="s">
        <v>2</v>
      </c>
      <c r="P439" s="11">
        <v>4</v>
      </c>
      <c r="Q439" s="11" t="s">
        <v>1788</v>
      </c>
      <c r="R439" s="11" t="s">
        <v>1762</v>
      </c>
      <c r="S439" t="str">
        <f>IFERROR(HYPERLINK("#Main!A"&amp;MATCH(A439,Main!A:A,0),"Open"),HYPERLINK("#Main!A1","Open"))</f>
        <v>Open</v>
      </c>
      <c r="T439" t="str">
        <f>IFERROR(HYPERLINK("#Technical!A"&amp;MATCH(A439,Technical!A:A,0),"Open"),HYPERLINK("#Technical!A1","Open"))</f>
        <v>Open</v>
      </c>
    </row>
    <row r="440" spans="1:21" ht="30" customHeight="1" x14ac:dyDescent="0.25">
      <c r="A440" s="59" t="s">
        <v>350</v>
      </c>
      <c r="B440" s="8">
        <v>21958</v>
      </c>
      <c r="C440" s="43" t="s">
        <v>1299</v>
      </c>
      <c r="D440" s="8" t="s">
        <v>8</v>
      </c>
      <c r="E440" s="64" t="s">
        <v>68</v>
      </c>
      <c r="F440" s="8" t="s">
        <v>1758</v>
      </c>
      <c r="G440" s="36">
        <v>37</v>
      </c>
      <c r="H440" s="8">
        <v>0</v>
      </c>
      <c r="I440" s="8" t="s">
        <v>1759</v>
      </c>
      <c r="J440" s="8" t="s">
        <v>1760</v>
      </c>
      <c r="K440" s="71" t="s">
        <v>9</v>
      </c>
      <c r="L440" s="8" t="s">
        <v>1183</v>
      </c>
      <c r="M440" s="8" t="s">
        <v>864</v>
      </c>
      <c r="N440" s="60" t="s">
        <v>98</v>
      </c>
      <c r="O440" s="49" t="s">
        <v>2</v>
      </c>
      <c r="P440" s="8">
        <v>4</v>
      </c>
      <c r="Q440" s="8" t="s">
        <v>1789</v>
      </c>
      <c r="R440" s="8" t="s">
        <v>1762</v>
      </c>
      <c r="S440" s="9" t="str">
        <f>IFERROR(HYPERLINK("#Main!A"&amp;MATCH(A440,Main!A:A,0),"Open"),HYPERLINK("#Main!A1","Open"))</f>
        <v>Open</v>
      </c>
      <c r="T440" s="9" t="str">
        <f>IFERROR(HYPERLINK("#Technical!A"&amp;MATCH(A440,Technical!A:A,0),"Open"),HYPERLINK("#Technical!A1","Open"))</f>
        <v>Open</v>
      </c>
      <c r="U440" s="9"/>
    </row>
    <row r="441" spans="1:21" ht="30" customHeight="1" x14ac:dyDescent="0.25">
      <c r="A441" s="58" t="s">
        <v>358</v>
      </c>
      <c r="B441" s="11">
        <v>21984</v>
      </c>
      <c r="C441" s="43" t="s">
        <v>1301</v>
      </c>
      <c r="D441" s="11" t="s">
        <v>8</v>
      </c>
      <c r="E441" s="64" t="s">
        <v>68</v>
      </c>
      <c r="F441" s="11" t="s">
        <v>1758</v>
      </c>
      <c r="G441" s="10">
        <v>37</v>
      </c>
      <c r="H441" s="11">
        <v>0</v>
      </c>
      <c r="I441" s="11" t="s">
        <v>1759</v>
      </c>
      <c r="J441" s="11" t="s">
        <v>1760</v>
      </c>
      <c r="K441" s="72" t="s">
        <v>9</v>
      </c>
      <c r="L441" s="11" t="s">
        <v>1183</v>
      </c>
      <c r="M441" s="11" t="s">
        <v>864</v>
      </c>
      <c r="N441" s="60" t="s">
        <v>98</v>
      </c>
      <c r="O441" s="49" t="s">
        <v>2</v>
      </c>
      <c r="P441" s="11">
        <v>4</v>
      </c>
      <c r="Q441" s="11" t="s">
        <v>1790</v>
      </c>
      <c r="R441" s="11" t="s">
        <v>1762</v>
      </c>
      <c r="S441" t="str">
        <f>IFERROR(HYPERLINK("#Main!A"&amp;MATCH(A441,Main!A:A,0),"Open"),HYPERLINK("#Main!A1","Open"))</f>
        <v>Open</v>
      </c>
      <c r="T441" t="str">
        <f>IFERROR(HYPERLINK("#Technical!A"&amp;MATCH(A441,Technical!A:A,0),"Open"),HYPERLINK("#Technical!A1","Open"))</f>
        <v>Open</v>
      </c>
    </row>
    <row r="442" spans="1:21" ht="30" customHeight="1" x14ac:dyDescent="0.25">
      <c r="A442" s="59" t="s">
        <v>366</v>
      </c>
      <c r="B442" s="8">
        <v>33131</v>
      </c>
      <c r="C442" s="43" t="s">
        <v>1303</v>
      </c>
      <c r="D442" s="8" t="s">
        <v>8</v>
      </c>
      <c r="E442" s="64" t="s">
        <v>68</v>
      </c>
      <c r="F442" s="8" t="s">
        <v>1758</v>
      </c>
      <c r="G442" s="36">
        <v>37</v>
      </c>
      <c r="H442" s="8">
        <v>0</v>
      </c>
      <c r="I442" s="8" t="s">
        <v>1759</v>
      </c>
      <c r="J442" s="8" t="s">
        <v>1760</v>
      </c>
      <c r="K442" s="71" t="s">
        <v>9</v>
      </c>
      <c r="L442" s="8" t="s">
        <v>1183</v>
      </c>
      <c r="M442" s="8" t="s">
        <v>864</v>
      </c>
      <c r="N442" s="60" t="s">
        <v>98</v>
      </c>
      <c r="O442" s="49" t="s">
        <v>2</v>
      </c>
      <c r="P442" s="8">
        <v>4</v>
      </c>
      <c r="Q442" s="8" t="s">
        <v>1791</v>
      </c>
      <c r="R442" s="8" t="s">
        <v>1762</v>
      </c>
      <c r="S442" s="9" t="str">
        <f>IFERROR(HYPERLINK("#Main!A"&amp;MATCH(A442,Main!A:A,0),"Open"),HYPERLINK("#Main!A1","Open"))</f>
        <v>Open</v>
      </c>
      <c r="T442" s="9" t="str">
        <f>IFERROR(HYPERLINK("#Technical!A"&amp;MATCH(A442,Technical!A:A,0),"Open"),HYPERLINK("#Technical!A1","Open"))</f>
        <v>Open</v>
      </c>
      <c r="U442" s="9"/>
    </row>
    <row r="443" spans="1:21" ht="30" customHeight="1" x14ac:dyDescent="0.25">
      <c r="A443" s="58" t="s">
        <v>374</v>
      </c>
      <c r="B443" s="11">
        <v>21958</v>
      </c>
      <c r="C443" s="43" t="s">
        <v>1299</v>
      </c>
      <c r="D443" s="11" t="s">
        <v>8</v>
      </c>
      <c r="E443" s="64" t="s">
        <v>68</v>
      </c>
      <c r="F443" s="11" t="s">
        <v>1758</v>
      </c>
      <c r="G443" s="10">
        <v>37</v>
      </c>
      <c r="H443" s="11">
        <v>0</v>
      </c>
      <c r="I443" s="11" t="s">
        <v>1759</v>
      </c>
      <c r="J443" s="11" t="s">
        <v>1760</v>
      </c>
      <c r="K443" s="72" t="s">
        <v>9</v>
      </c>
      <c r="L443" s="11" t="s">
        <v>1183</v>
      </c>
      <c r="M443" s="11" t="s">
        <v>864</v>
      </c>
      <c r="N443" s="60" t="s">
        <v>98</v>
      </c>
      <c r="O443" s="49" t="s">
        <v>2</v>
      </c>
      <c r="P443" s="11">
        <v>4</v>
      </c>
      <c r="Q443" s="11" t="s">
        <v>1792</v>
      </c>
      <c r="R443" s="11" t="s">
        <v>1762</v>
      </c>
      <c r="S443" t="str">
        <f>IFERROR(HYPERLINK("#Main!A"&amp;MATCH(A443,Main!A:A,0),"Open"),HYPERLINK("#Main!A1","Open"))</f>
        <v>Open</v>
      </c>
      <c r="T443" t="str">
        <f>IFERROR(HYPERLINK("#Technical!A"&amp;MATCH(A443,Technical!A:A,0),"Open"),HYPERLINK("#Technical!A1","Open"))</f>
        <v>Open</v>
      </c>
    </row>
    <row r="444" spans="1:21" ht="45" customHeight="1" x14ac:dyDescent="0.25">
      <c r="A444" s="59" t="s">
        <v>377</v>
      </c>
      <c r="B444" s="8">
        <v>25857</v>
      </c>
      <c r="C444" s="43" t="s">
        <v>1306</v>
      </c>
      <c r="D444" s="8" t="s">
        <v>8</v>
      </c>
      <c r="E444" s="64" t="s">
        <v>68</v>
      </c>
      <c r="F444" s="8" t="s">
        <v>1758</v>
      </c>
      <c r="G444" s="36">
        <v>37</v>
      </c>
      <c r="H444" s="8">
        <v>0</v>
      </c>
      <c r="I444" s="8" t="s">
        <v>1759</v>
      </c>
      <c r="J444" s="8" t="s">
        <v>1760</v>
      </c>
      <c r="K444" s="71" t="s">
        <v>9</v>
      </c>
      <c r="L444" s="8" t="s">
        <v>1183</v>
      </c>
      <c r="M444" s="8" t="s">
        <v>864</v>
      </c>
      <c r="N444" s="60" t="s">
        <v>98</v>
      </c>
      <c r="O444" s="49" t="s">
        <v>2</v>
      </c>
      <c r="P444" s="8">
        <v>4</v>
      </c>
      <c r="Q444" s="8" t="s">
        <v>1793</v>
      </c>
      <c r="R444" s="8" t="s">
        <v>1762</v>
      </c>
      <c r="S444" s="9" t="str">
        <f>IFERROR(HYPERLINK("#Main!A"&amp;MATCH(A444,Main!A:A,0),"Open"),HYPERLINK("#Main!A1","Open"))</f>
        <v>Open</v>
      </c>
      <c r="T444" s="9" t="str">
        <f>IFERROR(HYPERLINK("#Technical!A"&amp;MATCH(A444,Technical!A:A,0),"Open"),HYPERLINK("#Technical!A1","Open"))</f>
        <v>Open</v>
      </c>
      <c r="U444" s="9"/>
    </row>
    <row r="445" spans="1:21" ht="30" customHeight="1" x14ac:dyDescent="0.25">
      <c r="A445" s="58" t="s">
        <v>385</v>
      </c>
      <c r="B445" s="11">
        <v>25788</v>
      </c>
      <c r="C445" s="43" t="s">
        <v>1308</v>
      </c>
      <c r="D445" s="11" t="s">
        <v>8</v>
      </c>
      <c r="E445" s="64" t="s">
        <v>68</v>
      </c>
      <c r="F445" s="11" t="s">
        <v>1758</v>
      </c>
      <c r="G445" s="10">
        <v>37</v>
      </c>
      <c r="H445" s="11">
        <v>0</v>
      </c>
      <c r="I445" s="11" t="s">
        <v>1759</v>
      </c>
      <c r="J445" s="11" t="s">
        <v>1760</v>
      </c>
      <c r="K445" s="72" t="s">
        <v>9</v>
      </c>
      <c r="L445" s="11" t="s">
        <v>1183</v>
      </c>
      <c r="M445" s="11" t="s">
        <v>864</v>
      </c>
      <c r="N445" s="60" t="s">
        <v>98</v>
      </c>
      <c r="O445" s="49" t="s">
        <v>2</v>
      </c>
      <c r="P445" s="11">
        <v>4</v>
      </c>
      <c r="Q445" s="11" t="s">
        <v>1794</v>
      </c>
      <c r="R445" s="11" t="s">
        <v>1762</v>
      </c>
      <c r="S445" t="str">
        <f>IFERROR(HYPERLINK("#Main!A"&amp;MATCH(A445,Main!A:A,0),"Open"),HYPERLINK("#Main!A1","Open"))</f>
        <v>Open</v>
      </c>
      <c r="T445" t="str">
        <f>IFERROR(HYPERLINK("#Technical!A"&amp;MATCH(A445,Technical!A:A,0),"Open"),HYPERLINK("#Technical!A1","Open"))</f>
        <v>Open</v>
      </c>
    </row>
    <row r="446" spans="1:21" ht="30" customHeight="1" x14ac:dyDescent="0.25">
      <c r="A446" s="59" t="s">
        <v>393</v>
      </c>
      <c r="B446" s="8">
        <v>26290</v>
      </c>
      <c r="C446" s="43" t="s">
        <v>1310</v>
      </c>
      <c r="D446" s="8" t="s">
        <v>8</v>
      </c>
      <c r="E446" s="64" t="s">
        <v>68</v>
      </c>
      <c r="F446" s="8" t="s">
        <v>1758</v>
      </c>
      <c r="G446" s="36">
        <v>37</v>
      </c>
      <c r="H446" s="8">
        <v>0</v>
      </c>
      <c r="I446" s="8" t="s">
        <v>1759</v>
      </c>
      <c r="J446" s="8" t="s">
        <v>1760</v>
      </c>
      <c r="K446" s="71" t="s">
        <v>9</v>
      </c>
      <c r="L446" s="8" t="s">
        <v>1183</v>
      </c>
      <c r="M446" s="8" t="s">
        <v>864</v>
      </c>
      <c r="N446" s="60" t="s">
        <v>98</v>
      </c>
      <c r="O446" s="49" t="s">
        <v>2</v>
      </c>
      <c r="P446" s="8">
        <v>4</v>
      </c>
      <c r="Q446" s="8" t="s">
        <v>1795</v>
      </c>
      <c r="R446" s="8" t="s">
        <v>1762</v>
      </c>
      <c r="S446" s="9" t="str">
        <f>IFERROR(HYPERLINK("#Main!A"&amp;MATCH(A446,Main!A:A,0),"Open"),HYPERLINK("#Main!A1","Open"))</f>
        <v>Open</v>
      </c>
      <c r="T446" s="9" t="str">
        <f>IFERROR(HYPERLINK("#Technical!A"&amp;MATCH(A446,Technical!A:A,0),"Open"),HYPERLINK("#Technical!A1","Open"))</f>
        <v>Open</v>
      </c>
      <c r="U446" s="9"/>
    </row>
    <row r="447" spans="1:21" ht="30" customHeight="1" x14ac:dyDescent="0.25">
      <c r="A447" s="58" t="s">
        <v>401</v>
      </c>
      <c r="B447" s="11">
        <v>24882</v>
      </c>
      <c r="C447" s="43" t="s">
        <v>1312</v>
      </c>
      <c r="D447" s="11" t="s">
        <v>8</v>
      </c>
      <c r="E447" s="64" t="s">
        <v>68</v>
      </c>
      <c r="F447" s="11" t="s">
        <v>1758</v>
      </c>
      <c r="G447" s="10">
        <v>37</v>
      </c>
      <c r="H447" s="11">
        <v>0</v>
      </c>
      <c r="I447" s="11" t="s">
        <v>1759</v>
      </c>
      <c r="J447" s="11" t="s">
        <v>1760</v>
      </c>
      <c r="K447" s="72" t="s">
        <v>9</v>
      </c>
      <c r="L447" s="11" t="s">
        <v>1183</v>
      </c>
      <c r="M447" s="11" t="s">
        <v>864</v>
      </c>
      <c r="N447" s="60" t="s">
        <v>98</v>
      </c>
      <c r="O447" s="49" t="s">
        <v>2</v>
      </c>
      <c r="P447" s="11">
        <v>4</v>
      </c>
      <c r="Q447" s="11" t="s">
        <v>1796</v>
      </c>
      <c r="R447" s="11" t="s">
        <v>1762</v>
      </c>
      <c r="S447" t="str">
        <f>IFERROR(HYPERLINK("#Main!A"&amp;MATCH(A447,Main!A:A,0),"Open"),HYPERLINK("#Main!A1","Open"))</f>
        <v>Open</v>
      </c>
      <c r="T447" t="str">
        <f>IFERROR(HYPERLINK("#Technical!A"&amp;MATCH(A447,Technical!A:A,0),"Open"),HYPERLINK("#Technical!A1","Open"))</f>
        <v>Open</v>
      </c>
    </row>
    <row r="448" spans="1:21" ht="45" customHeight="1" x14ac:dyDescent="0.25">
      <c r="A448" s="59" t="s">
        <v>409</v>
      </c>
      <c r="B448" s="8">
        <v>22595</v>
      </c>
      <c r="C448" s="43" t="s">
        <v>1314</v>
      </c>
      <c r="D448" s="8" t="s">
        <v>8</v>
      </c>
      <c r="E448" s="64" t="s">
        <v>68</v>
      </c>
      <c r="F448" s="8" t="s">
        <v>1758</v>
      </c>
      <c r="G448" s="36">
        <v>37</v>
      </c>
      <c r="H448" s="8">
        <v>0</v>
      </c>
      <c r="I448" s="8" t="s">
        <v>1759</v>
      </c>
      <c r="J448" s="8" t="s">
        <v>1760</v>
      </c>
      <c r="K448" s="71" t="s">
        <v>9</v>
      </c>
      <c r="L448" s="8" t="s">
        <v>1183</v>
      </c>
      <c r="M448" s="8" t="s">
        <v>864</v>
      </c>
      <c r="N448" s="60" t="s">
        <v>98</v>
      </c>
      <c r="O448" s="49" t="s">
        <v>2</v>
      </c>
      <c r="P448" s="8">
        <v>4</v>
      </c>
      <c r="Q448" s="8" t="s">
        <v>1797</v>
      </c>
      <c r="R448" s="8" t="s">
        <v>1762</v>
      </c>
      <c r="S448" s="9" t="str">
        <f>IFERROR(HYPERLINK("#Main!A"&amp;MATCH(A448,Main!A:A,0),"Open"),HYPERLINK("#Main!A1","Open"))</f>
        <v>Open</v>
      </c>
      <c r="T448" s="9" t="str">
        <f>IFERROR(HYPERLINK("#Technical!A"&amp;MATCH(A448,Technical!A:A,0),"Open"),HYPERLINK("#Technical!A1","Open"))</f>
        <v>Open</v>
      </c>
      <c r="U448" s="9"/>
    </row>
    <row r="449" spans="1:21" ht="30" customHeight="1" x14ac:dyDescent="0.25">
      <c r="A449" s="58" t="s">
        <v>417</v>
      </c>
      <c r="B449" s="11">
        <v>29496</v>
      </c>
      <c r="C449" s="43" t="s">
        <v>1316</v>
      </c>
      <c r="D449" s="11" t="s">
        <v>8</v>
      </c>
      <c r="E449" s="64" t="s">
        <v>68</v>
      </c>
      <c r="F449" s="11" t="s">
        <v>1758</v>
      </c>
      <c r="G449" s="10">
        <v>37</v>
      </c>
      <c r="H449" s="11">
        <v>0</v>
      </c>
      <c r="I449" s="11" t="s">
        <v>1759</v>
      </c>
      <c r="J449" s="11" t="s">
        <v>1760</v>
      </c>
      <c r="K449" s="72" t="s">
        <v>9</v>
      </c>
      <c r="L449" s="11" t="s">
        <v>1183</v>
      </c>
      <c r="M449" s="11" t="s">
        <v>864</v>
      </c>
      <c r="N449" s="60" t="s">
        <v>98</v>
      </c>
      <c r="O449" s="49" t="s">
        <v>2</v>
      </c>
      <c r="P449" s="11">
        <v>4</v>
      </c>
      <c r="Q449" s="11" t="s">
        <v>1798</v>
      </c>
      <c r="R449" s="11" t="s">
        <v>1762</v>
      </c>
      <c r="S449" t="str">
        <f>IFERROR(HYPERLINK("#Main!A"&amp;MATCH(A449,Main!A:A,0),"Open"),HYPERLINK("#Main!A1","Open"))</f>
        <v>Open</v>
      </c>
      <c r="T449" t="str">
        <f>IFERROR(HYPERLINK("#Technical!A"&amp;MATCH(A449,Technical!A:A,0),"Open"),HYPERLINK("#Technical!A1","Open"))</f>
        <v>Open</v>
      </c>
    </row>
    <row r="450" spans="1:21" ht="30" customHeight="1" x14ac:dyDescent="0.25">
      <c r="A450" s="59" t="s">
        <v>425</v>
      </c>
      <c r="B450" s="8">
        <v>16104</v>
      </c>
      <c r="C450" s="43" t="s">
        <v>1318</v>
      </c>
      <c r="D450" s="8" t="s">
        <v>8</v>
      </c>
      <c r="E450" s="64" t="s">
        <v>68</v>
      </c>
      <c r="F450" s="8" t="s">
        <v>1758</v>
      </c>
      <c r="G450" s="36">
        <v>37</v>
      </c>
      <c r="H450" s="8">
        <v>0</v>
      </c>
      <c r="I450" s="8" t="s">
        <v>1759</v>
      </c>
      <c r="J450" s="8" t="s">
        <v>1760</v>
      </c>
      <c r="K450" s="71" t="s">
        <v>9</v>
      </c>
      <c r="L450" s="8" t="s">
        <v>1183</v>
      </c>
      <c r="M450" s="8" t="s">
        <v>864</v>
      </c>
      <c r="N450" s="60" t="s">
        <v>98</v>
      </c>
      <c r="O450" s="49" t="s">
        <v>2</v>
      </c>
      <c r="P450" s="8">
        <v>4</v>
      </c>
      <c r="Q450" s="8" t="s">
        <v>1799</v>
      </c>
      <c r="R450" s="8" t="s">
        <v>1762</v>
      </c>
      <c r="S450" s="9" t="str">
        <f>IFERROR(HYPERLINK("#Main!A"&amp;MATCH(A450,Main!A:A,0),"Open"),HYPERLINK("#Main!A1","Open"))</f>
        <v>Open</v>
      </c>
      <c r="T450" s="9" t="str">
        <f>IFERROR(HYPERLINK("#Technical!A"&amp;MATCH(A450,Technical!A:A,0),"Open"),HYPERLINK("#Technical!A1","Open"))</f>
        <v>Open</v>
      </c>
      <c r="U450" s="9"/>
    </row>
    <row r="451" spans="1:21" ht="30" customHeight="1" x14ac:dyDescent="0.25">
      <c r="A451" s="58" t="s">
        <v>433</v>
      </c>
      <c r="B451" s="11"/>
      <c r="C451" s="11"/>
      <c r="D451" s="11" t="s">
        <v>8</v>
      </c>
      <c r="E451" s="64" t="s">
        <v>68</v>
      </c>
      <c r="F451" s="11" t="s">
        <v>1758</v>
      </c>
      <c r="G451" s="10">
        <v>37</v>
      </c>
      <c r="H451" s="11">
        <v>0</v>
      </c>
      <c r="I451" s="11" t="s">
        <v>1759</v>
      </c>
      <c r="J451" s="11" t="s">
        <v>1760</v>
      </c>
      <c r="K451" s="72" t="s">
        <v>9</v>
      </c>
      <c r="L451" s="11" t="s">
        <v>1183</v>
      </c>
      <c r="M451" s="11" t="s">
        <v>864</v>
      </c>
      <c r="N451" s="60" t="s">
        <v>98</v>
      </c>
      <c r="O451" s="49" t="s">
        <v>2</v>
      </c>
      <c r="P451" s="11">
        <v>4</v>
      </c>
      <c r="Q451" s="11" t="s">
        <v>1800</v>
      </c>
      <c r="R451" s="11" t="s">
        <v>1762</v>
      </c>
      <c r="S451" t="str">
        <f>IFERROR(HYPERLINK("#Main!A"&amp;MATCH(A451,Main!A:A,0),"Open"),HYPERLINK("#Main!A1","Open"))</f>
        <v>Open</v>
      </c>
      <c r="T451" t="str">
        <f>IFERROR(HYPERLINK("#Technical!A"&amp;MATCH(A451,Technical!A:A,0),"Open"),HYPERLINK("#Technical!A1","Open"))</f>
        <v>Open</v>
      </c>
    </row>
    <row r="452" spans="1:21" ht="30" customHeight="1" x14ac:dyDescent="0.25">
      <c r="A452" s="59" t="s">
        <v>436</v>
      </c>
      <c r="B452" s="8">
        <v>23021</v>
      </c>
      <c r="C452" s="43" t="s">
        <v>1321</v>
      </c>
      <c r="D452" s="8" t="s">
        <v>8</v>
      </c>
      <c r="E452" s="64" t="s">
        <v>68</v>
      </c>
      <c r="F452" s="8" t="s">
        <v>1758</v>
      </c>
      <c r="G452" s="36">
        <v>37</v>
      </c>
      <c r="H452" s="8">
        <v>0</v>
      </c>
      <c r="I452" s="8" t="s">
        <v>1759</v>
      </c>
      <c r="J452" s="8" t="s">
        <v>1760</v>
      </c>
      <c r="K452" s="71" t="s">
        <v>9</v>
      </c>
      <c r="L452" s="8" t="s">
        <v>1183</v>
      </c>
      <c r="M452" s="8" t="s">
        <v>864</v>
      </c>
      <c r="N452" s="60" t="s">
        <v>98</v>
      </c>
      <c r="O452" s="49" t="s">
        <v>2</v>
      </c>
      <c r="P452" s="8">
        <v>4</v>
      </c>
      <c r="Q452" s="8" t="s">
        <v>1801</v>
      </c>
      <c r="R452" s="8" t="s">
        <v>1762</v>
      </c>
      <c r="S452" s="9" t="str">
        <f>IFERROR(HYPERLINK("#Main!A"&amp;MATCH(A452,Main!A:A,0),"Open"),HYPERLINK("#Main!A1","Open"))</f>
        <v>Open</v>
      </c>
      <c r="T452" s="9" t="str">
        <f>IFERROR(HYPERLINK("#Technical!A"&amp;MATCH(A452,Technical!A:A,0),"Open"),HYPERLINK("#Technical!A1","Open"))</f>
        <v>Open</v>
      </c>
      <c r="U452" s="9"/>
    </row>
    <row r="453" spans="1:21" ht="30" customHeight="1" x14ac:dyDescent="0.25">
      <c r="A453" s="58" t="s">
        <v>444</v>
      </c>
      <c r="B453" s="11">
        <v>6816</v>
      </c>
      <c r="C453" s="43" t="s">
        <v>1239</v>
      </c>
      <c r="D453" s="11" t="s">
        <v>8</v>
      </c>
      <c r="E453" s="64" t="s">
        <v>68</v>
      </c>
      <c r="F453" s="11" t="s">
        <v>1758</v>
      </c>
      <c r="G453" s="10">
        <v>37</v>
      </c>
      <c r="H453" s="11">
        <v>0</v>
      </c>
      <c r="I453" s="11" t="s">
        <v>1759</v>
      </c>
      <c r="J453" s="11" t="s">
        <v>1760</v>
      </c>
      <c r="K453" s="72" t="s">
        <v>9</v>
      </c>
      <c r="L453" s="11" t="s">
        <v>1183</v>
      </c>
      <c r="M453" s="11" t="s">
        <v>864</v>
      </c>
      <c r="N453" s="60" t="s">
        <v>98</v>
      </c>
      <c r="O453" s="49" t="s">
        <v>2</v>
      </c>
      <c r="P453" s="11">
        <v>4</v>
      </c>
      <c r="Q453" s="11" t="s">
        <v>1802</v>
      </c>
      <c r="R453" s="11" t="s">
        <v>1762</v>
      </c>
      <c r="S453" t="str">
        <f>IFERROR(HYPERLINK("#Main!A"&amp;MATCH(A453,Main!A:A,0),"Open"),HYPERLINK("#Main!A1","Open"))</f>
        <v>Open</v>
      </c>
      <c r="T453" t="str">
        <f>IFERROR(HYPERLINK("#Technical!A"&amp;MATCH(A453,Technical!A:A,0),"Open"),HYPERLINK("#Technical!A1","Open"))</f>
        <v>Open</v>
      </c>
    </row>
    <row r="454" spans="1:21" ht="30" customHeight="1" x14ac:dyDescent="0.25">
      <c r="A454" s="59" t="s">
        <v>449</v>
      </c>
      <c r="B454" s="8">
        <v>6822</v>
      </c>
      <c r="C454" s="43" t="s">
        <v>1324</v>
      </c>
      <c r="D454" s="8" t="s">
        <v>8</v>
      </c>
      <c r="E454" s="64" t="s">
        <v>68</v>
      </c>
      <c r="F454" s="8" t="s">
        <v>1758</v>
      </c>
      <c r="G454" s="36">
        <v>37</v>
      </c>
      <c r="H454" s="8">
        <v>0</v>
      </c>
      <c r="I454" s="8" t="s">
        <v>1759</v>
      </c>
      <c r="J454" s="8" t="s">
        <v>1760</v>
      </c>
      <c r="K454" s="71" t="s">
        <v>9</v>
      </c>
      <c r="L454" s="8" t="s">
        <v>1183</v>
      </c>
      <c r="M454" s="8" t="s">
        <v>864</v>
      </c>
      <c r="N454" s="60" t="s">
        <v>98</v>
      </c>
      <c r="O454" s="49" t="s">
        <v>2</v>
      </c>
      <c r="P454" s="8">
        <v>4</v>
      </c>
      <c r="Q454" s="8" t="s">
        <v>1803</v>
      </c>
      <c r="R454" s="8" t="s">
        <v>1762</v>
      </c>
      <c r="S454" s="9" t="str">
        <f>IFERROR(HYPERLINK("#Main!A"&amp;MATCH(A454,Main!A:A,0),"Open"),HYPERLINK("#Main!A1","Open"))</f>
        <v>Open</v>
      </c>
      <c r="T454" s="9" t="str">
        <f>IFERROR(HYPERLINK("#Technical!A"&amp;MATCH(A454,Technical!A:A,0),"Open"),HYPERLINK("#Technical!A1","Open"))</f>
        <v>Open</v>
      </c>
      <c r="U454" s="9"/>
    </row>
    <row r="455" spans="1:21" ht="30" customHeight="1" x14ac:dyDescent="0.25">
      <c r="A455" s="58" t="s">
        <v>457</v>
      </c>
      <c r="B455" s="11">
        <v>6553</v>
      </c>
      <c r="C455" s="43" t="s">
        <v>1326</v>
      </c>
      <c r="D455" s="11" t="s">
        <v>8</v>
      </c>
      <c r="E455" s="64" t="s">
        <v>68</v>
      </c>
      <c r="F455" s="11" t="s">
        <v>1758</v>
      </c>
      <c r="G455" s="10">
        <v>37</v>
      </c>
      <c r="H455" s="11">
        <v>0</v>
      </c>
      <c r="I455" s="11" t="s">
        <v>1759</v>
      </c>
      <c r="J455" s="11" t="s">
        <v>1760</v>
      </c>
      <c r="K455" s="72" t="s">
        <v>9</v>
      </c>
      <c r="L455" s="11" t="s">
        <v>1183</v>
      </c>
      <c r="M455" s="11" t="s">
        <v>864</v>
      </c>
      <c r="N455" s="60" t="s">
        <v>98</v>
      </c>
      <c r="O455" s="49" t="s">
        <v>2</v>
      </c>
      <c r="P455" s="11">
        <v>4</v>
      </c>
      <c r="Q455" s="11" t="s">
        <v>1804</v>
      </c>
      <c r="R455" s="11" t="s">
        <v>1762</v>
      </c>
      <c r="S455" t="str">
        <f>IFERROR(HYPERLINK("#Main!A"&amp;MATCH(A455,Main!A:A,0),"Open"),HYPERLINK("#Main!A1","Open"))</f>
        <v>Open</v>
      </c>
      <c r="T455" t="str">
        <f>IFERROR(HYPERLINK("#Technical!A"&amp;MATCH(A455,Technical!A:A,0),"Open"),HYPERLINK("#Technical!A1","Open"))</f>
        <v>Open</v>
      </c>
    </row>
    <row r="456" spans="1:21" ht="30" customHeight="1" x14ac:dyDescent="0.25">
      <c r="A456" s="59" t="s">
        <v>465</v>
      </c>
      <c r="B456" s="8">
        <v>4492</v>
      </c>
      <c r="C456" s="43" t="s">
        <v>1328</v>
      </c>
      <c r="D456" s="8" t="s">
        <v>8</v>
      </c>
      <c r="E456" s="64" t="s">
        <v>68</v>
      </c>
      <c r="F456" s="8" t="s">
        <v>1758</v>
      </c>
      <c r="G456" s="36">
        <v>37</v>
      </c>
      <c r="H456" s="8">
        <v>0</v>
      </c>
      <c r="I456" s="8" t="s">
        <v>1759</v>
      </c>
      <c r="J456" s="8" t="s">
        <v>1760</v>
      </c>
      <c r="K456" s="71" t="s">
        <v>9</v>
      </c>
      <c r="L456" s="8" t="s">
        <v>1183</v>
      </c>
      <c r="M456" s="8" t="s">
        <v>864</v>
      </c>
      <c r="N456" s="60" t="s">
        <v>98</v>
      </c>
      <c r="O456" s="49" t="s">
        <v>2</v>
      </c>
      <c r="P456" s="8">
        <v>4</v>
      </c>
      <c r="Q456" s="8" t="s">
        <v>1805</v>
      </c>
      <c r="R456" s="8" t="s">
        <v>1762</v>
      </c>
      <c r="S456" s="9" t="str">
        <f>IFERROR(HYPERLINK("#Main!A"&amp;MATCH(A456,Main!A:A,0),"Open"),HYPERLINK("#Main!A1","Open"))</f>
        <v>Open</v>
      </c>
      <c r="T456" s="9" t="str">
        <f>IFERROR(HYPERLINK("#Technical!A"&amp;MATCH(A456,Technical!A:A,0),"Open"),HYPERLINK("#Technical!A1","Open"))</f>
        <v>Open</v>
      </c>
      <c r="U456" s="9"/>
    </row>
    <row r="457" spans="1:21" ht="30" customHeight="1" x14ac:dyDescent="0.25">
      <c r="A457" s="58" t="s">
        <v>473</v>
      </c>
      <c r="B457" s="11">
        <v>23001</v>
      </c>
      <c r="C457" s="43" t="s">
        <v>1330</v>
      </c>
      <c r="D457" s="11" t="s">
        <v>8</v>
      </c>
      <c r="E457" s="64" t="s">
        <v>68</v>
      </c>
      <c r="F457" s="11" t="s">
        <v>1758</v>
      </c>
      <c r="G457" s="10">
        <v>37</v>
      </c>
      <c r="H457" s="11">
        <v>0</v>
      </c>
      <c r="I457" s="11" t="s">
        <v>1759</v>
      </c>
      <c r="J457" s="11" t="s">
        <v>1760</v>
      </c>
      <c r="K457" s="72" t="s">
        <v>9</v>
      </c>
      <c r="L457" s="11" t="s">
        <v>1183</v>
      </c>
      <c r="M457" s="11" t="s">
        <v>864</v>
      </c>
      <c r="N457" s="60" t="s">
        <v>98</v>
      </c>
      <c r="O457" s="49" t="s">
        <v>2</v>
      </c>
      <c r="P457" s="11">
        <v>4</v>
      </c>
      <c r="Q457" s="11" t="s">
        <v>1806</v>
      </c>
      <c r="R457" s="11" t="s">
        <v>1762</v>
      </c>
      <c r="S457" t="str">
        <f>IFERROR(HYPERLINK("#Main!A"&amp;MATCH(A457,Main!A:A,0),"Open"),HYPERLINK("#Main!A1","Open"))</f>
        <v>Open</v>
      </c>
      <c r="T457" t="str">
        <f>IFERROR(HYPERLINK("#Technical!A"&amp;MATCH(A457,Technical!A:A,0),"Open"),HYPERLINK("#Technical!A1","Open"))</f>
        <v>Open</v>
      </c>
    </row>
    <row r="458" spans="1:21" ht="30" customHeight="1" x14ac:dyDescent="0.25">
      <c r="A458" s="59" t="s">
        <v>481</v>
      </c>
      <c r="B458" s="8">
        <v>21952</v>
      </c>
      <c r="C458" s="43" t="s">
        <v>1332</v>
      </c>
      <c r="D458" s="8" t="s">
        <v>8</v>
      </c>
      <c r="E458" s="64" t="s">
        <v>68</v>
      </c>
      <c r="F458" s="8" t="s">
        <v>1758</v>
      </c>
      <c r="G458" s="36">
        <v>37</v>
      </c>
      <c r="H458" s="8">
        <v>0</v>
      </c>
      <c r="I458" s="8" t="s">
        <v>1759</v>
      </c>
      <c r="J458" s="8" t="s">
        <v>1760</v>
      </c>
      <c r="K458" s="71" t="s">
        <v>9</v>
      </c>
      <c r="L458" s="8" t="s">
        <v>1183</v>
      </c>
      <c r="M458" s="8" t="s">
        <v>864</v>
      </c>
      <c r="N458" s="60" t="s">
        <v>98</v>
      </c>
      <c r="O458" s="49" t="s">
        <v>2</v>
      </c>
      <c r="P458" s="8">
        <v>4</v>
      </c>
      <c r="Q458" s="8" t="s">
        <v>1807</v>
      </c>
      <c r="R458" s="8" t="s">
        <v>1762</v>
      </c>
      <c r="S458" s="9" t="str">
        <f>IFERROR(HYPERLINK("#Main!A"&amp;MATCH(A458,Main!A:A,0),"Open"),HYPERLINK("#Main!A1","Open"))</f>
        <v>Open</v>
      </c>
      <c r="T458" s="9" t="str">
        <f>IFERROR(HYPERLINK("#Technical!A"&amp;MATCH(A458,Technical!A:A,0),"Open"),HYPERLINK("#Technical!A1","Open"))</f>
        <v>Open</v>
      </c>
      <c r="U458" s="9"/>
    </row>
    <row r="459" spans="1:21" ht="30" customHeight="1" x14ac:dyDescent="0.25">
      <c r="A459" s="58" t="s">
        <v>489</v>
      </c>
      <c r="B459" s="11">
        <v>22679</v>
      </c>
      <c r="C459" s="43" t="s">
        <v>1334</v>
      </c>
      <c r="D459" s="11" t="s">
        <v>8</v>
      </c>
      <c r="E459" s="64" t="s">
        <v>68</v>
      </c>
      <c r="F459" s="11" t="s">
        <v>1758</v>
      </c>
      <c r="G459" s="10">
        <v>37</v>
      </c>
      <c r="H459" s="11">
        <v>0</v>
      </c>
      <c r="I459" s="11" t="s">
        <v>1759</v>
      </c>
      <c r="J459" s="11" t="s">
        <v>1760</v>
      </c>
      <c r="K459" s="72" t="s">
        <v>9</v>
      </c>
      <c r="L459" s="11" t="s">
        <v>1183</v>
      </c>
      <c r="M459" s="11" t="s">
        <v>864</v>
      </c>
      <c r="N459" s="60" t="s">
        <v>98</v>
      </c>
      <c r="O459" s="49" t="s">
        <v>2</v>
      </c>
      <c r="P459" s="11">
        <v>4</v>
      </c>
      <c r="Q459" s="11" t="s">
        <v>1808</v>
      </c>
      <c r="R459" s="11" t="s">
        <v>1762</v>
      </c>
      <c r="S459" t="str">
        <f>IFERROR(HYPERLINK("#Main!A"&amp;MATCH(A459,Main!A:A,0),"Open"),HYPERLINK("#Main!A1","Open"))</f>
        <v>Open</v>
      </c>
      <c r="T459" t="str">
        <f>IFERROR(HYPERLINK("#Technical!A"&amp;MATCH(A459,Technical!A:A,0),"Open"),HYPERLINK("#Technical!A1","Open"))</f>
        <v>Open</v>
      </c>
    </row>
    <row r="460" spans="1:21" ht="30" customHeight="1" x14ac:dyDescent="0.25">
      <c r="A460" s="59" t="s">
        <v>497</v>
      </c>
      <c r="B460" s="8">
        <v>32554</v>
      </c>
      <c r="C460" s="43" t="s">
        <v>1336</v>
      </c>
      <c r="D460" s="8" t="s">
        <v>8</v>
      </c>
      <c r="E460" s="64" t="s">
        <v>68</v>
      </c>
      <c r="F460" s="8" t="s">
        <v>1758</v>
      </c>
      <c r="G460" s="36">
        <v>37</v>
      </c>
      <c r="H460" s="8">
        <v>0</v>
      </c>
      <c r="I460" s="8" t="s">
        <v>1759</v>
      </c>
      <c r="J460" s="8" t="s">
        <v>1760</v>
      </c>
      <c r="K460" s="71" t="s">
        <v>9</v>
      </c>
      <c r="L460" s="8" t="s">
        <v>1183</v>
      </c>
      <c r="M460" s="8" t="s">
        <v>864</v>
      </c>
      <c r="N460" s="60" t="s">
        <v>98</v>
      </c>
      <c r="O460" s="49" t="s">
        <v>2</v>
      </c>
      <c r="P460" s="8">
        <v>4</v>
      </c>
      <c r="Q460" s="8" t="s">
        <v>1809</v>
      </c>
      <c r="R460" s="8" t="s">
        <v>1762</v>
      </c>
      <c r="S460" s="9" t="str">
        <f>IFERROR(HYPERLINK("#Main!A"&amp;MATCH(A460,Main!A:A,0),"Open"),HYPERLINK("#Main!A1","Open"))</f>
        <v>Open</v>
      </c>
      <c r="T460" s="9" t="str">
        <f>IFERROR(HYPERLINK("#Technical!A"&amp;MATCH(A460,Technical!A:A,0),"Open"),HYPERLINK("#Technical!A1","Open"))</f>
        <v>Open</v>
      </c>
      <c r="U460" s="9"/>
    </row>
    <row r="461" spans="1:21" ht="30" customHeight="1" x14ac:dyDescent="0.25">
      <c r="A461" s="58" t="s">
        <v>505</v>
      </c>
      <c r="B461" s="11">
        <v>34552</v>
      </c>
      <c r="C461" s="43" t="s">
        <v>1338</v>
      </c>
      <c r="D461" s="11" t="s">
        <v>8</v>
      </c>
      <c r="E461" s="64" t="s">
        <v>68</v>
      </c>
      <c r="F461" s="11" t="s">
        <v>1758</v>
      </c>
      <c r="G461" s="10">
        <v>37</v>
      </c>
      <c r="H461" s="11">
        <v>0</v>
      </c>
      <c r="I461" s="11" t="s">
        <v>1759</v>
      </c>
      <c r="J461" s="11" t="s">
        <v>1760</v>
      </c>
      <c r="K461" s="72" t="s">
        <v>9</v>
      </c>
      <c r="L461" s="11" t="s">
        <v>1183</v>
      </c>
      <c r="M461" s="11" t="s">
        <v>864</v>
      </c>
      <c r="N461" s="60" t="s">
        <v>98</v>
      </c>
      <c r="O461" s="49" t="s">
        <v>2</v>
      </c>
      <c r="P461" s="11">
        <v>4</v>
      </c>
      <c r="Q461" s="11" t="s">
        <v>1810</v>
      </c>
      <c r="R461" s="11" t="s">
        <v>1762</v>
      </c>
      <c r="S461" t="str">
        <f>IFERROR(HYPERLINK("#Main!A"&amp;MATCH(A461,Main!A:A,0),"Open"),HYPERLINK("#Main!A1","Open"))</f>
        <v>Open</v>
      </c>
      <c r="T461" t="str">
        <f>IFERROR(HYPERLINK("#Technical!A"&amp;MATCH(A461,Technical!A:A,0),"Open"),HYPERLINK("#Technical!A1","Open"))</f>
        <v>Open</v>
      </c>
    </row>
    <row r="462" spans="1:21" ht="30" customHeight="1" x14ac:dyDescent="0.25">
      <c r="A462" s="59" t="s">
        <v>512</v>
      </c>
      <c r="B462" s="8">
        <v>34622</v>
      </c>
      <c r="C462" s="43" t="s">
        <v>1340</v>
      </c>
      <c r="D462" s="8" t="s">
        <v>8</v>
      </c>
      <c r="E462" s="64" t="s">
        <v>68</v>
      </c>
      <c r="F462" s="8" t="s">
        <v>1758</v>
      </c>
      <c r="G462" s="36">
        <v>37</v>
      </c>
      <c r="H462" s="8">
        <v>0</v>
      </c>
      <c r="I462" s="8" t="s">
        <v>1759</v>
      </c>
      <c r="J462" s="8" t="s">
        <v>1760</v>
      </c>
      <c r="K462" s="71" t="s">
        <v>9</v>
      </c>
      <c r="L462" s="8" t="s">
        <v>1183</v>
      </c>
      <c r="M462" s="8" t="s">
        <v>864</v>
      </c>
      <c r="N462" s="60" t="s">
        <v>98</v>
      </c>
      <c r="O462" s="49" t="s">
        <v>2</v>
      </c>
      <c r="P462" s="8">
        <v>4</v>
      </c>
      <c r="Q462" s="8" t="s">
        <v>1811</v>
      </c>
      <c r="R462" s="8" t="s">
        <v>1762</v>
      </c>
      <c r="S462" s="9" t="str">
        <f>IFERROR(HYPERLINK("#Main!A"&amp;MATCH(A462,Main!A:A,0),"Open"),HYPERLINK("#Main!A1","Open"))</f>
        <v>Open</v>
      </c>
      <c r="T462" s="9" t="str">
        <f>IFERROR(HYPERLINK("#Technical!A"&amp;MATCH(A462,Technical!A:A,0),"Open"),HYPERLINK("#Technical!A1","Open"))</f>
        <v>Open</v>
      </c>
      <c r="U462" s="9"/>
    </row>
    <row r="463" spans="1:21" ht="30" customHeight="1" x14ac:dyDescent="0.25">
      <c r="A463" s="58" t="s">
        <v>519</v>
      </c>
      <c r="B463" s="11">
        <v>28742</v>
      </c>
      <c r="C463" s="43" t="s">
        <v>1342</v>
      </c>
      <c r="D463" s="11" t="s">
        <v>8</v>
      </c>
      <c r="E463" s="64" t="s">
        <v>68</v>
      </c>
      <c r="F463" s="11" t="s">
        <v>1758</v>
      </c>
      <c r="G463" s="10">
        <v>37</v>
      </c>
      <c r="H463" s="11">
        <v>0</v>
      </c>
      <c r="I463" s="11" t="s">
        <v>1759</v>
      </c>
      <c r="J463" s="11" t="s">
        <v>1760</v>
      </c>
      <c r="K463" s="72" t="s">
        <v>9</v>
      </c>
      <c r="L463" s="11" t="s">
        <v>1183</v>
      </c>
      <c r="M463" s="11" t="s">
        <v>864</v>
      </c>
      <c r="N463" s="60" t="s">
        <v>98</v>
      </c>
      <c r="O463" s="49" t="s">
        <v>2</v>
      </c>
      <c r="P463" s="11">
        <v>4</v>
      </c>
      <c r="Q463" s="11" t="s">
        <v>1812</v>
      </c>
      <c r="R463" s="11" t="s">
        <v>1762</v>
      </c>
      <c r="S463" t="str">
        <f>IFERROR(HYPERLINK("#Main!A"&amp;MATCH(A463,Main!A:A,0),"Open"),HYPERLINK("#Main!A1","Open"))</f>
        <v>Open</v>
      </c>
      <c r="T463" t="str">
        <f>IFERROR(HYPERLINK("#Technical!A"&amp;MATCH(A463,Technical!A:A,0),"Open"),HYPERLINK("#Technical!A1","Open"))</f>
        <v>Open</v>
      </c>
    </row>
    <row r="464" spans="1:21" ht="30" customHeight="1" x14ac:dyDescent="0.25">
      <c r="A464" s="59" t="s">
        <v>527</v>
      </c>
      <c r="B464" s="8">
        <v>20001</v>
      </c>
      <c r="C464" s="43" t="s">
        <v>1344</v>
      </c>
      <c r="D464" s="8" t="s">
        <v>8</v>
      </c>
      <c r="E464" s="64" t="s">
        <v>68</v>
      </c>
      <c r="F464" s="8" t="s">
        <v>1758</v>
      </c>
      <c r="G464" s="36">
        <v>37</v>
      </c>
      <c r="H464" s="8">
        <v>0</v>
      </c>
      <c r="I464" s="8" t="s">
        <v>1759</v>
      </c>
      <c r="J464" s="8" t="s">
        <v>1760</v>
      </c>
      <c r="K464" s="71" t="s">
        <v>9</v>
      </c>
      <c r="L464" s="8" t="s">
        <v>1183</v>
      </c>
      <c r="M464" s="8" t="s">
        <v>864</v>
      </c>
      <c r="N464" s="60" t="s">
        <v>98</v>
      </c>
      <c r="O464" s="49" t="s">
        <v>2</v>
      </c>
      <c r="P464" s="8">
        <v>4</v>
      </c>
      <c r="Q464" s="8" t="s">
        <v>1813</v>
      </c>
      <c r="R464" s="8" t="s">
        <v>1762</v>
      </c>
      <c r="S464" s="9" t="str">
        <f>IFERROR(HYPERLINK("#Main!A"&amp;MATCH(A464,Main!A:A,0),"Open"),HYPERLINK("#Main!A1","Open"))</f>
        <v>Open</v>
      </c>
      <c r="T464" s="9" t="str">
        <f>IFERROR(HYPERLINK("#Technical!A"&amp;MATCH(A464,Technical!A:A,0),"Open"),HYPERLINK("#Technical!A1","Open"))</f>
        <v>Open</v>
      </c>
      <c r="U464" s="9"/>
    </row>
    <row r="465" spans="1:21" ht="30" customHeight="1" x14ac:dyDescent="0.25">
      <c r="A465" s="58" t="s">
        <v>535</v>
      </c>
      <c r="B465" s="11">
        <v>19980</v>
      </c>
      <c r="C465" s="43" t="s">
        <v>1346</v>
      </c>
      <c r="D465" s="11" t="s">
        <v>8</v>
      </c>
      <c r="E465" s="64" t="s">
        <v>68</v>
      </c>
      <c r="F465" s="11" t="s">
        <v>1758</v>
      </c>
      <c r="G465" s="10">
        <v>37</v>
      </c>
      <c r="H465" s="11">
        <v>0</v>
      </c>
      <c r="I465" s="11" t="s">
        <v>1759</v>
      </c>
      <c r="J465" s="11" t="s">
        <v>1760</v>
      </c>
      <c r="K465" s="72" t="s">
        <v>9</v>
      </c>
      <c r="L465" s="11" t="s">
        <v>1183</v>
      </c>
      <c r="M465" s="11" t="s">
        <v>864</v>
      </c>
      <c r="N465" s="60" t="s">
        <v>98</v>
      </c>
      <c r="O465" s="49" t="s">
        <v>2</v>
      </c>
      <c r="P465" s="11">
        <v>4</v>
      </c>
      <c r="Q465" s="11" t="s">
        <v>1814</v>
      </c>
      <c r="R465" s="11" t="s">
        <v>1762</v>
      </c>
      <c r="S465" t="str">
        <f>IFERROR(HYPERLINK("#Main!A"&amp;MATCH(A465,Main!A:A,0),"Open"),HYPERLINK("#Main!A1","Open"))</f>
        <v>Open</v>
      </c>
      <c r="T465" t="str">
        <f>IFERROR(HYPERLINK("#Technical!A"&amp;MATCH(A465,Technical!A:A,0),"Open"),HYPERLINK("#Technical!A1","Open"))</f>
        <v>Open</v>
      </c>
    </row>
    <row r="466" spans="1:21" ht="30" customHeight="1" x14ac:dyDescent="0.25">
      <c r="A466" s="59" t="s">
        <v>543</v>
      </c>
      <c r="B466" s="8">
        <v>10823</v>
      </c>
      <c r="C466" s="43" t="s">
        <v>1348</v>
      </c>
      <c r="D466" s="8" t="s">
        <v>8</v>
      </c>
      <c r="E466" s="64" t="s">
        <v>68</v>
      </c>
      <c r="F466" s="8" t="s">
        <v>1758</v>
      </c>
      <c r="G466" s="36">
        <v>37</v>
      </c>
      <c r="H466" s="8">
        <v>0</v>
      </c>
      <c r="I466" s="8" t="s">
        <v>1759</v>
      </c>
      <c r="J466" s="8" t="s">
        <v>1760</v>
      </c>
      <c r="K466" s="71" t="s">
        <v>9</v>
      </c>
      <c r="L466" s="8" t="s">
        <v>1183</v>
      </c>
      <c r="M466" s="8" t="s">
        <v>864</v>
      </c>
      <c r="N466" s="60" t="s">
        <v>98</v>
      </c>
      <c r="O466" s="49" t="s">
        <v>2</v>
      </c>
      <c r="P466" s="8">
        <v>4</v>
      </c>
      <c r="Q466" s="8" t="s">
        <v>1815</v>
      </c>
      <c r="R466" s="8" t="s">
        <v>1762</v>
      </c>
      <c r="S466" s="9" t="str">
        <f>IFERROR(HYPERLINK("#Main!A"&amp;MATCH(A466,Main!A:A,0),"Open"),HYPERLINK("#Main!A1","Open"))</f>
        <v>Open</v>
      </c>
      <c r="T466" s="9" t="str">
        <f>IFERROR(HYPERLINK("#Technical!A"&amp;MATCH(A466,Technical!A:A,0),"Open"),HYPERLINK("#Technical!A1","Open"))</f>
        <v>Open</v>
      </c>
      <c r="U466" s="9"/>
    </row>
    <row r="467" spans="1:21" ht="30" customHeight="1" x14ac:dyDescent="0.25">
      <c r="A467" s="58" t="s">
        <v>551</v>
      </c>
      <c r="B467" s="11">
        <v>9075</v>
      </c>
      <c r="C467" s="43" t="s">
        <v>1350</v>
      </c>
      <c r="D467" s="11" t="s">
        <v>8</v>
      </c>
      <c r="E467" s="64" t="s">
        <v>68</v>
      </c>
      <c r="F467" s="11" t="s">
        <v>1758</v>
      </c>
      <c r="G467" s="10">
        <v>37</v>
      </c>
      <c r="H467" s="11">
        <v>0</v>
      </c>
      <c r="I467" s="11" t="s">
        <v>1759</v>
      </c>
      <c r="J467" s="11" t="s">
        <v>1760</v>
      </c>
      <c r="K467" s="72" t="s">
        <v>9</v>
      </c>
      <c r="L467" s="11" t="s">
        <v>1183</v>
      </c>
      <c r="M467" s="11" t="s">
        <v>864</v>
      </c>
      <c r="N467" s="60" t="s">
        <v>98</v>
      </c>
      <c r="O467" s="49" t="s">
        <v>2</v>
      </c>
      <c r="P467" s="11">
        <v>4</v>
      </c>
      <c r="Q467" s="11" t="s">
        <v>1816</v>
      </c>
      <c r="R467" s="11" t="s">
        <v>1762</v>
      </c>
      <c r="S467" t="str">
        <f>IFERROR(HYPERLINK("#Main!A"&amp;MATCH(A467,Main!A:A,0),"Open"),HYPERLINK("#Main!A1","Open"))</f>
        <v>Open</v>
      </c>
      <c r="T467" t="str">
        <f>IFERROR(HYPERLINK("#Technical!A"&amp;MATCH(A467,Technical!A:A,0),"Open"),HYPERLINK("#Technical!A1","Open"))</f>
        <v>Open</v>
      </c>
    </row>
    <row r="468" spans="1:21" ht="30" customHeight="1" x14ac:dyDescent="0.25">
      <c r="A468" s="59" t="s">
        <v>559</v>
      </c>
      <c r="B468" s="8">
        <v>17908</v>
      </c>
      <c r="C468" s="43" t="s">
        <v>1352</v>
      </c>
      <c r="D468" s="8" t="s">
        <v>8</v>
      </c>
      <c r="E468" s="64" t="s">
        <v>68</v>
      </c>
      <c r="F468" s="8" t="s">
        <v>1758</v>
      </c>
      <c r="G468" s="36">
        <v>37</v>
      </c>
      <c r="H468" s="8">
        <v>0</v>
      </c>
      <c r="I468" s="8" t="s">
        <v>1759</v>
      </c>
      <c r="J468" s="8" t="s">
        <v>1760</v>
      </c>
      <c r="K468" s="71" t="s">
        <v>9</v>
      </c>
      <c r="L468" s="8" t="s">
        <v>1183</v>
      </c>
      <c r="M468" s="8" t="s">
        <v>864</v>
      </c>
      <c r="N468" s="60" t="s">
        <v>98</v>
      </c>
      <c r="O468" s="49" t="s">
        <v>2</v>
      </c>
      <c r="P468" s="8">
        <v>4</v>
      </c>
      <c r="Q468" s="8" t="s">
        <v>1817</v>
      </c>
      <c r="R468" s="8" t="s">
        <v>1762</v>
      </c>
      <c r="S468" s="9" t="str">
        <f>IFERROR(HYPERLINK("#Main!A"&amp;MATCH(A468,Main!A:A,0),"Open"),HYPERLINK("#Main!A1","Open"))</f>
        <v>Open</v>
      </c>
      <c r="T468" s="9" t="str">
        <f>IFERROR(HYPERLINK("#Technical!A"&amp;MATCH(A468,Technical!A:A,0),"Open"),HYPERLINK("#Technical!A1","Open"))</f>
        <v>Open</v>
      </c>
      <c r="U468" s="9"/>
    </row>
    <row r="469" spans="1:21" ht="30" customHeight="1" x14ac:dyDescent="0.25">
      <c r="A469" s="58" t="s">
        <v>566</v>
      </c>
      <c r="B469" s="11">
        <v>24640</v>
      </c>
      <c r="C469" s="43" t="s">
        <v>1354</v>
      </c>
      <c r="D469" s="11" t="s">
        <v>8</v>
      </c>
      <c r="E469" s="64" t="s">
        <v>68</v>
      </c>
      <c r="F469" s="11" t="s">
        <v>1758</v>
      </c>
      <c r="G469" s="10">
        <v>37</v>
      </c>
      <c r="H469" s="11">
        <v>0</v>
      </c>
      <c r="I469" s="11" t="s">
        <v>1759</v>
      </c>
      <c r="J469" s="11" t="s">
        <v>1760</v>
      </c>
      <c r="K469" s="72" t="s">
        <v>9</v>
      </c>
      <c r="L469" s="11" t="s">
        <v>1183</v>
      </c>
      <c r="M469" s="11" t="s">
        <v>864</v>
      </c>
      <c r="N469" s="60" t="s">
        <v>98</v>
      </c>
      <c r="O469" s="49" t="s">
        <v>2</v>
      </c>
      <c r="P469" s="11">
        <v>4</v>
      </c>
      <c r="Q469" s="11" t="s">
        <v>1818</v>
      </c>
      <c r="R469" s="11" t="s">
        <v>1762</v>
      </c>
      <c r="S469" t="str">
        <f>IFERROR(HYPERLINK("#Main!A"&amp;MATCH(A469,Main!A:A,0),"Open"),HYPERLINK("#Main!A1","Open"))</f>
        <v>Open</v>
      </c>
      <c r="T469" t="str">
        <f>IFERROR(HYPERLINK("#Technical!A"&amp;MATCH(A469,Technical!A:A,0),"Open"),HYPERLINK("#Technical!A1","Open"))</f>
        <v>Open</v>
      </c>
    </row>
    <row r="470" spans="1:21" ht="30" customHeight="1" x14ac:dyDescent="0.25">
      <c r="A470" s="59" t="s">
        <v>574</v>
      </c>
      <c r="B470" s="8">
        <v>16472</v>
      </c>
      <c r="C470" s="43" t="s">
        <v>1356</v>
      </c>
      <c r="D470" s="8" t="s">
        <v>8</v>
      </c>
      <c r="E470" s="64" t="s">
        <v>68</v>
      </c>
      <c r="F470" s="8" t="s">
        <v>1758</v>
      </c>
      <c r="G470" s="36">
        <v>37</v>
      </c>
      <c r="H470" s="8">
        <v>0</v>
      </c>
      <c r="I470" s="8" t="s">
        <v>1759</v>
      </c>
      <c r="J470" s="8" t="s">
        <v>1760</v>
      </c>
      <c r="K470" s="71" t="s">
        <v>9</v>
      </c>
      <c r="L470" s="8" t="s">
        <v>1183</v>
      </c>
      <c r="M470" s="8" t="s">
        <v>864</v>
      </c>
      <c r="N470" s="60" t="s">
        <v>98</v>
      </c>
      <c r="O470" s="49" t="s">
        <v>2</v>
      </c>
      <c r="P470" s="8">
        <v>4</v>
      </c>
      <c r="Q470" s="8" t="s">
        <v>1819</v>
      </c>
      <c r="R470" s="8" t="s">
        <v>1762</v>
      </c>
      <c r="S470" s="9" t="str">
        <f>IFERROR(HYPERLINK("#Main!A"&amp;MATCH(A470,Main!A:A,0),"Open"),HYPERLINK("#Main!A1","Open"))</f>
        <v>Open</v>
      </c>
      <c r="T470" s="9" t="str">
        <f>IFERROR(HYPERLINK("#Technical!A"&amp;MATCH(A470,Technical!A:A,0),"Open"),HYPERLINK("#Technical!A1","Open"))</f>
        <v>Open</v>
      </c>
      <c r="U470" s="9"/>
    </row>
    <row r="471" spans="1:21" ht="30" customHeight="1" x14ac:dyDescent="0.25">
      <c r="A471" s="58" t="s">
        <v>582</v>
      </c>
      <c r="B471" s="11">
        <v>92</v>
      </c>
      <c r="C471" s="43" t="s">
        <v>1358</v>
      </c>
      <c r="D471" s="11" t="s">
        <v>8</v>
      </c>
      <c r="E471" s="64" t="s">
        <v>68</v>
      </c>
      <c r="F471" s="11" t="s">
        <v>1758</v>
      </c>
      <c r="G471" s="10">
        <v>37</v>
      </c>
      <c r="H471" s="11">
        <v>0</v>
      </c>
      <c r="I471" s="11" t="s">
        <v>1759</v>
      </c>
      <c r="J471" s="11" t="s">
        <v>1760</v>
      </c>
      <c r="K471" s="72" t="s">
        <v>9</v>
      </c>
      <c r="L471" s="11" t="s">
        <v>1183</v>
      </c>
      <c r="M471" s="11" t="s">
        <v>864</v>
      </c>
      <c r="N471" s="60" t="s">
        <v>98</v>
      </c>
      <c r="O471" s="49" t="s">
        <v>2</v>
      </c>
      <c r="P471" s="11">
        <v>4</v>
      </c>
      <c r="Q471" s="11" t="s">
        <v>1820</v>
      </c>
      <c r="R471" s="11" t="s">
        <v>1762</v>
      </c>
      <c r="S471" t="str">
        <f>IFERROR(HYPERLINK("#Main!A"&amp;MATCH(A471,Main!A:A,0),"Open"),HYPERLINK("#Main!A1","Open"))</f>
        <v>Open</v>
      </c>
      <c r="T471" t="str">
        <f>IFERROR(HYPERLINK("#Technical!A"&amp;MATCH(A471,Technical!A:A,0),"Open"),HYPERLINK("#Technical!A1","Open"))</f>
        <v>Open</v>
      </c>
    </row>
    <row r="472" spans="1:21" ht="30" customHeight="1" x14ac:dyDescent="0.25">
      <c r="A472" s="59" t="s">
        <v>590</v>
      </c>
      <c r="B472" s="8">
        <v>18478</v>
      </c>
      <c r="C472" s="43" t="s">
        <v>1360</v>
      </c>
      <c r="D472" s="8" t="s">
        <v>8</v>
      </c>
      <c r="E472" s="64" t="s">
        <v>68</v>
      </c>
      <c r="F472" s="8" t="s">
        <v>1758</v>
      </c>
      <c r="G472" s="36">
        <v>37</v>
      </c>
      <c r="H472" s="8">
        <v>0</v>
      </c>
      <c r="I472" s="8" t="s">
        <v>1759</v>
      </c>
      <c r="J472" s="8" t="s">
        <v>1760</v>
      </c>
      <c r="K472" s="71" t="s">
        <v>9</v>
      </c>
      <c r="L472" s="8" t="s">
        <v>1183</v>
      </c>
      <c r="M472" s="8" t="s">
        <v>864</v>
      </c>
      <c r="N472" s="60" t="s">
        <v>98</v>
      </c>
      <c r="O472" s="49" t="s">
        <v>2</v>
      </c>
      <c r="P472" s="8">
        <v>4</v>
      </c>
      <c r="Q472" s="8" t="s">
        <v>1821</v>
      </c>
      <c r="R472" s="8" t="s">
        <v>1762</v>
      </c>
      <c r="S472" s="9" t="str">
        <f>IFERROR(HYPERLINK("#Main!A"&amp;MATCH(A472,Main!A:A,0),"Open"),HYPERLINK("#Main!A1","Open"))</f>
        <v>Open</v>
      </c>
      <c r="T472" s="9" t="str">
        <f>IFERROR(HYPERLINK("#Technical!A"&amp;MATCH(A472,Technical!A:A,0),"Open"),HYPERLINK("#Technical!A1","Open"))</f>
        <v>Open</v>
      </c>
      <c r="U472" s="9"/>
    </row>
    <row r="473" spans="1:21" ht="30" customHeight="1" x14ac:dyDescent="0.25">
      <c r="A473" s="58" t="s">
        <v>598</v>
      </c>
      <c r="B473" s="11">
        <v>19172</v>
      </c>
      <c r="C473" s="43" t="s">
        <v>1362</v>
      </c>
      <c r="D473" s="11" t="s">
        <v>8</v>
      </c>
      <c r="E473" s="64" t="s">
        <v>68</v>
      </c>
      <c r="F473" s="11" t="s">
        <v>1758</v>
      </c>
      <c r="G473" s="10">
        <v>37</v>
      </c>
      <c r="H473" s="11">
        <v>0</v>
      </c>
      <c r="I473" s="11" t="s">
        <v>1759</v>
      </c>
      <c r="J473" s="11" t="s">
        <v>1760</v>
      </c>
      <c r="K473" s="72" t="s">
        <v>9</v>
      </c>
      <c r="L473" s="11" t="s">
        <v>1183</v>
      </c>
      <c r="M473" s="11" t="s">
        <v>864</v>
      </c>
      <c r="N473" s="60" t="s">
        <v>98</v>
      </c>
      <c r="O473" s="49" t="s">
        <v>2</v>
      </c>
      <c r="P473" s="11">
        <v>4</v>
      </c>
      <c r="Q473" s="11" t="s">
        <v>1822</v>
      </c>
      <c r="R473" s="11" t="s">
        <v>1762</v>
      </c>
      <c r="S473" t="str">
        <f>IFERROR(HYPERLINK("#Main!A"&amp;MATCH(A473,Main!A:A,0),"Open"),HYPERLINK("#Main!A1","Open"))</f>
        <v>Open</v>
      </c>
      <c r="T473" t="str">
        <f>IFERROR(HYPERLINK("#Technical!A"&amp;MATCH(A473,Technical!A:A,0),"Open"),HYPERLINK("#Technical!A1","Open"))</f>
        <v>Open</v>
      </c>
    </row>
    <row r="474" spans="1:21" ht="30" customHeight="1" x14ac:dyDescent="0.25">
      <c r="A474" s="59" t="s">
        <v>606</v>
      </c>
      <c r="B474" s="8">
        <v>88</v>
      </c>
      <c r="C474" s="43" t="s">
        <v>1364</v>
      </c>
      <c r="D474" s="8" t="s">
        <v>8</v>
      </c>
      <c r="E474" s="64" t="s">
        <v>68</v>
      </c>
      <c r="F474" s="8" t="s">
        <v>1758</v>
      </c>
      <c r="G474" s="36">
        <v>37</v>
      </c>
      <c r="H474" s="8">
        <v>0</v>
      </c>
      <c r="I474" s="8" t="s">
        <v>1759</v>
      </c>
      <c r="J474" s="8" t="s">
        <v>1760</v>
      </c>
      <c r="K474" s="71" t="s">
        <v>9</v>
      </c>
      <c r="L474" s="8" t="s">
        <v>1183</v>
      </c>
      <c r="M474" s="8" t="s">
        <v>864</v>
      </c>
      <c r="N474" s="60" t="s">
        <v>98</v>
      </c>
      <c r="O474" s="49" t="s">
        <v>2</v>
      </c>
      <c r="P474" s="8">
        <v>4</v>
      </c>
      <c r="Q474" s="8" t="s">
        <v>1823</v>
      </c>
      <c r="R474" s="8" t="s">
        <v>1762</v>
      </c>
      <c r="S474" s="9" t="str">
        <f>IFERROR(HYPERLINK("#Main!A"&amp;MATCH(A474,Main!A:A,0),"Open"),HYPERLINK("#Main!A1","Open"))</f>
        <v>Open</v>
      </c>
      <c r="T474" s="9" t="str">
        <f>IFERROR(HYPERLINK("#Technical!A"&amp;MATCH(A474,Technical!A:A,0),"Open"),HYPERLINK("#Technical!A1","Open"))</f>
        <v>Open</v>
      </c>
      <c r="U474" s="9"/>
    </row>
    <row r="475" spans="1:21" ht="30" customHeight="1" x14ac:dyDescent="0.25">
      <c r="A475" s="58" t="s">
        <v>614</v>
      </c>
      <c r="B475" s="11">
        <v>16548</v>
      </c>
      <c r="C475" s="43" t="s">
        <v>1366</v>
      </c>
      <c r="D475" s="11" t="s">
        <v>8</v>
      </c>
      <c r="E475" s="64" t="s">
        <v>68</v>
      </c>
      <c r="F475" s="11" t="s">
        <v>1758</v>
      </c>
      <c r="G475" s="10">
        <v>37</v>
      </c>
      <c r="H475" s="11">
        <v>0</v>
      </c>
      <c r="I475" s="11" t="s">
        <v>1759</v>
      </c>
      <c r="J475" s="11" t="s">
        <v>1760</v>
      </c>
      <c r="K475" s="72" t="s">
        <v>9</v>
      </c>
      <c r="L475" s="11" t="s">
        <v>1183</v>
      </c>
      <c r="M475" s="11" t="s">
        <v>864</v>
      </c>
      <c r="N475" s="60" t="s">
        <v>98</v>
      </c>
      <c r="O475" s="49" t="s">
        <v>2</v>
      </c>
      <c r="P475" s="11">
        <v>4</v>
      </c>
      <c r="Q475" s="11" t="s">
        <v>1824</v>
      </c>
      <c r="R475" s="11" t="s">
        <v>1762</v>
      </c>
      <c r="S475" t="str">
        <f>IFERROR(HYPERLINK("#Main!A"&amp;MATCH(A475,Main!A:A,0),"Open"),HYPERLINK("#Main!A1","Open"))</f>
        <v>Open</v>
      </c>
      <c r="T475" t="str">
        <f>IFERROR(HYPERLINK("#Technical!A"&amp;MATCH(A475,Technical!A:A,0),"Open"),HYPERLINK("#Technical!A1","Open"))</f>
        <v>Open</v>
      </c>
    </row>
    <row r="476" spans="1:21" ht="30" customHeight="1" x14ac:dyDescent="0.25">
      <c r="A476" s="59" t="s">
        <v>622</v>
      </c>
      <c r="B476" s="8">
        <v>20341</v>
      </c>
      <c r="C476" s="43" t="s">
        <v>1241</v>
      </c>
      <c r="D476" s="8" t="s">
        <v>8</v>
      </c>
      <c r="E476" s="64" t="s">
        <v>68</v>
      </c>
      <c r="F476" s="8" t="s">
        <v>1758</v>
      </c>
      <c r="G476" s="36">
        <v>37</v>
      </c>
      <c r="H476" s="8">
        <v>0</v>
      </c>
      <c r="I476" s="8" t="s">
        <v>1759</v>
      </c>
      <c r="J476" s="8" t="s">
        <v>1760</v>
      </c>
      <c r="K476" s="71" t="s">
        <v>9</v>
      </c>
      <c r="L476" s="8" t="s">
        <v>1183</v>
      </c>
      <c r="M476" s="8" t="s">
        <v>864</v>
      </c>
      <c r="N476" s="60" t="s">
        <v>98</v>
      </c>
      <c r="O476" s="49" t="s">
        <v>2</v>
      </c>
      <c r="P476" s="8">
        <v>4</v>
      </c>
      <c r="Q476" s="8" t="s">
        <v>1825</v>
      </c>
      <c r="R476" s="8" t="s">
        <v>1762</v>
      </c>
      <c r="S476" s="9" t="str">
        <f>IFERROR(HYPERLINK("#Main!A"&amp;MATCH(A476,Main!A:A,0),"Open"),HYPERLINK("#Main!A1","Open"))</f>
        <v>Open</v>
      </c>
      <c r="T476" s="9" t="str">
        <f>IFERROR(HYPERLINK("#Technical!A"&amp;MATCH(A476,Technical!A:A,0),"Open"),HYPERLINK("#Technical!A1","Open"))</f>
        <v>Open</v>
      </c>
      <c r="U476" s="9"/>
    </row>
    <row r="477" spans="1:21" ht="30" customHeight="1" x14ac:dyDescent="0.25">
      <c r="A477" s="58" t="s">
        <v>627</v>
      </c>
      <c r="B477" s="11">
        <v>31820</v>
      </c>
      <c r="C477" s="43" t="s">
        <v>1369</v>
      </c>
      <c r="D477" s="11" t="s">
        <v>8</v>
      </c>
      <c r="E477" s="64" t="s">
        <v>68</v>
      </c>
      <c r="F477" s="11" t="s">
        <v>1758</v>
      </c>
      <c r="G477" s="10">
        <v>37</v>
      </c>
      <c r="H477" s="11">
        <v>0</v>
      </c>
      <c r="I477" s="11" t="s">
        <v>1759</v>
      </c>
      <c r="J477" s="11" t="s">
        <v>1760</v>
      </c>
      <c r="K477" s="72" t="s">
        <v>9</v>
      </c>
      <c r="L477" s="11" t="s">
        <v>1183</v>
      </c>
      <c r="M477" s="11" t="s">
        <v>864</v>
      </c>
      <c r="N477" s="60" t="s">
        <v>98</v>
      </c>
      <c r="O477" s="49" t="s">
        <v>2</v>
      </c>
      <c r="P477" s="11">
        <v>4</v>
      </c>
      <c r="Q477" s="11" t="s">
        <v>1826</v>
      </c>
      <c r="R477" s="11" t="s">
        <v>1762</v>
      </c>
      <c r="S477" t="str">
        <f>IFERROR(HYPERLINK("#Main!A"&amp;MATCH(A477,Main!A:A,0),"Open"),HYPERLINK("#Main!A1","Open"))</f>
        <v>Open</v>
      </c>
      <c r="T477" t="str">
        <f>IFERROR(HYPERLINK("#Technical!A"&amp;MATCH(A477,Technical!A:A,0),"Open"),HYPERLINK("#Technical!A1","Open"))</f>
        <v>Open</v>
      </c>
    </row>
    <row r="478" spans="1:21" ht="30" customHeight="1" x14ac:dyDescent="0.25">
      <c r="A478" s="59" t="s">
        <v>635</v>
      </c>
      <c r="B478" s="8">
        <v>5597</v>
      </c>
      <c r="C478" s="43" t="s">
        <v>1371</v>
      </c>
      <c r="D478" s="8" t="s">
        <v>8</v>
      </c>
      <c r="E478" s="64" t="s">
        <v>68</v>
      </c>
      <c r="F478" s="8" t="s">
        <v>1758</v>
      </c>
      <c r="G478" s="36">
        <v>37</v>
      </c>
      <c r="H478" s="8">
        <v>0</v>
      </c>
      <c r="I478" s="8" t="s">
        <v>1759</v>
      </c>
      <c r="J478" s="8" t="s">
        <v>1760</v>
      </c>
      <c r="K478" s="71" t="s">
        <v>9</v>
      </c>
      <c r="L478" s="8" t="s">
        <v>1183</v>
      </c>
      <c r="M478" s="8" t="s">
        <v>864</v>
      </c>
      <c r="N478" s="60" t="s">
        <v>98</v>
      </c>
      <c r="O478" s="49" t="s">
        <v>2</v>
      </c>
      <c r="P478" s="8">
        <v>4</v>
      </c>
      <c r="Q478" s="8" t="s">
        <v>1827</v>
      </c>
      <c r="R478" s="8" t="s">
        <v>1762</v>
      </c>
      <c r="S478" s="9" t="str">
        <f>IFERROR(HYPERLINK("#Main!A"&amp;MATCH(A478,Main!A:A,0),"Open"),HYPERLINK("#Main!A1","Open"))</f>
        <v>Open</v>
      </c>
      <c r="T478" s="9" t="str">
        <f>IFERROR(HYPERLINK("#Technical!A"&amp;MATCH(A478,Technical!A:A,0),"Open"),HYPERLINK("#Technical!A1","Open"))</f>
        <v>Open</v>
      </c>
      <c r="U478" s="9"/>
    </row>
    <row r="479" spans="1:21" ht="30" customHeight="1" x14ac:dyDescent="0.25">
      <c r="A479" s="58" t="s">
        <v>642</v>
      </c>
      <c r="B479" s="11">
        <v>33050</v>
      </c>
      <c r="C479" s="43" t="s">
        <v>1373</v>
      </c>
      <c r="D479" s="11" t="s">
        <v>8</v>
      </c>
      <c r="E479" s="64" t="s">
        <v>68</v>
      </c>
      <c r="F479" s="11" t="s">
        <v>1758</v>
      </c>
      <c r="G479" s="10">
        <v>37</v>
      </c>
      <c r="H479" s="11">
        <v>0</v>
      </c>
      <c r="I479" s="11" t="s">
        <v>1759</v>
      </c>
      <c r="J479" s="11" t="s">
        <v>1760</v>
      </c>
      <c r="K479" s="72" t="s">
        <v>9</v>
      </c>
      <c r="L479" s="11" t="s">
        <v>1183</v>
      </c>
      <c r="M479" s="11" t="s">
        <v>864</v>
      </c>
      <c r="N479" s="60" t="s">
        <v>98</v>
      </c>
      <c r="O479" s="49" t="s">
        <v>2</v>
      </c>
      <c r="P479" s="11">
        <v>4</v>
      </c>
      <c r="Q479" s="11" t="s">
        <v>1828</v>
      </c>
      <c r="R479" s="11" t="s">
        <v>1762</v>
      </c>
      <c r="S479" t="str">
        <f>IFERROR(HYPERLINK("#Main!A"&amp;MATCH(A479,Main!A:A,0),"Open"),HYPERLINK("#Main!A1","Open"))</f>
        <v>Open</v>
      </c>
      <c r="T479" t="str">
        <f>IFERROR(HYPERLINK("#Technical!A"&amp;MATCH(A479,Technical!A:A,0),"Open"),HYPERLINK("#Technical!A1","Open"))</f>
        <v>Open</v>
      </c>
    </row>
    <row r="480" spans="1:21" ht="30" customHeight="1" x14ac:dyDescent="0.25">
      <c r="A480" s="59" t="s">
        <v>650</v>
      </c>
      <c r="B480" s="8">
        <v>86</v>
      </c>
      <c r="C480" s="43" t="s">
        <v>1375</v>
      </c>
      <c r="D480" s="8" t="s">
        <v>8</v>
      </c>
      <c r="E480" s="64" t="s">
        <v>68</v>
      </c>
      <c r="F480" s="8" t="s">
        <v>1758</v>
      </c>
      <c r="G480" s="36">
        <v>37</v>
      </c>
      <c r="H480" s="8">
        <v>0</v>
      </c>
      <c r="I480" s="8" t="s">
        <v>1759</v>
      </c>
      <c r="J480" s="8" t="s">
        <v>1760</v>
      </c>
      <c r="K480" s="71" t="s">
        <v>9</v>
      </c>
      <c r="L480" s="8" t="s">
        <v>1183</v>
      </c>
      <c r="M480" s="8" t="s">
        <v>864</v>
      </c>
      <c r="N480" s="60" t="s">
        <v>98</v>
      </c>
      <c r="O480" s="49" t="s">
        <v>2</v>
      </c>
      <c r="P480" s="8">
        <v>4</v>
      </c>
      <c r="Q480" s="8" t="s">
        <v>1829</v>
      </c>
      <c r="R480" s="8" t="s">
        <v>1762</v>
      </c>
      <c r="S480" s="9" t="str">
        <f>IFERROR(HYPERLINK("#Main!A"&amp;MATCH(A480,Main!A:A,0),"Open"),HYPERLINK("#Main!A1","Open"))</f>
        <v>Open</v>
      </c>
      <c r="T480" s="9" t="str">
        <f>IFERROR(HYPERLINK("#Technical!A"&amp;MATCH(A480,Technical!A:A,0),"Open"),HYPERLINK("#Technical!A1","Open"))</f>
        <v>Open</v>
      </c>
      <c r="U480" s="9"/>
    </row>
    <row r="481" spans="1:21" ht="30" customHeight="1" x14ac:dyDescent="0.25">
      <c r="A481" s="58" t="s">
        <v>658</v>
      </c>
      <c r="B481" s="11">
        <v>2196</v>
      </c>
      <c r="C481" s="43" t="s">
        <v>1377</v>
      </c>
      <c r="D481" s="11" t="s">
        <v>8</v>
      </c>
      <c r="E481" s="64" t="s">
        <v>68</v>
      </c>
      <c r="F481" s="11" t="s">
        <v>1758</v>
      </c>
      <c r="G481" s="10">
        <v>37</v>
      </c>
      <c r="H481" s="11">
        <v>0</v>
      </c>
      <c r="I481" s="11" t="s">
        <v>1759</v>
      </c>
      <c r="J481" s="11" t="s">
        <v>1760</v>
      </c>
      <c r="K481" s="72" t="s">
        <v>9</v>
      </c>
      <c r="L481" s="11" t="s">
        <v>1183</v>
      </c>
      <c r="M481" s="11" t="s">
        <v>864</v>
      </c>
      <c r="N481" s="60" t="s">
        <v>98</v>
      </c>
      <c r="O481" s="49" t="s">
        <v>2</v>
      </c>
      <c r="P481" s="11">
        <v>4</v>
      </c>
      <c r="Q481" s="11" t="s">
        <v>1830</v>
      </c>
      <c r="R481" s="11" t="s">
        <v>1762</v>
      </c>
      <c r="S481" t="str">
        <f>IFERROR(HYPERLINK("#Main!A"&amp;MATCH(A481,Main!A:A,0),"Open"),HYPERLINK("#Main!A1","Open"))</f>
        <v>Open</v>
      </c>
      <c r="T481" t="str">
        <f>IFERROR(HYPERLINK("#Technical!A"&amp;MATCH(A481,Technical!A:A,0),"Open"),HYPERLINK("#Technical!A1","Open"))</f>
        <v>Open</v>
      </c>
    </row>
    <row r="482" spans="1:21" ht="30" customHeight="1" x14ac:dyDescent="0.25">
      <c r="A482" s="59" t="s">
        <v>666</v>
      </c>
      <c r="B482" s="8">
        <v>3</v>
      </c>
      <c r="C482" s="43" t="s">
        <v>1379</v>
      </c>
      <c r="D482" s="8" t="s">
        <v>8</v>
      </c>
      <c r="E482" s="64" t="s">
        <v>68</v>
      </c>
      <c r="F482" s="8" t="s">
        <v>1758</v>
      </c>
      <c r="G482" s="36">
        <v>37</v>
      </c>
      <c r="H482" s="8">
        <v>0</v>
      </c>
      <c r="I482" s="8" t="s">
        <v>1759</v>
      </c>
      <c r="J482" s="8" t="s">
        <v>1760</v>
      </c>
      <c r="K482" s="71" t="s">
        <v>9</v>
      </c>
      <c r="L482" s="8" t="s">
        <v>1183</v>
      </c>
      <c r="M482" s="8" t="s">
        <v>864</v>
      </c>
      <c r="N482" s="60" t="s">
        <v>98</v>
      </c>
      <c r="O482" s="49" t="s">
        <v>2</v>
      </c>
      <c r="P482" s="8">
        <v>4</v>
      </c>
      <c r="Q482" s="8" t="s">
        <v>1831</v>
      </c>
      <c r="R482" s="8" t="s">
        <v>1762</v>
      </c>
      <c r="S482" s="9" t="str">
        <f>IFERROR(HYPERLINK("#Main!A"&amp;MATCH(A482,Main!A:A,0),"Open"),HYPERLINK("#Main!A1","Open"))</f>
        <v>Open</v>
      </c>
      <c r="T482" s="9" t="str">
        <f>IFERROR(HYPERLINK("#Technical!A"&amp;MATCH(A482,Technical!A:A,0),"Open"),HYPERLINK("#Technical!A1","Open"))</f>
        <v>Open</v>
      </c>
      <c r="U482" s="9"/>
    </row>
    <row r="483" spans="1:21" ht="30" customHeight="1" x14ac:dyDescent="0.25">
      <c r="A483" s="58" t="s">
        <v>674</v>
      </c>
      <c r="B483" s="11">
        <v>9047</v>
      </c>
      <c r="C483" s="43" t="s">
        <v>1381</v>
      </c>
      <c r="D483" s="11" t="s">
        <v>8</v>
      </c>
      <c r="E483" s="64" t="s">
        <v>68</v>
      </c>
      <c r="F483" s="11" t="s">
        <v>1758</v>
      </c>
      <c r="G483" s="10">
        <v>37</v>
      </c>
      <c r="H483" s="11">
        <v>0</v>
      </c>
      <c r="I483" s="11" t="s">
        <v>1759</v>
      </c>
      <c r="J483" s="11" t="s">
        <v>1760</v>
      </c>
      <c r="K483" s="72" t="s">
        <v>9</v>
      </c>
      <c r="L483" s="11" t="s">
        <v>1183</v>
      </c>
      <c r="M483" s="11" t="s">
        <v>864</v>
      </c>
      <c r="N483" s="60" t="s">
        <v>98</v>
      </c>
      <c r="O483" s="49" t="s">
        <v>2</v>
      </c>
      <c r="P483" s="11">
        <v>4</v>
      </c>
      <c r="Q483" s="11" t="s">
        <v>1832</v>
      </c>
      <c r="R483" s="11" t="s">
        <v>1762</v>
      </c>
      <c r="S483" t="str">
        <f>IFERROR(HYPERLINK("#Main!A"&amp;MATCH(A483,Main!A:A,0),"Open"),HYPERLINK("#Main!A1","Open"))</f>
        <v>Open</v>
      </c>
      <c r="T483" t="str">
        <f>IFERROR(HYPERLINK("#Technical!A"&amp;MATCH(A483,Technical!A:A,0),"Open"),HYPERLINK("#Technical!A1","Open"))</f>
        <v>Open</v>
      </c>
    </row>
    <row r="484" spans="1:21" ht="30" customHeight="1" x14ac:dyDescent="0.25">
      <c r="A484" s="59" t="s">
        <v>682</v>
      </c>
      <c r="B484" s="8">
        <v>3686</v>
      </c>
      <c r="C484" s="43" t="s">
        <v>1383</v>
      </c>
      <c r="D484" s="8" t="s">
        <v>8</v>
      </c>
      <c r="E484" s="64" t="s">
        <v>68</v>
      </c>
      <c r="F484" s="8" t="s">
        <v>1758</v>
      </c>
      <c r="G484" s="36">
        <v>37</v>
      </c>
      <c r="H484" s="8">
        <v>0</v>
      </c>
      <c r="I484" s="8" t="s">
        <v>1759</v>
      </c>
      <c r="J484" s="8" t="s">
        <v>1760</v>
      </c>
      <c r="K484" s="71" t="s">
        <v>9</v>
      </c>
      <c r="L484" s="8" t="s">
        <v>1183</v>
      </c>
      <c r="M484" s="8" t="s">
        <v>864</v>
      </c>
      <c r="N484" s="60" t="s">
        <v>98</v>
      </c>
      <c r="O484" s="49" t="s">
        <v>2</v>
      </c>
      <c r="P484" s="8">
        <v>4</v>
      </c>
      <c r="Q484" s="8" t="s">
        <v>1833</v>
      </c>
      <c r="R484" s="8" t="s">
        <v>1762</v>
      </c>
      <c r="S484" s="9" t="str">
        <f>IFERROR(HYPERLINK("#Main!A"&amp;MATCH(A484,Main!A:A,0),"Open"),HYPERLINK("#Main!A1","Open"))</f>
        <v>Open</v>
      </c>
      <c r="T484" s="9" t="str">
        <f>IFERROR(HYPERLINK("#Technical!A"&amp;MATCH(A484,Technical!A:A,0),"Open"),HYPERLINK("#Technical!A1","Open"))</f>
        <v>Open</v>
      </c>
      <c r="U484" s="9"/>
    </row>
    <row r="485" spans="1:21" ht="30" customHeight="1" x14ac:dyDescent="0.25">
      <c r="A485" s="58" t="s">
        <v>690</v>
      </c>
      <c r="B485" s="11">
        <v>21962</v>
      </c>
      <c r="C485" s="43" t="s">
        <v>1385</v>
      </c>
      <c r="D485" s="11" t="s">
        <v>8</v>
      </c>
      <c r="E485" s="64" t="s">
        <v>68</v>
      </c>
      <c r="F485" s="11" t="s">
        <v>1758</v>
      </c>
      <c r="G485" s="10">
        <v>37</v>
      </c>
      <c r="H485" s="11">
        <v>0</v>
      </c>
      <c r="I485" s="11" t="s">
        <v>1759</v>
      </c>
      <c r="J485" s="11" t="s">
        <v>1760</v>
      </c>
      <c r="K485" s="72" t="s">
        <v>9</v>
      </c>
      <c r="L485" s="11" t="s">
        <v>1183</v>
      </c>
      <c r="M485" s="11" t="s">
        <v>864</v>
      </c>
      <c r="N485" s="60" t="s">
        <v>98</v>
      </c>
      <c r="O485" s="49" t="s">
        <v>2</v>
      </c>
      <c r="P485" s="11">
        <v>4</v>
      </c>
      <c r="Q485" s="11" t="s">
        <v>1834</v>
      </c>
      <c r="R485" s="11" t="s">
        <v>1762</v>
      </c>
      <c r="S485" t="str">
        <f>IFERROR(HYPERLINK("#Main!A"&amp;MATCH(A485,Main!A:A,0),"Open"),HYPERLINK("#Main!A1","Open"))</f>
        <v>Open</v>
      </c>
      <c r="T485" t="str">
        <f>IFERROR(HYPERLINK("#Technical!A"&amp;MATCH(A485,Technical!A:A,0),"Open"),HYPERLINK("#Technical!A1","Open"))</f>
        <v>Open</v>
      </c>
    </row>
    <row r="486" spans="1:21" ht="30" customHeight="1" x14ac:dyDescent="0.25">
      <c r="A486" s="59" t="s">
        <v>698</v>
      </c>
      <c r="B486" s="8">
        <v>3252</v>
      </c>
      <c r="C486" s="43" t="s">
        <v>1387</v>
      </c>
      <c r="D486" s="8" t="s">
        <v>8</v>
      </c>
      <c r="E486" s="64" t="s">
        <v>68</v>
      </c>
      <c r="F486" s="8" t="s">
        <v>1758</v>
      </c>
      <c r="G486" s="36">
        <v>37</v>
      </c>
      <c r="H486" s="8">
        <v>0</v>
      </c>
      <c r="I486" s="8" t="s">
        <v>1759</v>
      </c>
      <c r="J486" s="8" t="s">
        <v>1760</v>
      </c>
      <c r="K486" s="71" t="s">
        <v>9</v>
      </c>
      <c r="L486" s="8" t="s">
        <v>1183</v>
      </c>
      <c r="M486" s="8" t="s">
        <v>864</v>
      </c>
      <c r="N486" s="60" t="s">
        <v>98</v>
      </c>
      <c r="O486" s="49" t="s">
        <v>2</v>
      </c>
      <c r="P486" s="8">
        <v>4</v>
      </c>
      <c r="Q486" s="8" t="s">
        <v>1835</v>
      </c>
      <c r="R486" s="8" t="s">
        <v>1762</v>
      </c>
      <c r="S486" s="9" t="str">
        <f>IFERROR(HYPERLINK("#Main!A"&amp;MATCH(A486,Main!A:A,0),"Open"),HYPERLINK("#Main!A1","Open"))</f>
        <v>Open</v>
      </c>
      <c r="T486" s="9" t="str">
        <f>IFERROR(HYPERLINK("#Technical!A"&amp;MATCH(A486,Technical!A:A,0),"Open"),HYPERLINK("#Technical!A1","Open"))</f>
        <v>Open</v>
      </c>
      <c r="U486" s="9"/>
    </row>
    <row r="487" spans="1:21" ht="30" customHeight="1" x14ac:dyDescent="0.25">
      <c r="A487" s="58" t="s">
        <v>704</v>
      </c>
      <c r="B487" s="11">
        <v>3634</v>
      </c>
      <c r="C487" s="43" t="s">
        <v>1389</v>
      </c>
      <c r="D487" s="11" t="s">
        <v>8</v>
      </c>
      <c r="E487" s="64" t="s">
        <v>68</v>
      </c>
      <c r="F487" s="11" t="s">
        <v>1758</v>
      </c>
      <c r="G487" s="10">
        <v>37</v>
      </c>
      <c r="H487" s="11">
        <v>0</v>
      </c>
      <c r="I487" s="11" t="s">
        <v>1759</v>
      </c>
      <c r="J487" s="11" t="s">
        <v>1760</v>
      </c>
      <c r="K487" s="72" t="s">
        <v>9</v>
      </c>
      <c r="L487" s="11" t="s">
        <v>1183</v>
      </c>
      <c r="M487" s="11" t="s">
        <v>864</v>
      </c>
      <c r="N487" s="60" t="s">
        <v>98</v>
      </c>
      <c r="O487" s="49" t="s">
        <v>2</v>
      </c>
      <c r="P487" s="11">
        <v>4</v>
      </c>
      <c r="Q487" s="11" t="s">
        <v>1836</v>
      </c>
      <c r="R487" s="11" t="s">
        <v>1762</v>
      </c>
      <c r="S487" t="str">
        <f>IFERROR(HYPERLINK("#Main!A"&amp;MATCH(A487,Main!A:A,0),"Open"),HYPERLINK("#Main!A1","Open"))</f>
        <v>Open</v>
      </c>
      <c r="T487" t="str">
        <f>IFERROR(HYPERLINK("#Technical!A"&amp;MATCH(A487,Technical!A:A,0),"Open"),HYPERLINK("#Technical!A1","Open"))</f>
        <v>Open</v>
      </c>
    </row>
    <row r="488" spans="1:21" ht="30" customHeight="1" x14ac:dyDescent="0.25">
      <c r="A488" s="59" t="s">
        <v>712</v>
      </c>
      <c r="B488" s="8">
        <v>7781</v>
      </c>
      <c r="C488" s="43" t="s">
        <v>1391</v>
      </c>
      <c r="D488" s="8" t="s">
        <v>8</v>
      </c>
      <c r="E488" s="64" t="s">
        <v>68</v>
      </c>
      <c r="F488" s="8" t="s">
        <v>1758</v>
      </c>
      <c r="G488" s="36">
        <v>37</v>
      </c>
      <c r="H488" s="8">
        <v>0</v>
      </c>
      <c r="I488" s="8" t="s">
        <v>1759</v>
      </c>
      <c r="J488" s="8" t="s">
        <v>1760</v>
      </c>
      <c r="K488" s="71" t="s">
        <v>9</v>
      </c>
      <c r="L488" s="8" t="s">
        <v>1183</v>
      </c>
      <c r="M488" s="8" t="s">
        <v>864</v>
      </c>
      <c r="N488" s="60" t="s">
        <v>98</v>
      </c>
      <c r="O488" s="49" t="s">
        <v>2</v>
      </c>
      <c r="P488" s="8">
        <v>4</v>
      </c>
      <c r="Q488" s="8" t="s">
        <v>1837</v>
      </c>
      <c r="R488" s="8" t="s">
        <v>1762</v>
      </c>
      <c r="S488" s="9" t="str">
        <f>IFERROR(HYPERLINK("#Main!A"&amp;MATCH(A488,Main!A:A,0),"Open"),HYPERLINK("#Main!A1","Open"))</f>
        <v>Open</v>
      </c>
      <c r="T488" s="9" t="str">
        <f>IFERROR(HYPERLINK("#Technical!A"&amp;MATCH(A488,Technical!A:A,0),"Open"),HYPERLINK("#Technical!A1","Open"))</f>
        <v>Open</v>
      </c>
      <c r="U488" s="9"/>
    </row>
    <row r="489" spans="1:21" ht="30" customHeight="1" x14ac:dyDescent="0.25">
      <c r="A489" s="58" t="s">
        <v>720</v>
      </c>
      <c r="B489" s="11">
        <v>5490</v>
      </c>
      <c r="C489" s="43" t="s">
        <v>1393</v>
      </c>
      <c r="D489" s="11" t="s">
        <v>8</v>
      </c>
      <c r="E489" s="64" t="s">
        <v>68</v>
      </c>
      <c r="F489" s="11" t="s">
        <v>1758</v>
      </c>
      <c r="G489" s="10">
        <v>37</v>
      </c>
      <c r="H489" s="11">
        <v>0</v>
      </c>
      <c r="I489" s="11" t="s">
        <v>1759</v>
      </c>
      <c r="J489" s="11" t="s">
        <v>1760</v>
      </c>
      <c r="K489" s="72" t="s">
        <v>9</v>
      </c>
      <c r="L489" s="11" t="s">
        <v>1183</v>
      </c>
      <c r="M489" s="11" t="s">
        <v>864</v>
      </c>
      <c r="N489" s="60" t="s">
        <v>98</v>
      </c>
      <c r="O489" s="49" t="s">
        <v>2</v>
      </c>
      <c r="P489" s="11">
        <v>4</v>
      </c>
      <c r="Q489" s="11" t="s">
        <v>1838</v>
      </c>
      <c r="R489" s="11" t="s">
        <v>1762</v>
      </c>
      <c r="S489" t="str">
        <f>IFERROR(HYPERLINK("#Main!A"&amp;MATCH(A489,Main!A:A,0),"Open"),HYPERLINK("#Main!A1","Open"))</f>
        <v>Open</v>
      </c>
      <c r="T489" t="str">
        <f>IFERROR(HYPERLINK("#Technical!A"&amp;MATCH(A489,Technical!A:A,0),"Open"),HYPERLINK("#Technical!A1","Open"))</f>
        <v>Open</v>
      </c>
    </row>
    <row r="490" spans="1:21" ht="30" customHeight="1" x14ac:dyDescent="0.25">
      <c r="A490" s="59" t="s">
        <v>727</v>
      </c>
      <c r="B490" s="8">
        <v>27352</v>
      </c>
      <c r="C490" s="43" t="s">
        <v>1395</v>
      </c>
      <c r="D490" s="8" t="s">
        <v>8</v>
      </c>
      <c r="E490" s="64" t="s">
        <v>68</v>
      </c>
      <c r="F490" s="8" t="s">
        <v>1758</v>
      </c>
      <c r="G490" s="36">
        <v>37</v>
      </c>
      <c r="H490" s="8">
        <v>0</v>
      </c>
      <c r="I490" s="8" t="s">
        <v>1759</v>
      </c>
      <c r="J490" s="8" t="s">
        <v>1760</v>
      </c>
      <c r="K490" s="71" t="s">
        <v>9</v>
      </c>
      <c r="L490" s="8" t="s">
        <v>1183</v>
      </c>
      <c r="M490" s="8" t="s">
        <v>864</v>
      </c>
      <c r="N490" s="60" t="s">
        <v>98</v>
      </c>
      <c r="O490" s="49" t="s">
        <v>2</v>
      </c>
      <c r="P490" s="8">
        <v>4</v>
      </c>
      <c r="Q490" s="8" t="s">
        <v>1839</v>
      </c>
      <c r="R490" s="8" t="s">
        <v>1762</v>
      </c>
      <c r="S490" s="9" t="str">
        <f>IFERROR(HYPERLINK("#Main!A"&amp;MATCH(A490,Main!A:A,0),"Open"),HYPERLINK("#Main!A1","Open"))</f>
        <v>Open</v>
      </c>
      <c r="T490" s="9" t="str">
        <f>IFERROR(HYPERLINK("#Technical!A"&amp;MATCH(A490,Technical!A:A,0),"Open"),HYPERLINK("#Technical!A1","Open"))</f>
        <v>Open</v>
      </c>
      <c r="U490" s="9"/>
    </row>
    <row r="491" spans="1:21" ht="30" customHeight="1" x14ac:dyDescent="0.25">
      <c r="A491" s="58" t="s">
        <v>735</v>
      </c>
      <c r="B491" s="11">
        <v>21591</v>
      </c>
      <c r="C491" s="43" t="s">
        <v>1397</v>
      </c>
      <c r="D491" s="11" t="s">
        <v>8</v>
      </c>
      <c r="E491" s="64" t="s">
        <v>68</v>
      </c>
      <c r="F491" s="11" t="s">
        <v>1758</v>
      </c>
      <c r="G491" s="10">
        <v>37</v>
      </c>
      <c r="H491" s="11">
        <v>0</v>
      </c>
      <c r="I491" s="11" t="s">
        <v>1759</v>
      </c>
      <c r="J491" s="11" t="s">
        <v>1760</v>
      </c>
      <c r="K491" s="72" t="s">
        <v>9</v>
      </c>
      <c r="L491" s="11" t="s">
        <v>1183</v>
      </c>
      <c r="M491" s="11" t="s">
        <v>864</v>
      </c>
      <c r="N491" s="60" t="s">
        <v>98</v>
      </c>
      <c r="O491" s="49" t="s">
        <v>2</v>
      </c>
      <c r="P491" s="11">
        <v>4</v>
      </c>
      <c r="Q491" s="11" t="s">
        <v>1840</v>
      </c>
      <c r="R491" s="11" t="s">
        <v>1762</v>
      </c>
      <c r="S491" t="str">
        <f>IFERROR(HYPERLINK("#Main!A"&amp;MATCH(A491,Main!A:A,0),"Open"),HYPERLINK("#Main!A1","Open"))</f>
        <v>Open</v>
      </c>
      <c r="T491" t="str">
        <f>IFERROR(HYPERLINK("#Technical!A"&amp;MATCH(A491,Technical!A:A,0),"Open"),HYPERLINK("#Technical!A1","Open"))</f>
        <v>Open</v>
      </c>
    </row>
    <row r="492" spans="1:21" ht="30" customHeight="1" x14ac:dyDescent="0.25">
      <c r="A492" s="59" t="s">
        <v>743</v>
      </c>
      <c r="B492" s="8">
        <v>17195</v>
      </c>
      <c r="C492" s="43" t="s">
        <v>1399</v>
      </c>
      <c r="D492" s="8" t="s">
        <v>8</v>
      </c>
      <c r="E492" s="64" t="s">
        <v>68</v>
      </c>
      <c r="F492" s="8" t="s">
        <v>1758</v>
      </c>
      <c r="G492" s="36">
        <v>37</v>
      </c>
      <c r="H492" s="8">
        <v>0</v>
      </c>
      <c r="I492" s="8" t="s">
        <v>1759</v>
      </c>
      <c r="J492" s="8" t="s">
        <v>1760</v>
      </c>
      <c r="K492" s="71" t="s">
        <v>9</v>
      </c>
      <c r="L492" s="8" t="s">
        <v>1183</v>
      </c>
      <c r="M492" s="8" t="s">
        <v>864</v>
      </c>
      <c r="N492" s="60" t="s">
        <v>98</v>
      </c>
      <c r="O492" s="49" t="s">
        <v>2</v>
      </c>
      <c r="P492" s="8">
        <v>4</v>
      </c>
      <c r="Q492" s="8" t="s">
        <v>1841</v>
      </c>
      <c r="R492" s="8" t="s">
        <v>1762</v>
      </c>
      <c r="S492" s="9" t="str">
        <f>IFERROR(HYPERLINK("#Main!A"&amp;MATCH(A492,Main!A:A,0),"Open"),HYPERLINK("#Main!A1","Open"))</f>
        <v>Open</v>
      </c>
      <c r="T492" s="9" t="str">
        <f>IFERROR(HYPERLINK("#Technical!A"&amp;MATCH(A492,Technical!A:A,0),"Open"),HYPERLINK("#Technical!A1","Open"))</f>
        <v>Open</v>
      </c>
      <c r="U492" s="9"/>
    </row>
    <row r="493" spans="1:21" ht="30" customHeight="1" x14ac:dyDescent="0.25">
      <c r="A493" s="58" t="s">
        <v>750</v>
      </c>
      <c r="B493" s="11">
        <v>7916</v>
      </c>
      <c r="C493" s="43" t="s">
        <v>1401</v>
      </c>
      <c r="D493" s="11" t="s">
        <v>8</v>
      </c>
      <c r="E493" s="64" t="s">
        <v>68</v>
      </c>
      <c r="F493" s="11" t="s">
        <v>1758</v>
      </c>
      <c r="G493" s="10">
        <v>37</v>
      </c>
      <c r="H493" s="11">
        <v>0</v>
      </c>
      <c r="I493" s="11" t="s">
        <v>1759</v>
      </c>
      <c r="J493" s="11" t="s">
        <v>1760</v>
      </c>
      <c r="K493" s="72" t="s">
        <v>9</v>
      </c>
      <c r="L493" s="11" t="s">
        <v>1183</v>
      </c>
      <c r="M493" s="11" t="s">
        <v>864</v>
      </c>
      <c r="N493" s="60" t="s">
        <v>98</v>
      </c>
      <c r="O493" s="49" t="s">
        <v>2</v>
      </c>
      <c r="P493" s="11">
        <v>4</v>
      </c>
      <c r="Q493" s="11" t="s">
        <v>1842</v>
      </c>
      <c r="R493" s="11" t="s">
        <v>1762</v>
      </c>
      <c r="S493" t="str">
        <f>IFERROR(HYPERLINK("#Main!A"&amp;MATCH(A493,Main!A:A,0),"Open"),HYPERLINK("#Main!A1","Open"))</f>
        <v>Open</v>
      </c>
      <c r="T493" t="str">
        <f>IFERROR(HYPERLINK("#Technical!A"&amp;MATCH(A493,Technical!A:A,0),"Open"),HYPERLINK("#Technical!A1","Open"))</f>
        <v>Open</v>
      </c>
    </row>
    <row r="494" spans="1:21" ht="30" customHeight="1" x14ac:dyDescent="0.25">
      <c r="A494" s="59" t="s">
        <v>758</v>
      </c>
      <c r="B494" s="8">
        <v>17000</v>
      </c>
      <c r="C494" s="43" t="s">
        <v>1403</v>
      </c>
      <c r="D494" s="8" t="s">
        <v>8</v>
      </c>
      <c r="E494" s="64" t="s">
        <v>68</v>
      </c>
      <c r="F494" s="8" t="s">
        <v>1758</v>
      </c>
      <c r="G494" s="36">
        <v>37</v>
      </c>
      <c r="H494" s="8">
        <v>0</v>
      </c>
      <c r="I494" s="8" t="s">
        <v>1759</v>
      </c>
      <c r="J494" s="8" t="s">
        <v>1760</v>
      </c>
      <c r="K494" s="71" t="s">
        <v>9</v>
      </c>
      <c r="L494" s="8" t="s">
        <v>1183</v>
      </c>
      <c r="M494" s="8" t="s">
        <v>864</v>
      </c>
      <c r="N494" s="60" t="s">
        <v>98</v>
      </c>
      <c r="O494" s="49" t="s">
        <v>2</v>
      </c>
      <c r="P494" s="8">
        <v>4</v>
      </c>
      <c r="Q494" s="8" t="s">
        <v>1843</v>
      </c>
      <c r="R494" s="8" t="s">
        <v>1762</v>
      </c>
      <c r="S494" s="9" t="str">
        <f>IFERROR(HYPERLINK("#Main!A"&amp;MATCH(A494,Main!A:A,0),"Open"),HYPERLINK("#Main!A1","Open"))</f>
        <v>Open</v>
      </c>
      <c r="T494" s="9" t="str">
        <f>IFERROR(HYPERLINK("#Technical!A"&amp;MATCH(A494,Technical!A:A,0),"Open"),HYPERLINK("#Technical!A1","Open"))</f>
        <v>Open</v>
      </c>
      <c r="U494" s="9"/>
    </row>
    <row r="495" spans="1:21" ht="30" customHeight="1" x14ac:dyDescent="0.25">
      <c r="A495" s="58" t="s">
        <v>766</v>
      </c>
      <c r="B495" s="11">
        <v>17196</v>
      </c>
      <c r="C495" s="43" t="s">
        <v>1405</v>
      </c>
      <c r="D495" s="11" t="s">
        <v>8</v>
      </c>
      <c r="E495" s="64" t="s">
        <v>68</v>
      </c>
      <c r="F495" s="11" t="s">
        <v>1758</v>
      </c>
      <c r="G495" s="10">
        <v>37</v>
      </c>
      <c r="H495" s="11">
        <v>0</v>
      </c>
      <c r="I495" s="11" t="s">
        <v>1759</v>
      </c>
      <c r="J495" s="11" t="s">
        <v>1760</v>
      </c>
      <c r="K495" s="72" t="s">
        <v>9</v>
      </c>
      <c r="L495" s="11" t="s">
        <v>1183</v>
      </c>
      <c r="M495" s="11" t="s">
        <v>864</v>
      </c>
      <c r="N495" s="60" t="s">
        <v>98</v>
      </c>
      <c r="O495" s="49" t="s">
        <v>2</v>
      </c>
      <c r="P495" s="11">
        <v>4</v>
      </c>
      <c r="Q495" s="11" t="s">
        <v>1844</v>
      </c>
      <c r="R495" s="11" t="s">
        <v>1762</v>
      </c>
      <c r="S495" t="str">
        <f>IFERROR(HYPERLINK("#Main!A"&amp;MATCH(A495,Main!A:A,0),"Open"),HYPERLINK("#Main!A1","Open"))</f>
        <v>Open</v>
      </c>
      <c r="T495" t="str">
        <f>IFERROR(HYPERLINK("#Technical!A"&amp;MATCH(A495,Technical!A:A,0),"Open"),HYPERLINK("#Technical!A1","Open"))</f>
        <v>Open</v>
      </c>
    </row>
    <row r="496" spans="1:21" ht="30" customHeight="1" x14ac:dyDescent="0.25">
      <c r="A496" s="59" t="s">
        <v>774</v>
      </c>
      <c r="B496" s="8">
        <v>4909</v>
      </c>
      <c r="C496" s="43" t="s">
        <v>1407</v>
      </c>
      <c r="D496" s="8" t="s">
        <v>8</v>
      </c>
      <c r="E496" s="64" t="s">
        <v>68</v>
      </c>
      <c r="F496" s="8" t="s">
        <v>1758</v>
      </c>
      <c r="G496" s="36">
        <v>37</v>
      </c>
      <c r="H496" s="8">
        <v>0</v>
      </c>
      <c r="I496" s="8" t="s">
        <v>1759</v>
      </c>
      <c r="J496" s="8" t="s">
        <v>1760</v>
      </c>
      <c r="K496" s="71" t="s">
        <v>9</v>
      </c>
      <c r="L496" s="8" t="s">
        <v>1183</v>
      </c>
      <c r="M496" s="8" t="s">
        <v>864</v>
      </c>
      <c r="N496" s="60" t="s">
        <v>98</v>
      </c>
      <c r="O496" s="49" t="s">
        <v>2</v>
      </c>
      <c r="P496" s="8">
        <v>4</v>
      </c>
      <c r="Q496" s="8" t="s">
        <v>1845</v>
      </c>
      <c r="R496" s="8" t="s">
        <v>1762</v>
      </c>
      <c r="S496" s="9" t="str">
        <f>IFERROR(HYPERLINK("#Main!A"&amp;MATCH(A496,Main!A:A,0),"Open"),HYPERLINK("#Main!A1","Open"))</f>
        <v>Open</v>
      </c>
      <c r="T496" s="9" t="str">
        <f>IFERROR(HYPERLINK("#Technical!A"&amp;MATCH(A496,Technical!A:A,0),"Open"),HYPERLINK("#Technical!A1","Open"))</f>
        <v>Open</v>
      </c>
      <c r="U496" s="9"/>
    </row>
    <row r="497" spans="1:21" ht="30" customHeight="1" x14ac:dyDescent="0.25">
      <c r="A497" s="58" t="s">
        <v>782</v>
      </c>
      <c r="B497" s="11">
        <v>5290</v>
      </c>
      <c r="C497" s="43" t="s">
        <v>1409</v>
      </c>
      <c r="D497" s="11" t="s">
        <v>8</v>
      </c>
      <c r="E497" s="64" t="s">
        <v>68</v>
      </c>
      <c r="F497" s="11" t="s">
        <v>1758</v>
      </c>
      <c r="G497" s="10">
        <v>37</v>
      </c>
      <c r="H497" s="11">
        <v>0</v>
      </c>
      <c r="I497" s="11" t="s">
        <v>1759</v>
      </c>
      <c r="J497" s="11" t="s">
        <v>1760</v>
      </c>
      <c r="K497" s="72" t="s">
        <v>9</v>
      </c>
      <c r="L497" s="11" t="s">
        <v>1183</v>
      </c>
      <c r="M497" s="11" t="s">
        <v>864</v>
      </c>
      <c r="N497" s="60" t="s">
        <v>98</v>
      </c>
      <c r="O497" s="49" t="s">
        <v>2</v>
      </c>
      <c r="P497" s="11">
        <v>4</v>
      </c>
      <c r="Q497" s="11" t="s">
        <v>1846</v>
      </c>
      <c r="R497" s="11" t="s">
        <v>1762</v>
      </c>
      <c r="S497" t="str">
        <f>IFERROR(HYPERLINK("#Main!A"&amp;MATCH(A497,Main!A:A,0),"Open"),HYPERLINK("#Main!A1","Open"))</f>
        <v>Open</v>
      </c>
      <c r="T497" t="str">
        <f>IFERROR(HYPERLINK("#Technical!A"&amp;MATCH(A497,Technical!A:A,0),"Open"),HYPERLINK("#Technical!A1","Open"))</f>
        <v>Open</v>
      </c>
    </row>
    <row r="498" spans="1:21" ht="30" customHeight="1" x14ac:dyDescent="0.25">
      <c r="A498" s="59" t="s">
        <v>140</v>
      </c>
      <c r="B498" s="8">
        <v>8</v>
      </c>
      <c r="C498" s="43" t="s">
        <v>1243</v>
      </c>
      <c r="D498" s="8" t="s">
        <v>1411</v>
      </c>
      <c r="E498" s="64" t="s">
        <v>68</v>
      </c>
      <c r="F498" s="8" t="s">
        <v>1847</v>
      </c>
      <c r="G498" s="36">
        <v>37</v>
      </c>
      <c r="H498" s="8">
        <v>5</v>
      </c>
      <c r="I498" s="8" t="s">
        <v>1848</v>
      </c>
      <c r="J498" s="8" t="s">
        <v>1849</v>
      </c>
      <c r="K498" s="71" t="s">
        <v>8</v>
      </c>
      <c r="L498" s="8" t="s">
        <v>1169</v>
      </c>
      <c r="M498" s="8" t="s">
        <v>864</v>
      </c>
      <c r="N498" s="60" t="s">
        <v>98</v>
      </c>
      <c r="O498" s="49" t="s">
        <v>2</v>
      </c>
      <c r="P498" s="8">
        <v>4</v>
      </c>
      <c r="Q498" s="8" t="s">
        <v>1850</v>
      </c>
      <c r="R498" s="8" t="s">
        <v>1851</v>
      </c>
      <c r="S498" s="9" t="str">
        <f>IFERROR(HYPERLINK("#Main!A"&amp;MATCH(A498,Main!A:A,0),"Open"),HYPERLINK("#Main!A1","Open"))</f>
        <v>Open</v>
      </c>
      <c r="T498" s="9" t="str">
        <f>IFERROR(HYPERLINK("#Technical!A"&amp;MATCH(A498,Technical!A:A,0),"Open"),HYPERLINK("#Technical!A1","Open"))</f>
        <v>Open</v>
      </c>
      <c r="U498" s="9"/>
    </row>
    <row r="499" spans="1:21" ht="30" customHeight="1" x14ac:dyDescent="0.25">
      <c r="A499" s="58" t="s">
        <v>140</v>
      </c>
      <c r="B499" s="11">
        <v>8</v>
      </c>
      <c r="C499" s="43" t="s">
        <v>1243</v>
      </c>
      <c r="D499" s="11" t="s">
        <v>1411</v>
      </c>
      <c r="E499" s="64" t="s">
        <v>68</v>
      </c>
      <c r="F499" s="11" t="s">
        <v>1852</v>
      </c>
      <c r="G499" s="10">
        <v>37</v>
      </c>
      <c r="H499" s="11">
        <v>0</v>
      </c>
      <c r="I499" s="11" t="s">
        <v>1853</v>
      </c>
      <c r="J499" s="11" t="s">
        <v>1854</v>
      </c>
      <c r="K499" s="72" t="s">
        <v>9</v>
      </c>
      <c r="L499" s="11" t="s">
        <v>1182</v>
      </c>
      <c r="M499" s="11" t="s">
        <v>864</v>
      </c>
      <c r="N499" s="60" t="s">
        <v>98</v>
      </c>
      <c r="O499" s="49" t="s">
        <v>2</v>
      </c>
      <c r="P499" s="11">
        <v>4</v>
      </c>
      <c r="Q499" s="11" t="s">
        <v>1855</v>
      </c>
      <c r="R499" s="11" t="s">
        <v>1856</v>
      </c>
      <c r="S499" t="str">
        <f>IFERROR(HYPERLINK("#Main!A"&amp;MATCH(A499,Main!A:A,0),"Open"),HYPERLINK("#Main!A1","Open"))</f>
        <v>Open</v>
      </c>
      <c r="T499" t="str">
        <f>IFERROR(HYPERLINK("#Technical!A"&amp;MATCH(A499,Technical!A:A,0),"Open"),HYPERLINK("#Technical!A1","Open"))</f>
        <v>Open</v>
      </c>
    </row>
    <row r="500" spans="1:21" ht="30" customHeight="1" x14ac:dyDescent="0.25">
      <c r="A500" s="59" t="s">
        <v>148</v>
      </c>
      <c r="B500" s="8">
        <v>84</v>
      </c>
      <c r="C500" s="43" t="s">
        <v>1249</v>
      </c>
      <c r="D500" s="8" t="s">
        <v>1411</v>
      </c>
      <c r="E500" s="64" t="s">
        <v>68</v>
      </c>
      <c r="F500" s="8" t="s">
        <v>1852</v>
      </c>
      <c r="G500" s="36">
        <v>37</v>
      </c>
      <c r="H500" s="8">
        <v>0</v>
      </c>
      <c r="I500" s="8" t="s">
        <v>1853</v>
      </c>
      <c r="J500" s="8" t="s">
        <v>1854</v>
      </c>
      <c r="K500" s="71" t="s">
        <v>9</v>
      </c>
      <c r="L500" s="8" t="s">
        <v>1182</v>
      </c>
      <c r="M500" s="8" t="s">
        <v>864</v>
      </c>
      <c r="N500" s="60" t="s">
        <v>98</v>
      </c>
      <c r="O500" s="49" t="s">
        <v>2</v>
      </c>
      <c r="P500" s="8">
        <v>4</v>
      </c>
      <c r="Q500" s="8" t="s">
        <v>1857</v>
      </c>
      <c r="R500" s="8" t="s">
        <v>1856</v>
      </c>
      <c r="S500" s="9" t="str">
        <f>IFERROR(HYPERLINK("#Main!A"&amp;MATCH(A500,Main!A:A,0),"Open"),HYPERLINK("#Main!A1","Open"))</f>
        <v>Open</v>
      </c>
      <c r="T500" s="9" t="str">
        <f>IFERROR(HYPERLINK("#Technical!A"&amp;MATCH(A500,Technical!A:A,0),"Open"),HYPERLINK("#Technical!A1","Open"))</f>
        <v>Open</v>
      </c>
      <c r="U500" s="9"/>
    </row>
    <row r="501" spans="1:21" ht="30" customHeight="1" x14ac:dyDescent="0.25">
      <c r="A501" s="58" t="s">
        <v>156</v>
      </c>
      <c r="B501" s="11">
        <v>28165</v>
      </c>
      <c r="C501" s="43" t="s">
        <v>1251</v>
      </c>
      <c r="D501" s="11" t="s">
        <v>1411</v>
      </c>
      <c r="E501" s="64" t="s">
        <v>68</v>
      </c>
      <c r="F501" s="11" t="s">
        <v>1847</v>
      </c>
      <c r="G501" s="10">
        <v>37</v>
      </c>
      <c r="H501" s="11">
        <v>2</v>
      </c>
      <c r="I501" s="11" t="s">
        <v>1848</v>
      </c>
      <c r="J501" s="11" t="s">
        <v>1849</v>
      </c>
      <c r="K501" s="72" t="s">
        <v>8</v>
      </c>
      <c r="L501" s="11" t="s">
        <v>1169</v>
      </c>
      <c r="M501" s="11" t="s">
        <v>864</v>
      </c>
      <c r="N501" s="60" t="s">
        <v>98</v>
      </c>
      <c r="O501" s="49" t="s">
        <v>2</v>
      </c>
      <c r="P501" s="11">
        <v>4</v>
      </c>
      <c r="Q501" s="11" t="s">
        <v>1858</v>
      </c>
      <c r="R501" s="11" t="s">
        <v>1851</v>
      </c>
      <c r="S501" t="str">
        <f>IFERROR(HYPERLINK("#Main!A"&amp;MATCH(A501,Main!A:A,0),"Open"),HYPERLINK("#Main!A1","Open"))</f>
        <v>Open</v>
      </c>
      <c r="T501" t="str">
        <f>IFERROR(HYPERLINK("#Technical!A"&amp;MATCH(A501,Technical!A:A,0),"Open"),HYPERLINK("#Technical!A1","Open"))</f>
        <v>Open</v>
      </c>
    </row>
    <row r="502" spans="1:21" ht="30" customHeight="1" x14ac:dyDescent="0.25">
      <c r="A502" s="59" t="s">
        <v>156</v>
      </c>
      <c r="B502" s="8">
        <v>28165</v>
      </c>
      <c r="C502" s="43" t="s">
        <v>1251</v>
      </c>
      <c r="D502" s="8" t="s">
        <v>1411</v>
      </c>
      <c r="E502" s="64" t="s">
        <v>68</v>
      </c>
      <c r="F502" s="8" t="s">
        <v>1852</v>
      </c>
      <c r="G502" s="36">
        <v>37</v>
      </c>
      <c r="H502" s="8">
        <v>0</v>
      </c>
      <c r="I502" s="8" t="s">
        <v>1853</v>
      </c>
      <c r="J502" s="8" t="s">
        <v>1854</v>
      </c>
      <c r="K502" s="71" t="s">
        <v>9</v>
      </c>
      <c r="L502" s="8" t="s">
        <v>1182</v>
      </c>
      <c r="M502" s="8" t="s">
        <v>864</v>
      </c>
      <c r="N502" s="60" t="s">
        <v>98</v>
      </c>
      <c r="O502" s="49" t="s">
        <v>2</v>
      </c>
      <c r="P502" s="8">
        <v>4</v>
      </c>
      <c r="Q502" s="8" t="s">
        <v>1859</v>
      </c>
      <c r="R502" s="8" t="s">
        <v>1856</v>
      </c>
      <c r="S502" s="9" t="str">
        <f>IFERROR(HYPERLINK("#Main!A"&amp;MATCH(A502,Main!A:A,0),"Open"),HYPERLINK("#Main!A1","Open"))</f>
        <v>Open</v>
      </c>
      <c r="T502" s="9" t="str">
        <f>IFERROR(HYPERLINK("#Technical!A"&amp;MATCH(A502,Technical!A:A,0),"Open"),HYPERLINK("#Technical!A1","Open"))</f>
        <v>Open</v>
      </c>
      <c r="U502" s="9"/>
    </row>
    <row r="503" spans="1:21" ht="30" customHeight="1" x14ac:dyDescent="0.25">
      <c r="A503" s="58" t="s">
        <v>164</v>
      </c>
      <c r="B503" s="11">
        <v>16125</v>
      </c>
      <c r="C503" s="43" t="s">
        <v>1253</v>
      </c>
      <c r="D503" s="11" t="s">
        <v>1411</v>
      </c>
      <c r="E503" s="64" t="s">
        <v>68</v>
      </c>
      <c r="F503" s="11" t="s">
        <v>1847</v>
      </c>
      <c r="G503" s="10">
        <v>37</v>
      </c>
      <c r="H503" s="11">
        <v>2</v>
      </c>
      <c r="I503" s="11" t="s">
        <v>1848</v>
      </c>
      <c r="J503" s="11" t="s">
        <v>1849</v>
      </c>
      <c r="K503" s="72" t="s">
        <v>8</v>
      </c>
      <c r="L503" s="11" t="s">
        <v>1169</v>
      </c>
      <c r="M503" s="11" t="s">
        <v>864</v>
      </c>
      <c r="N503" s="60" t="s">
        <v>98</v>
      </c>
      <c r="O503" s="49" t="s">
        <v>2</v>
      </c>
      <c r="P503" s="11">
        <v>4</v>
      </c>
      <c r="Q503" s="11" t="s">
        <v>1860</v>
      </c>
      <c r="R503" s="11" t="s">
        <v>1851</v>
      </c>
      <c r="S503" t="str">
        <f>IFERROR(HYPERLINK("#Main!A"&amp;MATCH(A503,Main!A:A,0),"Open"),HYPERLINK("#Main!A1","Open"))</f>
        <v>Open</v>
      </c>
      <c r="T503" t="str">
        <f>IFERROR(HYPERLINK("#Technical!A"&amp;MATCH(A503,Technical!A:A,0),"Open"),HYPERLINK("#Technical!A1","Open"))</f>
        <v>Open</v>
      </c>
    </row>
    <row r="504" spans="1:21" ht="30" customHeight="1" x14ac:dyDescent="0.25">
      <c r="A504" s="59" t="s">
        <v>164</v>
      </c>
      <c r="B504" s="8">
        <v>16125</v>
      </c>
      <c r="C504" s="43" t="s">
        <v>1253</v>
      </c>
      <c r="D504" s="8" t="s">
        <v>1411</v>
      </c>
      <c r="E504" s="64" t="s">
        <v>68</v>
      </c>
      <c r="F504" s="8" t="s">
        <v>1852</v>
      </c>
      <c r="G504" s="36">
        <v>37</v>
      </c>
      <c r="H504" s="8">
        <v>0</v>
      </c>
      <c r="I504" s="8" t="s">
        <v>1853</v>
      </c>
      <c r="J504" s="8" t="s">
        <v>1854</v>
      </c>
      <c r="K504" s="71" t="s">
        <v>9</v>
      </c>
      <c r="L504" s="8" t="s">
        <v>1182</v>
      </c>
      <c r="M504" s="8" t="s">
        <v>864</v>
      </c>
      <c r="N504" s="60" t="s">
        <v>98</v>
      </c>
      <c r="O504" s="49" t="s">
        <v>2</v>
      </c>
      <c r="P504" s="8">
        <v>4</v>
      </c>
      <c r="Q504" s="8" t="s">
        <v>1861</v>
      </c>
      <c r="R504" s="8" t="s">
        <v>1856</v>
      </c>
      <c r="S504" s="9" t="str">
        <f>IFERROR(HYPERLINK("#Main!A"&amp;MATCH(A504,Main!A:A,0),"Open"),HYPERLINK("#Main!A1","Open"))</f>
        <v>Open</v>
      </c>
      <c r="T504" s="9" t="str">
        <f>IFERROR(HYPERLINK("#Technical!A"&amp;MATCH(A504,Technical!A:A,0),"Open"),HYPERLINK("#Technical!A1","Open"))</f>
        <v>Open</v>
      </c>
      <c r="U504" s="9"/>
    </row>
    <row r="505" spans="1:21" ht="30" customHeight="1" x14ac:dyDescent="0.25">
      <c r="A505" s="58" t="s">
        <v>172</v>
      </c>
      <c r="B505" s="11">
        <v>5619</v>
      </c>
      <c r="C505" s="43" t="s">
        <v>1255</v>
      </c>
      <c r="D505" s="11" t="s">
        <v>1411</v>
      </c>
      <c r="E505" s="64" t="s">
        <v>68</v>
      </c>
      <c r="F505" s="11" t="s">
        <v>1852</v>
      </c>
      <c r="G505" s="10">
        <v>37</v>
      </c>
      <c r="H505" s="11">
        <v>0</v>
      </c>
      <c r="I505" s="11" t="s">
        <v>1853</v>
      </c>
      <c r="J505" s="11" t="s">
        <v>1854</v>
      </c>
      <c r="K505" s="72" t="s">
        <v>9</v>
      </c>
      <c r="L505" s="11" t="s">
        <v>1182</v>
      </c>
      <c r="M505" s="11" t="s">
        <v>864</v>
      </c>
      <c r="N505" s="60" t="s">
        <v>98</v>
      </c>
      <c r="O505" s="49" t="s">
        <v>2</v>
      </c>
      <c r="P505" s="11">
        <v>4</v>
      </c>
      <c r="Q505" s="11" t="s">
        <v>1862</v>
      </c>
      <c r="R505" s="11" t="s">
        <v>1856</v>
      </c>
      <c r="S505" t="str">
        <f>IFERROR(HYPERLINK("#Main!A"&amp;MATCH(A505,Main!A:A,0),"Open"),HYPERLINK("#Main!A1","Open"))</f>
        <v>Open</v>
      </c>
      <c r="T505" t="str">
        <f>IFERROR(HYPERLINK("#Technical!A"&amp;MATCH(A505,Technical!A:A,0),"Open"),HYPERLINK("#Technical!A1","Open"))</f>
        <v>Open</v>
      </c>
    </row>
    <row r="506" spans="1:21" ht="30" customHeight="1" x14ac:dyDescent="0.25">
      <c r="A506" s="59" t="s">
        <v>180</v>
      </c>
      <c r="B506" s="8">
        <v>4941</v>
      </c>
      <c r="C506" s="43" t="s">
        <v>1257</v>
      </c>
      <c r="D506" s="8" t="s">
        <v>1411</v>
      </c>
      <c r="E506" s="64" t="s">
        <v>68</v>
      </c>
      <c r="F506" s="8" t="s">
        <v>1852</v>
      </c>
      <c r="G506" s="36">
        <v>37</v>
      </c>
      <c r="H506" s="8">
        <v>0</v>
      </c>
      <c r="I506" s="8" t="s">
        <v>1853</v>
      </c>
      <c r="J506" s="8" t="s">
        <v>1854</v>
      </c>
      <c r="K506" s="71" t="s">
        <v>9</v>
      </c>
      <c r="L506" s="8" t="s">
        <v>1182</v>
      </c>
      <c r="M506" s="8" t="s">
        <v>864</v>
      </c>
      <c r="N506" s="60" t="s">
        <v>98</v>
      </c>
      <c r="O506" s="49" t="s">
        <v>2</v>
      </c>
      <c r="P506" s="8">
        <v>4</v>
      </c>
      <c r="Q506" s="8" t="s">
        <v>1863</v>
      </c>
      <c r="R506" s="8" t="s">
        <v>1856</v>
      </c>
      <c r="S506" s="9" t="str">
        <f>IFERROR(HYPERLINK("#Main!A"&amp;MATCH(A506,Main!A:A,0),"Open"),HYPERLINK("#Main!A1","Open"))</f>
        <v>Open</v>
      </c>
      <c r="T506" s="9" t="str">
        <f>IFERROR(HYPERLINK("#Technical!A"&amp;MATCH(A506,Technical!A:A,0),"Open"),HYPERLINK("#Technical!A1","Open"))</f>
        <v>Open</v>
      </c>
      <c r="U506" s="9"/>
    </row>
    <row r="507" spans="1:21" ht="30" customHeight="1" x14ac:dyDescent="0.25">
      <c r="A507" s="58" t="s">
        <v>188</v>
      </c>
      <c r="B507" s="11">
        <v>4494</v>
      </c>
      <c r="C507" s="43" t="s">
        <v>1259</v>
      </c>
      <c r="D507" s="11" t="s">
        <v>1411</v>
      </c>
      <c r="E507" s="64" t="s">
        <v>68</v>
      </c>
      <c r="F507" s="11" t="s">
        <v>1852</v>
      </c>
      <c r="G507" s="10">
        <v>37</v>
      </c>
      <c r="H507" s="11">
        <v>0</v>
      </c>
      <c r="I507" s="11" t="s">
        <v>1853</v>
      </c>
      <c r="J507" s="11" t="s">
        <v>1854</v>
      </c>
      <c r="K507" s="72" t="s">
        <v>9</v>
      </c>
      <c r="L507" s="11" t="s">
        <v>1182</v>
      </c>
      <c r="M507" s="11" t="s">
        <v>864</v>
      </c>
      <c r="N507" s="60" t="s">
        <v>98</v>
      </c>
      <c r="O507" s="49" t="s">
        <v>2</v>
      </c>
      <c r="P507" s="11">
        <v>4</v>
      </c>
      <c r="Q507" s="11" t="s">
        <v>1864</v>
      </c>
      <c r="R507" s="11" t="s">
        <v>1856</v>
      </c>
      <c r="S507" t="str">
        <f>IFERROR(HYPERLINK("#Main!A"&amp;MATCH(A507,Main!A:A,0),"Open"),HYPERLINK("#Main!A1","Open"))</f>
        <v>Open</v>
      </c>
      <c r="T507" t="str">
        <f>IFERROR(HYPERLINK("#Technical!A"&amp;MATCH(A507,Technical!A:A,0),"Open"),HYPERLINK("#Technical!A1","Open"))</f>
        <v>Open</v>
      </c>
    </row>
    <row r="508" spans="1:21" ht="30" customHeight="1" x14ac:dyDescent="0.25">
      <c r="A508" s="59" t="s">
        <v>196</v>
      </c>
      <c r="B508" s="8">
        <v>12371</v>
      </c>
      <c r="C508" s="43" t="s">
        <v>1261</v>
      </c>
      <c r="D508" s="8" t="s">
        <v>1411</v>
      </c>
      <c r="E508" s="64" t="s">
        <v>68</v>
      </c>
      <c r="F508" s="8" t="s">
        <v>1852</v>
      </c>
      <c r="G508" s="36">
        <v>37</v>
      </c>
      <c r="H508" s="8">
        <v>0</v>
      </c>
      <c r="I508" s="8" t="s">
        <v>1853</v>
      </c>
      <c r="J508" s="8" t="s">
        <v>1854</v>
      </c>
      <c r="K508" s="71" t="s">
        <v>9</v>
      </c>
      <c r="L508" s="8" t="s">
        <v>1182</v>
      </c>
      <c r="M508" s="8" t="s">
        <v>864</v>
      </c>
      <c r="N508" s="60" t="s">
        <v>98</v>
      </c>
      <c r="O508" s="49" t="s">
        <v>2</v>
      </c>
      <c r="P508" s="8">
        <v>4</v>
      </c>
      <c r="Q508" s="8" t="s">
        <v>1865</v>
      </c>
      <c r="R508" s="8" t="s">
        <v>1856</v>
      </c>
      <c r="S508" s="9" t="str">
        <f>IFERROR(HYPERLINK("#Main!A"&amp;MATCH(A508,Main!A:A,0),"Open"),HYPERLINK("#Main!A1","Open"))</f>
        <v>Open</v>
      </c>
      <c r="T508" s="9" t="str">
        <f>IFERROR(HYPERLINK("#Technical!A"&amp;MATCH(A508,Technical!A:A,0),"Open"),HYPERLINK("#Technical!A1","Open"))</f>
        <v>Open</v>
      </c>
      <c r="U508" s="9"/>
    </row>
    <row r="509" spans="1:21" ht="30" customHeight="1" x14ac:dyDescent="0.25">
      <c r="A509" s="58" t="s">
        <v>99</v>
      </c>
      <c r="B509" s="11">
        <v>13164</v>
      </c>
      <c r="C509" s="43" t="s">
        <v>1230</v>
      </c>
      <c r="D509" s="11" t="s">
        <v>1411</v>
      </c>
      <c r="E509" s="64" t="s">
        <v>68</v>
      </c>
      <c r="F509" s="11" t="s">
        <v>1852</v>
      </c>
      <c r="G509" s="10">
        <v>37</v>
      </c>
      <c r="H509" s="11">
        <v>0</v>
      </c>
      <c r="I509" s="11" t="s">
        <v>1853</v>
      </c>
      <c r="J509" s="11" t="s">
        <v>1854</v>
      </c>
      <c r="K509" s="72" t="s">
        <v>9</v>
      </c>
      <c r="L509" s="11" t="s">
        <v>1182</v>
      </c>
      <c r="M509" s="11" t="s">
        <v>864</v>
      </c>
      <c r="N509" s="60" t="s">
        <v>98</v>
      </c>
      <c r="O509" s="49" t="s">
        <v>2</v>
      </c>
      <c r="P509" s="11">
        <v>4</v>
      </c>
      <c r="Q509" s="11" t="s">
        <v>1866</v>
      </c>
      <c r="R509" s="11" t="s">
        <v>1856</v>
      </c>
      <c r="S509" t="str">
        <f>IFERROR(HYPERLINK("#Main!A"&amp;MATCH(A509,Main!A:A,0),"Open"),HYPERLINK("#Main!A1","Open"))</f>
        <v>Open</v>
      </c>
      <c r="T509" t="str">
        <f>IFERROR(HYPERLINK("#Technical!A"&amp;MATCH(A509,Technical!A:A,0),"Open"),HYPERLINK("#Technical!A1","Open"))</f>
        <v>Open</v>
      </c>
    </row>
    <row r="510" spans="1:21" ht="30" customHeight="1" x14ac:dyDescent="0.25">
      <c r="A510" s="59" t="s">
        <v>210</v>
      </c>
      <c r="B510" s="8">
        <v>12954</v>
      </c>
      <c r="C510" s="43" t="s">
        <v>1264</v>
      </c>
      <c r="D510" s="8" t="s">
        <v>1411</v>
      </c>
      <c r="E510" s="64" t="s">
        <v>68</v>
      </c>
      <c r="F510" s="8" t="s">
        <v>1852</v>
      </c>
      <c r="G510" s="36">
        <v>37</v>
      </c>
      <c r="H510" s="8">
        <v>0</v>
      </c>
      <c r="I510" s="8" t="s">
        <v>1853</v>
      </c>
      <c r="J510" s="8" t="s">
        <v>1854</v>
      </c>
      <c r="K510" s="71" t="s">
        <v>9</v>
      </c>
      <c r="L510" s="8" t="s">
        <v>1182</v>
      </c>
      <c r="M510" s="8" t="s">
        <v>864</v>
      </c>
      <c r="N510" s="60" t="s">
        <v>98</v>
      </c>
      <c r="O510" s="49" t="s">
        <v>2</v>
      </c>
      <c r="P510" s="8">
        <v>4</v>
      </c>
      <c r="Q510" s="8" t="s">
        <v>1867</v>
      </c>
      <c r="R510" s="8" t="s">
        <v>1856</v>
      </c>
      <c r="S510" s="9" t="str">
        <f>IFERROR(HYPERLINK("#Main!A"&amp;MATCH(A510,Main!A:A,0),"Open"),HYPERLINK("#Main!A1","Open"))</f>
        <v>Open</v>
      </c>
      <c r="T510" s="9" t="str">
        <f>IFERROR(HYPERLINK("#Technical!A"&amp;MATCH(A510,Technical!A:A,0),"Open"),HYPERLINK("#Technical!A1","Open"))</f>
        <v>Open</v>
      </c>
      <c r="U510" s="9"/>
    </row>
    <row r="511" spans="1:21" ht="30" customHeight="1" x14ac:dyDescent="0.25">
      <c r="A511" s="58" t="s">
        <v>218</v>
      </c>
      <c r="B511" s="11">
        <v>12497</v>
      </c>
      <c r="C511" s="43" t="s">
        <v>1266</v>
      </c>
      <c r="D511" s="11" t="s">
        <v>1411</v>
      </c>
      <c r="E511" s="64" t="s">
        <v>68</v>
      </c>
      <c r="F511" s="11" t="s">
        <v>1852</v>
      </c>
      <c r="G511" s="10">
        <v>37</v>
      </c>
      <c r="H511" s="11">
        <v>0</v>
      </c>
      <c r="I511" s="11" t="s">
        <v>1853</v>
      </c>
      <c r="J511" s="11" t="s">
        <v>1854</v>
      </c>
      <c r="K511" s="72" t="s">
        <v>9</v>
      </c>
      <c r="L511" s="11" t="s">
        <v>1182</v>
      </c>
      <c r="M511" s="11" t="s">
        <v>864</v>
      </c>
      <c r="N511" s="60" t="s">
        <v>98</v>
      </c>
      <c r="O511" s="49" t="s">
        <v>2</v>
      </c>
      <c r="P511" s="11">
        <v>4</v>
      </c>
      <c r="Q511" s="11" t="s">
        <v>1868</v>
      </c>
      <c r="R511" s="11" t="s">
        <v>1856</v>
      </c>
      <c r="S511" t="str">
        <f>IFERROR(HYPERLINK("#Main!A"&amp;MATCH(A511,Main!A:A,0),"Open"),HYPERLINK("#Main!A1","Open"))</f>
        <v>Open</v>
      </c>
      <c r="T511" t="str">
        <f>IFERROR(HYPERLINK("#Technical!A"&amp;MATCH(A511,Technical!A:A,0),"Open"),HYPERLINK("#Technical!A1","Open"))</f>
        <v>Open</v>
      </c>
    </row>
    <row r="512" spans="1:21" ht="30" customHeight="1" x14ac:dyDescent="0.25">
      <c r="A512" s="59" t="s">
        <v>226</v>
      </c>
      <c r="B512" s="8">
        <v>12407</v>
      </c>
      <c r="C512" s="43" t="s">
        <v>1268</v>
      </c>
      <c r="D512" s="8" t="s">
        <v>1411</v>
      </c>
      <c r="E512" s="64" t="s">
        <v>68</v>
      </c>
      <c r="F512" s="8" t="s">
        <v>1869</v>
      </c>
      <c r="G512" s="36">
        <v>37</v>
      </c>
      <c r="H512" s="8">
        <v>25.15</v>
      </c>
      <c r="I512" s="8" t="s">
        <v>1870</v>
      </c>
      <c r="J512" s="8" t="s">
        <v>1871</v>
      </c>
      <c r="K512" s="71" t="s">
        <v>8</v>
      </c>
      <c r="L512" s="8" t="s">
        <v>1166</v>
      </c>
      <c r="M512" s="8" t="s">
        <v>864</v>
      </c>
      <c r="N512" s="60" t="s">
        <v>98</v>
      </c>
      <c r="O512" s="49" t="s">
        <v>2</v>
      </c>
      <c r="P512" s="8">
        <v>4</v>
      </c>
      <c r="Q512" s="8" t="s">
        <v>1872</v>
      </c>
      <c r="R512" s="8" t="s">
        <v>1873</v>
      </c>
      <c r="S512" s="9" t="str">
        <f>IFERROR(HYPERLINK("#Main!A"&amp;MATCH(A512,Main!A:A,0),"Open"),HYPERLINK("#Main!A1","Open"))</f>
        <v>Open</v>
      </c>
      <c r="T512" s="9" t="str">
        <f>IFERROR(HYPERLINK("#Technical!A"&amp;MATCH(A512,Technical!A:A,0),"Open"),HYPERLINK("#Technical!A1","Open"))</f>
        <v>Open</v>
      </c>
      <c r="U512" s="9"/>
    </row>
    <row r="513" spans="1:21" ht="30" customHeight="1" x14ac:dyDescent="0.25">
      <c r="A513" s="58" t="s">
        <v>226</v>
      </c>
      <c r="B513" s="11">
        <v>12407</v>
      </c>
      <c r="C513" s="43" t="s">
        <v>1268</v>
      </c>
      <c r="D513" s="11" t="s">
        <v>1411</v>
      </c>
      <c r="E513" s="64" t="s">
        <v>68</v>
      </c>
      <c r="F513" s="11" t="s">
        <v>1852</v>
      </c>
      <c r="G513" s="10">
        <v>37</v>
      </c>
      <c r="H513" s="11">
        <v>0</v>
      </c>
      <c r="I513" s="11" t="s">
        <v>1853</v>
      </c>
      <c r="J513" s="11" t="s">
        <v>1854</v>
      </c>
      <c r="K513" s="72" t="s">
        <v>9</v>
      </c>
      <c r="L513" s="11" t="s">
        <v>1182</v>
      </c>
      <c r="M513" s="11" t="s">
        <v>864</v>
      </c>
      <c r="N513" s="60" t="s">
        <v>98</v>
      </c>
      <c r="O513" s="49" t="s">
        <v>2</v>
      </c>
      <c r="P513" s="11">
        <v>4</v>
      </c>
      <c r="Q513" s="11" t="s">
        <v>1874</v>
      </c>
      <c r="R513" s="11" t="s">
        <v>1856</v>
      </c>
      <c r="S513" t="str">
        <f>IFERROR(HYPERLINK("#Main!A"&amp;MATCH(A513,Main!A:A,0),"Open"),HYPERLINK("#Main!A1","Open"))</f>
        <v>Open</v>
      </c>
      <c r="T513" t="str">
        <f>IFERROR(HYPERLINK("#Technical!A"&amp;MATCH(A513,Technical!A:A,0),"Open"),HYPERLINK("#Technical!A1","Open"))</f>
        <v>Open</v>
      </c>
    </row>
    <row r="514" spans="1:21" ht="30" customHeight="1" x14ac:dyDescent="0.25">
      <c r="A514" s="59" t="s">
        <v>234</v>
      </c>
      <c r="B514" s="8">
        <v>13098</v>
      </c>
      <c r="C514" s="43" t="s">
        <v>1270</v>
      </c>
      <c r="D514" s="8" t="s">
        <v>1411</v>
      </c>
      <c r="E514" s="64" t="s">
        <v>68</v>
      </c>
      <c r="F514" s="8" t="s">
        <v>1852</v>
      </c>
      <c r="G514" s="36">
        <v>37</v>
      </c>
      <c r="H514" s="8">
        <v>0</v>
      </c>
      <c r="I514" s="8" t="s">
        <v>1853</v>
      </c>
      <c r="J514" s="8" t="s">
        <v>1854</v>
      </c>
      <c r="K514" s="71" t="s">
        <v>9</v>
      </c>
      <c r="L514" s="8" t="s">
        <v>1182</v>
      </c>
      <c r="M514" s="8" t="s">
        <v>864</v>
      </c>
      <c r="N514" s="60" t="s">
        <v>98</v>
      </c>
      <c r="O514" s="49" t="s">
        <v>2</v>
      </c>
      <c r="P514" s="8">
        <v>4</v>
      </c>
      <c r="Q514" s="8" t="s">
        <v>1875</v>
      </c>
      <c r="R514" s="8" t="s">
        <v>1856</v>
      </c>
      <c r="S514" s="9" t="str">
        <f>IFERROR(HYPERLINK("#Main!A"&amp;MATCH(A514,Main!A:A,0),"Open"),HYPERLINK("#Main!A1","Open"))</f>
        <v>Open</v>
      </c>
      <c r="T514" s="9" t="str">
        <f>IFERROR(HYPERLINK("#Technical!A"&amp;MATCH(A514,Technical!A:A,0),"Open"),HYPERLINK("#Technical!A1","Open"))</f>
        <v>Open</v>
      </c>
      <c r="U514" s="9"/>
    </row>
    <row r="515" spans="1:21" ht="30" customHeight="1" x14ac:dyDescent="0.25">
      <c r="A515" s="58" t="s">
        <v>242</v>
      </c>
      <c r="B515" s="11">
        <v>13549</v>
      </c>
      <c r="C515" s="43" t="s">
        <v>1272</v>
      </c>
      <c r="D515" s="11" t="s">
        <v>1411</v>
      </c>
      <c r="E515" s="64" t="s">
        <v>68</v>
      </c>
      <c r="F515" s="11" t="s">
        <v>1852</v>
      </c>
      <c r="G515" s="10">
        <v>37</v>
      </c>
      <c r="H515" s="11">
        <v>0</v>
      </c>
      <c r="I515" s="11" t="s">
        <v>1853</v>
      </c>
      <c r="J515" s="11" t="s">
        <v>1854</v>
      </c>
      <c r="K515" s="72" t="s">
        <v>9</v>
      </c>
      <c r="L515" s="11" t="s">
        <v>1182</v>
      </c>
      <c r="M515" s="11" t="s">
        <v>864</v>
      </c>
      <c r="N515" s="60" t="s">
        <v>98</v>
      </c>
      <c r="O515" s="49" t="s">
        <v>2</v>
      </c>
      <c r="P515" s="11">
        <v>4</v>
      </c>
      <c r="Q515" s="11" t="s">
        <v>1876</v>
      </c>
      <c r="R515" s="11" t="s">
        <v>1856</v>
      </c>
      <c r="S515" t="str">
        <f>IFERROR(HYPERLINK("#Main!A"&amp;MATCH(A515,Main!A:A,0),"Open"),HYPERLINK("#Main!A1","Open"))</f>
        <v>Open</v>
      </c>
      <c r="T515" t="str">
        <f>IFERROR(HYPERLINK("#Technical!A"&amp;MATCH(A515,Technical!A:A,0),"Open"),HYPERLINK("#Technical!A1","Open"))</f>
        <v>Open</v>
      </c>
    </row>
    <row r="516" spans="1:21" ht="30" customHeight="1" x14ac:dyDescent="0.25">
      <c r="A516" s="59" t="s">
        <v>250</v>
      </c>
      <c r="B516" s="8">
        <v>13282</v>
      </c>
      <c r="C516" s="43" t="s">
        <v>1274</v>
      </c>
      <c r="D516" s="8" t="s">
        <v>1411</v>
      </c>
      <c r="E516" s="64" t="s">
        <v>68</v>
      </c>
      <c r="F516" s="8" t="s">
        <v>1852</v>
      </c>
      <c r="G516" s="36">
        <v>37</v>
      </c>
      <c r="H516" s="8">
        <v>0</v>
      </c>
      <c r="I516" s="8" t="s">
        <v>1853</v>
      </c>
      <c r="J516" s="8" t="s">
        <v>1854</v>
      </c>
      <c r="K516" s="71" t="s">
        <v>9</v>
      </c>
      <c r="L516" s="8" t="s">
        <v>1182</v>
      </c>
      <c r="M516" s="8" t="s">
        <v>864</v>
      </c>
      <c r="N516" s="60" t="s">
        <v>98</v>
      </c>
      <c r="O516" s="49" t="s">
        <v>2</v>
      </c>
      <c r="P516" s="8">
        <v>4</v>
      </c>
      <c r="Q516" s="8" t="s">
        <v>1877</v>
      </c>
      <c r="R516" s="8" t="s">
        <v>1856</v>
      </c>
      <c r="S516" s="9" t="str">
        <f>IFERROR(HYPERLINK("#Main!A"&amp;MATCH(A516,Main!A:A,0),"Open"),HYPERLINK("#Main!A1","Open"))</f>
        <v>Open</v>
      </c>
      <c r="T516" s="9" t="str">
        <f>IFERROR(HYPERLINK("#Technical!A"&amp;MATCH(A516,Technical!A:A,0),"Open"),HYPERLINK("#Technical!A1","Open"))</f>
        <v>Open</v>
      </c>
      <c r="U516" s="9"/>
    </row>
    <row r="517" spans="1:21" ht="30" customHeight="1" x14ac:dyDescent="0.25">
      <c r="A517" s="58" t="s">
        <v>258</v>
      </c>
      <c r="B517" s="11">
        <v>12945</v>
      </c>
      <c r="C517" s="43" t="s">
        <v>1276</v>
      </c>
      <c r="D517" s="11" t="s">
        <v>1411</v>
      </c>
      <c r="E517" s="64" t="s">
        <v>68</v>
      </c>
      <c r="F517" s="11" t="s">
        <v>1852</v>
      </c>
      <c r="G517" s="10">
        <v>37</v>
      </c>
      <c r="H517" s="11">
        <v>0</v>
      </c>
      <c r="I517" s="11" t="s">
        <v>1853</v>
      </c>
      <c r="J517" s="11" t="s">
        <v>1854</v>
      </c>
      <c r="K517" s="72" t="s">
        <v>9</v>
      </c>
      <c r="L517" s="11" t="s">
        <v>1182</v>
      </c>
      <c r="M517" s="11" t="s">
        <v>864</v>
      </c>
      <c r="N517" s="60" t="s">
        <v>98</v>
      </c>
      <c r="O517" s="49" t="s">
        <v>2</v>
      </c>
      <c r="P517" s="11">
        <v>4</v>
      </c>
      <c r="Q517" s="11" t="s">
        <v>1878</v>
      </c>
      <c r="R517" s="11" t="s">
        <v>1856</v>
      </c>
      <c r="S517" t="str">
        <f>IFERROR(HYPERLINK("#Main!A"&amp;MATCH(A517,Main!A:A,0),"Open"),HYPERLINK("#Main!A1","Open"))</f>
        <v>Open</v>
      </c>
      <c r="T517" t="str">
        <f>IFERROR(HYPERLINK("#Technical!A"&amp;MATCH(A517,Technical!A:A,0),"Open"),HYPERLINK("#Technical!A1","Open"))</f>
        <v>Open</v>
      </c>
    </row>
    <row r="518" spans="1:21" ht="30" customHeight="1" x14ac:dyDescent="0.25">
      <c r="A518" s="59" t="s">
        <v>266</v>
      </c>
      <c r="B518" s="8">
        <v>13179</v>
      </c>
      <c r="C518" s="43" t="s">
        <v>1278</v>
      </c>
      <c r="D518" s="8" t="s">
        <v>1411</v>
      </c>
      <c r="E518" s="64" t="s">
        <v>68</v>
      </c>
      <c r="F518" s="8" t="s">
        <v>1852</v>
      </c>
      <c r="G518" s="36">
        <v>37</v>
      </c>
      <c r="H518" s="8">
        <v>0</v>
      </c>
      <c r="I518" s="8" t="s">
        <v>1853</v>
      </c>
      <c r="J518" s="8" t="s">
        <v>1854</v>
      </c>
      <c r="K518" s="71" t="s">
        <v>9</v>
      </c>
      <c r="L518" s="8" t="s">
        <v>1182</v>
      </c>
      <c r="M518" s="8" t="s">
        <v>864</v>
      </c>
      <c r="N518" s="60" t="s">
        <v>98</v>
      </c>
      <c r="O518" s="49" t="s">
        <v>2</v>
      </c>
      <c r="P518" s="8">
        <v>4</v>
      </c>
      <c r="Q518" s="8" t="s">
        <v>1879</v>
      </c>
      <c r="R518" s="8" t="s">
        <v>1856</v>
      </c>
      <c r="S518" s="9" t="str">
        <f>IFERROR(HYPERLINK("#Main!A"&amp;MATCH(A518,Main!A:A,0),"Open"),HYPERLINK("#Main!A1","Open"))</f>
        <v>Open</v>
      </c>
      <c r="T518" s="9" t="str">
        <f>IFERROR(HYPERLINK("#Technical!A"&amp;MATCH(A518,Technical!A:A,0),"Open"),HYPERLINK("#Technical!A1","Open"))</f>
        <v>Open</v>
      </c>
      <c r="U518" s="9"/>
    </row>
    <row r="519" spans="1:21" ht="30" customHeight="1" x14ac:dyDescent="0.25">
      <c r="A519" s="58" t="s">
        <v>274</v>
      </c>
      <c r="B519" s="11">
        <v>22401</v>
      </c>
      <c r="C519" s="43" t="s">
        <v>1280</v>
      </c>
      <c r="D519" s="11" t="s">
        <v>1411</v>
      </c>
      <c r="E519" s="64" t="s">
        <v>68</v>
      </c>
      <c r="F519" s="11" t="s">
        <v>1847</v>
      </c>
      <c r="G519" s="10">
        <v>37</v>
      </c>
      <c r="H519" s="11">
        <v>2</v>
      </c>
      <c r="I519" s="11" t="s">
        <v>1848</v>
      </c>
      <c r="J519" s="11" t="s">
        <v>1849</v>
      </c>
      <c r="K519" s="72" t="s">
        <v>8</v>
      </c>
      <c r="L519" s="11" t="s">
        <v>1169</v>
      </c>
      <c r="M519" s="11" t="s">
        <v>864</v>
      </c>
      <c r="N519" s="60" t="s">
        <v>98</v>
      </c>
      <c r="O519" s="49" t="s">
        <v>2</v>
      </c>
      <c r="P519" s="11">
        <v>4</v>
      </c>
      <c r="Q519" s="11" t="s">
        <v>1880</v>
      </c>
      <c r="R519" s="11" t="s">
        <v>1851</v>
      </c>
      <c r="S519" t="str">
        <f>IFERROR(HYPERLINK("#Main!A"&amp;MATCH(A519,Main!A:A,0),"Open"),HYPERLINK("#Main!A1","Open"))</f>
        <v>Open</v>
      </c>
      <c r="T519" t="str">
        <f>IFERROR(HYPERLINK("#Technical!A"&amp;MATCH(A519,Technical!A:A,0),"Open"),HYPERLINK("#Technical!A1","Open"))</f>
        <v>Open</v>
      </c>
    </row>
    <row r="520" spans="1:21" ht="30" customHeight="1" x14ac:dyDescent="0.25">
      <c r="A520" s="59" t="s">
        <v>274</v>
      </c>
      <c r="B520" s="8">
        <v>22401</v>
      </c>
      <c r="C520" s="43" t="s">
        <v>1280</v>
      </c>
      <c r="D520" s="8" t="s">
        <v>1411</v>
      </c>
      <c r="E520" s="64" t="s">
        <v>68</v>
      </c>
      <c r="F520" s="8" t="s">
        <v>1852</v>
      </c>
      <c r="G520" s="36">
        <v>37</v>
      </c>
      <c r="H520" s="8">
        <v>0</v>
      </c>
      <c r="I520" s="8" t="s">
        <v>1853</v>
      </c>
      <c r="J520" s="8" t="s">
        <v>1854</v>
      </c>
      <c r="K520" s="71" t="s">
        <v>9</v>
      </c>
      <c r="L520" s="8" t="s">
        <v>1182</v>
      </c>
      <c r="M520" s="8" t="s">
        <v>864</v>
      </c>
      <c r="N520" s="60" t="s">
        <v>98</v>
      </c>
      <c r="O520" s="49" t="s">
        <v>2</v>
      </c>
      <c r="P520" s="8">
        <v>4</v>
      </c>
      <c r="Q520" s="8" t="s">
        <v>1881</v>
      </c>
      <c r="R520" s="8" t="s">
        <v>1856</v>
      </c>
      <c r="S520" s="9" t="str">
        <f>IFERROR(HYPERLINK("#Main!A"&amp;MATCH(A520,Main!A:A,0),"Open"),HYPERLINK("#Main!A1","Open"))</f>
        <v>Open</v>
      </c>
      <c r="T520" s="9" t="str">
        <f>IFERROR(HYPERLINK("#Technical!A"&amp;MATCH(A520,Technical!A:A,0),"Open"),HYPERLINK("#Technical!A1","Open"))</f>
        <v>Open</v>
      </c>
      <c r="U520" s="9"/>
    </row>
    <row r="521" spans="1:21" ht="30" customHeight="1" x14ac:dyDescent="0.25">
      <c r="A521" s="58" t="s">
        <v>282</v>
      </c>
      <c r="B521" s="11">
        <v>18318</v>
      </c>
      <c r="C521" s="43" t="s">
        <v>1282</v>
      </c>
      <c r="D521" s="11" t="s">
        <v>1411</v>
      </c>
      <c r="E521" s="64" t="s">
        <v>68</v>
      </c>
      <c r="F521" s="11" t="s">
        <v>1852</v>
      </c>
      <c r="G521" s="10">
        <v>37</v>
      </c>
      <c r="H521" s="11">
        <v>0</v>
      </c>
      <c r="I521" s="11" t="s">
        <v>1853</v>
      </c>
      <c r="J521" s="11" t="s">
        <v>1854</v>
      </c>
      <c r="K521" s="72" t="s">
        <v>9</v>
      </c>
      <c r="L521" s="11" t="s">
        <v>1182</v>
      </c>
      <c r="M521" s="11" t="s">
        <v>864</v>
      </c>
      <c r="N521" s="60" t="s">
        <v>98</v>
      </c>
      <c r="O521" s="49" t="s">
        <v>2</v>
      </c>
      <c r="P521" s="11">
        <v>4</v>
      </c>
      <c r="Q521" s="11" t="s">
        <v>1882</v>
      </c>
      <c r="R521" s="11" t="s">
        <v>1856</v>
      </c>
      <c r="S521" t="str">
        <f>IFERROR(HYPERLINK("#Main!A"&amp;MATCH(A521,Main!A:A,0),"Open"),HYPERLINK("#Main!A1","Open"))</f>
        <v>Open</v>
      </c>
      <c r="T521" t="str">
        <f>IFERROR(HYPERLINK("#Technical!A"&amp;MATCH(A521,Technical!A:A,0),"Open"),HYPERLINK("#Technical!A1","Open"))</f>
        <v>Open</v>
      </c>
    </row>
    <row r="522" spans="1:21" ht="30" customHeight="1" x14ac:dyDescent="0.25">
      <c r="A522" s="59" t="s">
        <v>290</v>
      </c>
      <c r="B522" s="8">
        <v>30257</v>
      </c>
      <c r="C522" s="43" t="s">
        <v>1284</v>
      </c>
      <c r="D522" s="8" t="s">
        <v>1411</v>
      </c>
      <c r="E522" s="64" t="s">
        <v>68</v>
      </c>
      <c r="F522" s="8" t="s">
        <v>1847</v>
      </c>
      <c r="G522" s="36">
        <v>37</v>
      </c>
      <c r="H522" s="8">
        <v>10</v>
      </c>
      <c r="I522" s="8" t="s">
        <v>1848</v>
      </c>
      <c r="J522" s="8" t="s">
        <v>1849</v>
      </c>
      <c r="K522" s="71" t="s">
        <v>8</v>
      </c>
      <c r="L522" s="8" t="s">
        <v>1169</v>
      </c>
      <c r="M522" s="8" t="s">
        <v>864</v>
      </c>
      <c r="N522" s="60" t="s">
        <v>98</v>
      </c>
      <c r="O522" s="49" t="s">
        <v>2</v>
      </c>
      <c r="P522" s="8">
        <v>4</v>
      </c>
      <c r="Q522" s="8" t="s">
        <v>1883</v>
      </c>
      <c r="R522" s="8" t="s">
        <v>1851</v>
      </c>
      <c r="S522" s="9" t="str">
        <f>IFERROR(HYPERLINK("#Main!A"&amp;MATCH(A522,Main!A:A,0),"Open"),HYPERLINK("#Main!A1","Open"))</f>
        <v>Open</v>
      </c>
      <c r="T522" s="9" t="str">
        <f>IFERROR(HYPERLINK("#Technical!A"&amp;MATCH(A522,Technical!A:A,0),"Open"),HYPERLINK("#Technical!A1","Open"))</f>
        <v>Open</v>
      </c>
      <c r="U522" s="9"/>
    </row>
    <row r="523" spans="1:21" ht="30" customHeight="1" x14ac:dyDescent="0.25">
      <c r="A523" s="58" t="s">
        <v>290</v>
      </c>
      <c r="B523" s="11">
        <v>30257</v>
      </c>
      <c r="C523" s="43" t="s">
        <v>1284</v>
      </c>
      <c r="D523" s="11" t="s">
        <v>1411</v>
      </c>
      <c r="E523" s="64" t="s">
        <v>68</v>
      </c>
      <c r="F523" s="11" t="s">
        <v>1852</v>
      </c>
      <c r="G523" s="10">
        <v>37</v>
      </c>
      <c r="H523" s="11">
        <v>0</v>
      </c>
      <c r="I523" s="11" t="s">
        <v>1853</v>
      </c>
      <c r="J523" s="11" t="s">
        <v>1854</v>
      </c>
      <c r="K523" s="72" t="s">
        <v>9</v>
      </c>
      <c r="L523" s="11" t="s">
        <v>1182</v>
      </c>
      <c r="M523" s="11" t="s">
        <v>864</v>
      </c>
      <c r="N523" s="60" t="s">
        <v>98</v>
      </c>
      <c r="O523" s="49" t="s">
        <v>2</v>
      </c>
      <c r="P523" s="11">
        <v>4</v>
      </c>
      <c r="Q523" s="11" t="s">
        <v>1884</v>
      </c>
      <c r="R523" s="11" t="s">
        <v>1856</v>
      </c>
      <c r="S523" t="str">
        <f>IFERROR(HYPERLINK("#Main!A"&amp;MATCH(A523,Main!A:A,0),"Open"),HYPERLINK("#Main!A1","Open"))</f>
        <v>Open</v>
      </c>
      <c r="T523" t="str">
        <f>IFERROR(HYPERLINK("#Technical!A"&amp;MATCH(A523,Technical!A:A,0),"Open"),HYPERLINK("#Technical!A1","Open"))</f>
        <v>Open</v>
      </c>
    </row>
    <row r="524" spans="1:21" ht="30" customHeight="1" x14ac:dyDescent="0.25">
      <c r="A524" s="59" t="s">
        <v>298</v>
      </c>
      <c r="B524" s="8">
        <v>23710</v>
      </c>
      <c r="C524" s="43" t="s">
        <v>1286</v>
      </c>
      <c r="D524" s="8" t="s">
        <v>1411</v>
      </c>
      <c r="E524" s="64" t="s">
        <v>68</v>
      </c>
      <c r="F524" s="8" t="s">
        <v>1847</v>
      </c>
      <c r="G524" s="36">
        <v>37</v>
      </c>
      <c r="H524" s="8">
        <v>2</v>
      </c>
      <c r="I524" s="8" t="s">
        <v>1848</v>
      </c>
      <c r="J524" s="8" t="s">
        <v>1849</v>
      </c>
      <c r="K524" s="71" t="s">
        <v>8</v>
      </c>
      <c r="L524" s="8" t="s">
        <v>1169</v>
      </c>
      <c r="M524" s="8" t="s">
        <v>864</v>
      </c>
      <c r="N524" s="60" t="s">
        <v>98</v>
      </c>
      <c r="O524" s="49" t="s">
        <v>2</v>
      </c>
      <c r="P524" s="8">
        <v>4</v>
      </c>
      <c r="Q524" s="8" t="s">
        <v>1885</v>
      </c>
      <c r="R524" s="8" t="s">
        <v>1851</v>
      </c>
      <c r="S524" s="9" t="str">
        <f>IFERROR(HYPERLINK("#Main!A"&amp;MATCH(A524,Main!A:A,0),"Open"),HYPERLINK("#Main!A1","Open"))</f>
        <v>Open</v>
      </c>
      <c r="T524" s="9" t="str">
        <f>IFERROR(HYPERLINK("#Technical!A"&amp;MATCH(A524,Technical!A:A,0),"Open"),HYPERLINK("#Technical!A1","Open"))</f>
        <v>Open</v>
      </c>
      <c r="U524" s="9"/>
    </row>
    <row r="525" spans="1:21" ht="30" customHeight="1" x14ac:dyDescent="0.25">
      <c r="A525" s="58" t="s">
        <v>298</v>
      </c>
      <c r="B525" s="11">
        <v>23710</v>
      </c>
      <c r="C525" s="43" t="s">
        <v>1286</v>
      </c>
      <c r="D525" s="11" t="s">
        <v>1411</v>
      </c>
      <c r="E525" s="64" t="s">
        <v>68</v>
      </c>
      <c r="F525" s="11" t="s">
        <v>1852</v>
      </c>
      <c r="G525" s="10">
        <v>37</v>
      </c>
      <c r="H525" s="11">
        <v>0</v>
      </c>
      <c r="I525" s="11" t="s">
        <v>1853</v>
      </c>
      <c r="J525" s="11" t="s">
        <v>1854</v>
      </c>
      <c r="K525" s="72" t="s">
        <v>9</v>
      </c>
      <c r="L525" s="11" t="s">
        <v>1182</v>
      </c>
      <c r="M525" s="11" t="s">
        <v>864</v>
      </c>
      <c r="N525" s="60" t="s">
        <v>98</v>
      </c>
      <c r="O525" s="49" t="s">
        <v>2</v>
      </c>
      <c r="P525" s="11">
        <v>4</v>
      </c>
      <c r="Q525" s="11" t="s">
        <v>1886</v>
      </c>
      <c r="R525" s="11" t="s">
        <v>1856</v>
      </c>
      <c r="S525" t="str">
        <f>IFERROR(HYPERLINK("#Main!A"&amp;MATCH(A525,Main!A:A,0),"Open"),HYPERLINK("#Main!A1","Open"))</f>
        <v>Open</v>
      </c>
      <c r="T525" t="str">
        <f>IFERROR(HYPERLINK("#Technical!A"&amp;MATCH(A525,Technical!A:A,0),"Open"),HYPERLINK("#Technical!A1","Open"))</f>
        <v>Open</v>
      </c>
    </row>
    <row r="526" spans="1:21" ht="30" customHeight="1" x14ac:dyDescent="0.25">
      <c r="A526" s="59" t="s">
        <v>306</v>
      </c>
      <c r="B526" s="8">
        <v>33280</v>
      </c>
      <c r="C526" s="43" t="s">
        <v>1288</v>
      </c>
      <c r="D526" s="8" t="s">
        <v>1411</v>
      </c>
      <c r="E526" s="64" t="s">
        <v>68</v>
      </c>
      <c r="F526" s="8" t="s">
        <v>1847</v>
      </c>
      <c r="G526" s="36">
        <v>37</v>
      </c>
      <c r="H526" s="8">
        <v>2</v>
      </c>
      <c r="I526" s="8" t="s">
        <v>1848</v>
      </c>
      <c r="J526" s="8" t="s">
        <v>1849</v>
      </c>
      <c r="K526" s="71" t="s">
        <v>8</v>
      </c>
      <c r="L526" s="8" t="s">
        <v>1169</v>
      </c>
      <c r="M526" s="8" t="s">
        <v>864</v>
      </c>
      <c r="N526" s="60" t="s">
        <v>98</v>
      </c>
      <c r="O526" s="49" t="s">
        <v>2</v>
      </c>
      <c r="P526" s="8">
        <v>4</v>
      </c>
      <c r="Q526" s="8" t="s">
        <v>1887</v>
      </c>
      <c r="R526" s="8" t="s">
        <v>1851</v>
      </c>
      <c r="S526" s="9" t="str">
        <f>IFERROR(HYPERLINK("#Main!A"&amp;MATCH(A526,Main!A:A,0),"Open"),HYPERLINK("#Main!A1","Open"))</f>
        <v>Open</v>
      </c>
      <c r="T526" s="9" t="str">
        <f>IFERROR(HYPERLINK("#Technical!A"&amp;MATCH(A526,Technical!A:A,0),"Open"),HYPERLINK("#Technical!A1","Open"))</f>
        <v>Open</v>
      </c>
      <c r="U526" s="9"/>
    </row>
    <row r="527" spans="1:21" ht="30" customHeight="1" x14ac:dyDescent="0.25">
      <c r="A527" s="58" t="s">
        <v>306</v>
      </c>
      <c r="B527" s="11">
        <v>33280</v>
      </c>
      <c r="C527" s="43" t="s">
        <v>1288</v>
      </c>
      <c r="D527" s="11" t="s">
        <v>1411</v>
      </c>
      <c r="E527" s="64" t="s">
        <v>68</v>
      </c>
      <c r="F527" s="11" t="s">
        <v>1852</v>
      </c>
      <c r="G527" s="10">
        <v>37</v>
      </c>
      <c r="H527" s="11">
        <v>0</v>
      </c>
      <c r="I527" s="11" t="s">
        <v>1853</v>
      </c>
      <c r="J527" s="11" t="s">
        <v>1854</v>
      </c>
      <c r="K527" s="72" t="s">
        <v>9</v>
      </c>
      <c r="L527" s="11" t="s">
        <v>1182</v>
      </c>
      <c r="M527" s="11" t="s">
        <v>864</v>
      </c>
      <c r="N527" s="60" t="s">
        <v>98</v>
      </c>
      <c r="O527" s="49" t="s">
        <v>2</v>
      </c>
      <c r="P527" s="11">
        <v>4</v>
      </c>
      <c r="Q527" s="11" t="s">
        <v>1888</v>
      </c>
      <c r="R527" s="11" t="s">
        <v>1856</v>
      </c>
      <c r="S527" t="str">
        <f>IFERROR(HYPERLINK("#Main!A"&amp;MATCH(A527,Main!A:A,0),"Open"),HYPERLINK("#Main!A1","Open"))</f>
        <v>Open</v>
      </c>
      <c r="T527" t="str">
        <f>IFERROR(HYPERLINK("#Technical!A"&amp;MATCH(A527,Technical!A:A,0),"Open"),HYPERLINK("#Technical!A1","Open"))</f>
        <v>Open</v>
      </c>
    </row>
    <row r="528" spans="1:21" ht="30" customHeight="1" x14ac:dyDescent="0.25">
      <c r="A528" s="59" t="s">
        <v>314</v>
      </c>
      <c r="B528" s="8">
        <v>22778</v>
      </c>
      <c r="C528" s="43" t="s">
        <v>1290</v>
      </c>
      <c r="D528" s="8" t="s">
        <v>1411</v>
      </c>
      <c r="E528" s="64" t="s">
        <v>68</v>
      </c>
      <c r="F528" s="8" t="s">
        <v>1847</v>
      </c>
      <c r="G528" s="36">
        <v>37</v>
      </c>
      <c r="H528" s="8">
        <v>2</v>
      </c>
      <c r="I528" s="8" t="s">
        <v>1848</v>
      </c>
      <c r="J528" s="8" t="s">
        <v>1849</v>
      </c>
      <c r="K528" s="71" t="s">
        <v>8</v>
      </c>
      <c r="L528" s="8" t="s">
        <v>1169</v>
      </c>
      <c r="M528" s="8" t="s">
        <v>864</v>
      </c>
      <c r="N528" s="60" t="s">
        <v>98</v>
      </c>
      <c r="O528" s="49" t="s">
        <v>2</v>
      </c>
      <c r="P528" s="8">
        <v>4</v>
      </c>
      <c r="Q528" s="8" t="s">
        <v>1889</v>
      </c>
      <c r="R528" s="8" t="s">
        <v>1851</v>
      </c>
      <c r="S528" s="9" t="str">
        <f>IFERROR(HYPERLINK("#Main!A"&amp;MATCH(A528,Main!A:A,0),"Open"),HYPERLINK("#Main!A1","Open"))</f>
        <v>Open</v>
      </c>
      <c r="T528" s="9" t="str">
        <f>IFERROR(HYPERLINK("#Technical!A"&amp;MATCH(A528,Technical!A:A,0),"Open"),HYPERLINK("#Technical!A1","Open"))</f>
        <v>Open</v>
      </c>
      <c r="U528" s="9"/>
    </row>
    <row r="529" spans="1:21" ht="30" customHeight="1" x14ac:dyDescent="0.25">
      <c r="A529" s="58" t="s">
        <v>314</v>
      </c>
      <c r="B529" s="11">
        <v>22778</v>
      </c>
      <c r="C529" s="43" t="s">
        <v>1290</v>
      </c>
      <c r="D529" s="11" t="s">
        <v>1411</v>
      </c>
      <c r="E529" s="64" t="s">
        <v>68</v>
      </c>
      <c r="F529" s="11" t="s">
        <v>1852</v>
      </c>
      <c r="G529" s="10">
        <v>37</v>
      </c>
      <c r="H529" s="11">
        <v>0</v>
      </c>
      <c r="I529" s="11" t="s">
        <v>1853</v>
      </c>
      <c r="J529" s="11" t="s">
        <v>1854</v>
      </c>
      <c r="K529" s="72" t="s">
        <v>9</v>
      </c>
      <c r="L529" s="11" t="s">
        <v>1182</v>
      </c>
      <c r="M529" s="11" t="s">
        <v>864</v>
      </c>
      <c r="N529" s="60" t="s">
        <v>98</v>
      </c>
      <c r="O529" s="49" t="s">
        <v>2</v>
      </c>
      <c r="P529" s="11">
        <v>4</v>
      </c>
      <c r="Q529" s="11" t="s">
        <v>1890</v>
      </c>
      <c r="R529" s="11" t="s">
        <v>1856</v>
      </c>
      <c r="S529" t="str">
        <f>IFERROR(HYPERLINK("#Main!A"&amp;MATCH(A529,Main!A:A,0),"Open"),HYPERLINK("#Main!A1","Open"))</f>
        <v>Open</v>
      </c>
      <c r="T529" t="str">
        <f>IFERROR(HYPERLINK("#Technical!A"&amp;MATCH(A529,Technical!A:A,0),"Open"),HYPERLINK("#Technical!A1","Open"))</f>
        <v>Open</v>
      </c>
    </row>
    <row r="530" spans="1:21" ht="30" customHeight="1" x14ac:dyDescent="0.25">
      <c r="A530" s="59" t="s">
        <v>322</v>
      </c>
      <c r="B530" s="8">
        <v>31478</v>
      </c>
      <c r="C530" s="43" t="s">
        <v>1292</v>
      </c>
      <c r="D530" s="8" t="s">
        <v>1411</v>
      </c>
      <c r="E530" s="64" t="s">
        <v>68</v>
      </c>
      <c r="F530" s="8" t="s">
        <v>1852</v>
      </c>
      <c r="G530" s="36">
        <v>37</v>
      </c>
      <c r="H530" s="8">
        <v>0</v>
      </c>
      <c r="I530" s="8" t="s">
        <v>1853</v>
      </c>
      <c r="J530" s="8" t="s">
        <v>1854</v>
      </c>
      <c r="K530" s="71" t="s">
        <v>9</v>
      </c>
      <c r="L530" s="8" t="s">
        <v>1182</v>
      </c>
      <c r="M530" s="8" t="s">
        <v>864</v>
      </c>
      <c r="N530" s="60" t="s">
        <v>98</v>
      </c>
      <c r="O530" s="49" t="s">
        <v>2</v>
      </c>
      <c r="P530" s="8">
        <v>4</v>
      </c>
      <c r="Q530" s="8" t="s">
        <v>1891</v>
      </c>
      <c r="R530" s="8" t="s">
        <v>1856</v>
      </c>
      <c r="S530" s="9" t="str">
        <f>IFERROR(HYPERLINK("#Main!A"&amp;MATCH(A530,Main!A:A,0),"Open"),HYPERLINK("#Main!A1","Open"))</f>
        <v>Open</v>
      </c>
      <c r="T530" s="9" t="str">
        <f>IFERROR(HYPERLINK("#Technical!A"&amp;MATCH(A530,Technical!A:A,0),"Open"),HYPERLINK("#Technical!A1","Open"))</f>
        <v>Open</v>
      </c>
      <c r="U530" s="9"/>
    </row>
    <row r="531" spans="1:21" ht="30" customHeight="1" x14ac:dyDescent="0.25">
      <c r="A531" s="58" t="s">
        <v>330</v>
      </c>
      <c r="B531" s="11">
        <v>5057</v>
      </c>
      <c r="C531" s="43" t="s">
        <v>1294</v>
      </c>
      <c r="D531" s="11" t="s">
        <v>1411</v>
      </c>
      <c r="E531" s="64" t="s">
        <v>68</v>
      </c>
      <c r="F531" s="11" t="s">
        <v>1852</v>
      </c>
      <c r="G531" s="10">
        <v>37</v>
      </c>
      <c r="H531" s="11">
        <v>0</v>
      </c>
      <c r="I531" s="11" t="s">
        <v>1853</v>
      </c>
      <c r="J531" s="11" t="s">
        <v>1854</v>
      </c>
      <c r="K531" s="72" t="s">
        <v>9</v>
      </c>
      <c r="L531" s="11" t="s">
        <v>1182</v>
      </c>
      <c r="M531" s="11" t="s">
        <v>864</v>
      </c>
      <c r="N531" s="60" t="s">
        <v>98</v>
      </c>
      <c r="O531" s="49" t="s">
        <v>2</v>
      </c>
      <c r="P531" s="11">
        <v>4</v>
      </c>
      <c r="Q531" s="11" t="s">
        <v>1892</v>
      </c>
      <c r="R531" s="11" t="s">
        <v>1856</v>
      </c>
      <c r="S531" t="str">
        <f>IFERROR(HYPERLINK("#Main!A"&amp;MATCH(A531,Main!A:A,0),"Open"),HYPERLINK("#Main!A1","Open"))</f>
        <v>Open</v>
      </c>
      <c r="T531" t="str">
        <f>IFERROR(HYPERLINK("#Technical!A"&amp;MATCH(A531,Technical!A:A,0),"Open"),HYPERLINK("#Technical!A1","Open"))</f>
        <v>Open</v>
      </c>
    </row>
    <row r="532" spans="1:21" ht="30" customHeight="1" x14ac:dyDescent="0.25">
      <c r="A532" s="59" t="s">
        <v>338</v>
      </c>
      <c r="B532" s="8"/>
      <c r="C532" s="8"/>
      <c r="D532" s="8" t="s">
        <v>1411</v>
      </c>
      <c r="E532" s="64" t="s">
        <v>68</v>
      </c>
      <c r="F532" s="8" t="s">
        <v>1852</v>
      </c>
      <c r="G532" s="36">
        <v>37</v>
      </c>
      <c r="H532" s="8">
        <v>0</v>
      </c>
      <c r="I532" s="8" t="s">
        <v>1853</v>
      </c>
      <c r="J532" s="8" t="s">
        <v>1854</v>
      </c>
      <c r="K532" s="71" t="s">
        <v>9</v>
      </c>
      <c r="L532" s="8" t="s">
        <v>1182</v>
      </c>
      <c r="M532" s="8" t="s">
        <v>864</v>
      </c>
      <c r="N532" s="60" t="s">
        <v>98</v>
      </c>
      <c r="O532" s="49" t="s">
        <v>2</v>
      </c>
      <c r="P532" s="8">
        <v>4</v>
      </c>
      <c r="Q532" s="8" t="s">
        <v>1893</v>
      </c>
      <c r="R532" s="8" t="s">
        <v>1856</v>
      </c>
      <c r="S532" s="9" t="str">
        <f>IFERROR(HYPERLINK("#Main!A"&amp;MATCH(A532,Main!A:A,0),"Open"),HYPERLINK("#Main!A1","Open"))</f>
        <v>Open</v>
      </c>
      <c r="T532" s="9" t="str">
        <f>IFERROR(HYPERLINK("#Technical!A"&amp;MATCH(A532,Technical!A:A,0),"Open"),HYPERLINK("#Technical!A1","Open"))</f>
        <v>Open</v>
      </c>
      <c r="U532" s="9"/>
    </row>
    <row r="533" spans="1:21" ht="30" customHeight="1" x14ac:dyDescent="0.25">
      <c r="A533" s="58" t="s">
        <v>342</v>
      </c>
      <c r="B533" s="11">
        <v>12477</v>
      </c>
      <c r="C533" s="43" t="s">
        <v>1297</v>
      </c>
      <c r="D533" s="11" t="s">
        <v>1411</v>
      </c>
      <c r="E533" s="64" t="s">
        <v>68</v>
      </c>
      <c r="F533" s="11" t="s">
        <v>1852</v>
      </c>
      <c r="G533" s="10">
        <v>37</v>
      </c>
      <c r="H533" s="11">
        <v>0</v>
      </c>
      <c r="I533" s="11" t="s">
        <v>1853</v>
      </c>
      <c r="J533" s="11" t="s">
        <v>1854</v>
      </c>
      <c r="K533" s="72" t="s">
        <v>9</v>
      </c>
      <c r="L533" s="11" t="s">
        <v>1182</v>
      </c>
      <c r="M533" s="11" t="s">
        <v>864</v>
      </c>
      <c r="N533" s="60" t="s">
        <v>98</v>
      </c>
      <c r="O533" s="49" t="s">
        <v>2</v>
      </c>
      <c r="P533" s="11">
        <v>4</v>
      </c>
      <c r="Q533" s="11" t="s">
        <v>1894</v>
      </c>
      <c r="R533" s="11" t="s">
        <v>1856</v>
      </c>
      <c r="S533" t="str">
        <f>IFERROR(HYPERLINK("#Main!A"&amp;MATCH(A533,Main!A:A,0),"Open"),HYPERLINK("#Main!A1","Open"))</f>
        <v>Open</v>
      </c>
      <c r="T533" t="str">
        <f>IFERROR(HYPERLINK("#Technical!A"&amp;MATCH(A533,Technical!A:A,0),"Open"),HYPERLINK("#Technical!A1","Open"))</f>
        <v>Open</v>
      </c>
    </row>
    <row r="534" spans="1:21" ht="30" customHeight="1" x14ac:dyDescent="0.25">
      <c r="A534" s="59" t="s">
        <v>350</v>
      </c>
      <c r="B534" s="8">
        <v>21958</v>
      </c>
      <c r="C534" s="43" t="s">
        <v>1299</v>
      </c>
      <c r="D534" s="8" t="s">
        <v>1411</v>
      </c>
      <c r="E534" s="64" t="s">
        <v>68</v>
      </c>
      <c r="F534" s="8" t="s">
        <v>1852</v>
      </c>
      <c r="G534" s="36">
        <v>37</v>
      </c>
      <c r="H534" s="8">
        <v>0</v>
      </c>
      <c r="I534" s="8" t="s">
        <v>1853</v>
      </c>
      <c r="J534" s="8" t="s">
        <v>1854</v>
      </c>
      <c r="K534" s="71" t="s">
        <v>9</v>
      </c>
      <c r="L534" s="8" t="s">
        <v>1182</v>
      </c>
      <c r="M534" s="8" t="s">
        <v>864</v>
      </c>
      <c r="N534" s="60" t="s">
        <v>98</v>
      </c>
      <c r="O534" s="49" t="s">
        <v>2</v>
      </c>
      <c r="P534" s="8">
        <v>4</v>
      </c>
      <c r="Q534" s="8" t="s">
        <v>1895</v>
      </c>
      <c r="R534" s="8" t="s">
        <v>1856</v>
      </c>
      <c r="S534" s="9" t="str">
        <f>IFERROR(HYPERLINK("#Main!A"&amp;MATCH(A534,Main!A:A,0),"Open"),HYPERLINK("#Main!A1","Open"))</f>
        <v>Open</v>
      </c>
      <c r="T534" s="9" t="str">
        <f>IFERROR(HYPERLINK("#Technical!A"&amp;MATCH(A534,Technical!A:A,0),"Open"),HYPERLINK("#Technical!A1","Open"))</f>
        <v>Open</v>
      </c>
      <c r="U534" s="9"/>
    </row>
    <row r="535" spans="1:21" ht="30" customHeight="1" x14ac:dyDescent="0.25">
      <c r="A535" s="58" t="s">
        <v>358</v>
      </c>
      <c r="B535" s="11">
        <v>21984</v>
      </c>
      <c r="C535" s="43" t="s">
        <v>1301</v>
      </c>
      <c r="D535" s="11" t="s">
        <v>1411</v>
      </c>
      <c r="E535" s="64" t="s">
        <v>68</v>
      </c>
      <c r="F535" s="11" t="s">
        <v>1852</v>
      </c>
      <c r="G535" s="10">
        <v>37</v>
      </c>
      <c r="H535" s="11">
        <v>0</v>
      </c>
      <c r="I535" s="11" t="s">
        <v>1853</v>
      </c>
      <c r="J535" s="11" t="s">
        <v>1854</v>
      </c>
      <c r="K535" s="72" t="s">
        <v>9</v>
      </c>
      <c r="L535" s="11" t="s">
        <v>1182</v>
      </c>
      <c r="M535" s="11" t="s">
        <v>864</v>
      </c>
      <c r="N535" s="60" t="s">
        <v>98</v>
      </c>
      <c r="O535" s="49" t="s">
        <v>2</v>
      </c>
      <c r="P535" s="11">
        <v>4</v>
      </c>
      <c r="Q535" s="11" t="s">
        <v>1896</v>
      </c>
      <c r="R535" s="11" t="s">
        <v>1856</v>
      </c>
      <c r="S535" t="str">
        <f>IFERROR(HYPERLINK("#Main!A"&amp;MATCH(A535,Main!A:A,0),"Open"),HYPERLINK("#Main!A1","Open"))</f>
        <v>Open</v>
      </c>
      <c r="T535" t="str">
        <f>IFERROR(HYPERLINK("#Technical!A"&amp;MATCH(A535,Technical!A:A,0),"Open"),HYPERLINK("#Technical!A1","Open"))</f>
        <v>Open</v>
      </c>
    </row>
    <row r="536" spans="1:21" ht="30" customHeight="1" x14ac:dyDescent="0.25">
      <c r="A536" s="59" t="s">
        <v>366</v>
      </c>
      <c r="B536" s="8">
        <v>33131</v>
      </c>
      <c r="C536" s="43" t="s">
        <v>1303</v>
      </c>
      <c r="D536" s="8" t="s">
        <v>1411</v>
      </c>
      <c r="E536" s="64" t="s">
        <v>68</v>
      </c>
      <c r="F536" s="8" t="s">
        <v>1847</v>
      </c>
      <c r="G536" s="36">
        <v>37</v>
      </c>
      <c r="H536" s="8">
        <v>2</v>
      </c>
      <c r="I536" s="8" t="s">
        <v>1848</v>
      </c>
      <c r="J536" s="8" t="s">
        <v>1849</v>
      </c>
      <c r="K536" s="71" t="s">
        <v>8</v>
      </c>
      <c r="L536" s="8" t="s">
        <v>1169</v>
      </c>
      <c r="M536" s="8" t="s">
        <v>864</v>
      </c>
      <c r="N536" s="60" t="s">
        <v>98</v>
      </c>
      <c r="O536" s="49" t="s">
        <v>2</v>
      </c>
      <c r="P536" s="8">
        <v>4</v>
      </c>
      <c r="Q536" s="8" t="s">
        <v>1897</v>
      </c>
      <c r="R536" s="8" t="s">
        <v>1851</v>
      </c>
      <c r="S536" s="9" t="str">
        <f>IFERROR(HYPERLINK("#Main!A"&amp;MATCH(A536,Main!A:A,0),"Open"),HYPERLINK("#Main!A1","Open"))</f>
        <v>Open</v>
      </c>
      <c r="T536" s="9" t="str">
        <f>IFERROR(HYPERLINK("#Technical!A"&amp;MATCH(A536,Technical!A:A,0),"Open"),HYPERLINK("#Technical!A1","Open"))</f>
        <v>Open</v>
      </c>
      <c r="U536" s="9"/>
    </row>
    <row r="537" spans="1:21" ht="30" customHeight="1" x14ac:dyDescent="0.25">
      <c r="A537" s="58" t="s">
        <v>366</v>
      </c>
      <c r="B537" s="11">
        <v>33131</v>
      </c>
      <c r="C537" s="43" t="s">
        <v>1303</v>
      </c>
      <c r="D537" s="11" t="s">
        <v>1411</v>
      </c>
      <c r="E537" s="64" t="s">
        <v>68</v>
      </c>
      <c r="F537" s="11" t="s">
        <v>1852</v>
      </c>
      <c r="G537" s="10">
        <v>37</v>
      </c>
      <c r="H537" s="11">
        <v>0</v>
      </c>
      <c r="I537" s="11" t="s">
        <v>1853</v>
      </c>
      <c r="J537" s="11" t="s">
        <v>1854</v>
      </c>
      <c r="K537" s="72" t="s">
        <v>9</v>
      </c>
      <c r="L537" s="11" t="s">
        <v>1182</v>
      </c>
      <c r="M537" s="11" t="s">
        <v>864</v>
      </c>
      <c r="N537" s="60" t="s">
        <v>98</v>
      </c>
      <c r="O537" s="49" t="s">
        <v>2</v>
      </c>
      <c r="P537" s="11">
        <v>4</v>
      </c>
      <c r="Q537" s="11" t="s">
        <v>1898</v>
      </c>
      <c r="R537" s="11" t="s">
        <v>1856</v>
      </c>
      <c r="S537" t="str">
        <f>IFERROR(HYPERLINK("#Main!A"&amp;MATCH(A537,Main!A:A,0),"Open"),HYPERLINK("#Main!A1","Open"))</f>
        <v>Open</v>
      </c>
      <c r="T537" t="str">
        <f>IFERROR(HYPERLINK("#Technical!A"&amp;MATCH(A537,Technical!A:A,0),"Open"),HYPERLINK("#Technical!A1","Open"))</f>
        <v>Open</v>
      </c>
    </row>
    <row r="538" spans="1:21" ht="30" customHeight="1" x14ac:dyDescent="0.25">
      <c r="A538" s="59" t="s">
        <v>374</v>
      </c>
      <c r="B538" s="8">
        <v>21958</v>
      </c>
      <c r="C538" s="43" t="s">
        <v>1299</v>
      </c>
      <c r="D538" s="8" t="s">
        <v>1411</v>
      </c>
      <c r="E538" s="64" t="s">
        <v>68</v>
      </c>
      <c r="F538" s="8" t="s">
        <v>1852</v>
      </c>
      <c r="G538" s="36">
        <v>37</v>
      </c>
      <c r="H538" s="8">
        <v>0</v>
      </c>
      <c r="I538" s="8" t="s">
        <v>1853</v>
      </c>
      <c r="J538" s="8" t="s">
        <v>1854</v>
      </c>
      <c r="K538" s="71" t="s">
        <v>9</v>
      </c>
      <c r="L538" s="8" t="s">
        <v>1182</v>
      </c>
      <c r="M538" s="8" t="s">
        <v>864</v>
      </c>
      <c r="N538" s="60" t="s">
        <v>98</v>
      </c>
      <c r="O538" s="49" t="s">
        <v>2</v>
      </c>
      <c r="P538" s="8">
        <v>4</v>
      </c>
      <c r="Q538" s="8" t="s">
        <v>1899</v>
      </c>
      <c r="R538" s="8" t="s">
        <v>1856</v>
      </c>
      <c r="S538" s="9" t="str">
        <f>IFERROR(HYPERLINK("#Main!A"&amp;MATCH(A538,Main!A:A,0),"Open"),HYPERLINK("#Main!A1","Open"))</f>
        <v>Open</v>
      </c>
      <c r="T538" s="9" t="str">
        <f>IFERROR(HYPERLINK("#Technical!A"&amp;MATCH(A538,Technical!A:A,0),"Open"),HYPERLINK("#Technical!A1","Open"))</f>
        <v>Open</v>
      </c>
      <c r="U538" s="9"/>
    </row>
    <row r="539" spans="1:21" ht="45" customHeight="1" x14ac:dyDescent="0.25">
      <c r="A539" s="58" t="s">
        <v>377</v>
      </c>
      <c r="B539" s="11">
        <v>25857</v>
      </c>
      <c r="C539" s="43" t="s">
        <v>1306</v>
      </c>
      <c r="D539" s="11" t="s">
        <v>1411</v>
      </c>
      <c r="E539" s="64" t="s">
        <v>68</v>
      </c>
      <c r="F539" s="11" t="s">
        <v>1852</v>
      </c>
      <c r="G539" s="10">
        <v>37</v>
      </c>
      <c r="H539" s="11">
        <v>0</v>
      </c>
      <c r="I539" s="11" t="s">
        <v>1853</v>
      </c>
      <c r="J539" s="11" t="s">
        <v>1854</v>
      </c>
      <c r="K539" s="72" t="s">
        <v>9</v>
      </c>
      <c r="L539" s="11" t="s">
        <v>1182</v>
      </c>
      <c r="M539" s="11" t="s">
        <v>864</v>
      </c>
      <c r="N539" s="60" t="s">
        <v>98</v>
      </c>
      <c r="O539" s="49" t="s">
        <v>2</v>
      </c>
      <c r="P539" s="11">
        <v>4</v>
      </c>
      <c r="Q539" s="11" t="s">
        <v>1900</v>
      </c>
      <c r="R539" s="11" t="s">
        <v>1856</v>
      </c>
      <c r="S539" t="str">
        <f>IFERROR(HYPERLINK("#Main!A"&amp;MATCH(A539,Main!A:A,0),"Open"),HYPERLINK("#Main!A1","Open"))</f>
        <v>Open</v>
      </c>
      <c r="T539" t="str">
        <f>IFERROR(HYPERLINK("#Technical!A"&amp;MATCH(A539,Technical!A:A,0),"Open"),HYPERLINK("#Technical!A1","Open"))</f>
        <v>Open</v>
      </c>
    </row>
    <row r="540" spans="1:21" ht="30" customHeight="1" x14ac:dyDescent="0.25">
      <c r="A540" s="59" t="s">
        <v>385</v>
      </c>
      <c r="B540" s="8">
        <v>25788</v>
      </c>
      <c r="C540" s="43" t="s">
        <v>1308</v>
      </c>
      <c r="D540" s="8" t="s">
        <v>1411</v>
      </c>
      <c r="E540" s="64" t="s">
        <v>68</v>
      </c>
      <c r="F540" s="8" t="s">
        <v>1852</v>
      </c>
      <c r="G540" s="36">
        <v>37</v>
      </c>
      <c r="H540" s="8">
        <v>0</v>
      </c>
      <c r="I540" s="8" t="s">
        <v>1853</v>
      </c>
      <c r="J540" s="8" t="s">
        <v>1854</v>
      </c>
      <c r="K540" s="71" t="s">
        <v>9</v>
      </c>
      <c r="L540" s="8" t="s">
        <v>1182</v>
      </c>
      <c r="M540" s="8" t="s">
        <v>864</v>
      </c>
      <c r="N540" s="60" t="s">
        <v>98</v>
      </c>
      <c r="O540" s="49" t="s">
        <v>2</v>
      </c>
      <c r="P540" s="8">
        <v>4</v>
      </c>
      <c r="Q540" s="8" t="s">
        <v>1901</v>
      </c>
      <c r="R540" s="8" t="s">
        <v>1856</v>
      </c>
      <c r="S540" s="9" t="str">
        <f>IFERROR(HYPERLINK("#Main!A"&amp;MATCH(A540,Main!A:A,0),"Open"),HYPERLINK("#Main!A1","Open"))</f>
        <v>Open</v>
      </c>
      <c r="T540" s="9" t="str">
        <f>IFERROR(HYPERLINK("#Technical!A"&amp;MATCH(A540,Technical!A:A,0),"Open"),HYPERLINK("#Technical!A1","Open"))</f>
        <v>Open</v>
      </c>
      <c r="U540" s="9"/>
    </row>
    <row r="541" spans="1:21" ht="30" customHeight="1" x14ac:dyDescent="0.25">
      <c r="A541" s="58" t="s">
        <v>393</v>
      </c>
      <c r="B541" s="11">
        <v>26290</v>
      </c>
      <c r="C541" s="43" t="s">
        <v>1310</v>
      </c>
      <c r="D541" s="11" t="s">
        <v>1411</v>
      </c>
      <c r="E541" s="64" t="s">
        <v>68</v>
      </c>
      <c r="F541" s="11" t="s">
        <v>1852</v>
      </c>
      <c r="G541" s="10">
        <v>37</v>
      </c>
      <c r="H541" s="11">
        <v>0</v>
      </c>
      <c r="I541" s="11" t="s">
        <v>1853</v>
      </c>
      <c r="J541" s="11" t="s">
        <v>1854</v>
      </c>
      <c r="K541" s="72" t="s">
        <v>9</v>
      </c>
      <c r="L541" s="11" t="s">
        <v>1182</v>
      </c>
      <c r="M541" s="11" t="s">
        <v>864</v>
      </c>
      <c r="N541" s="60" t="s">
        <v>98</v>
      </c>
      <c r="O541" s="49" t="s">
        <v>2</v>
      </c>
      <c r="P541" s="11">
        <v>4</v>
      </c>
      <c r="Q541" s="11" t="s">
        <v>1902</v>
      </c>
      <c r="R541" s="11" t="s">
        <v>1856</v>
      </c>
      <c r="S541" t="str">
        <f>IFERROR(HYPERLINK("#Main!A"&amp;MATCH(A541,Main!A:A,0),"Open"),HYPERLINK("#Main!A1","Open"))</f>
        <v>Open</v>
      </c>
      <c r="T541" t="str">
        <f>IFERROR(HYPERLINK("#Technical!A"&amp;MATCH(A541,Technical!A:A,0),"Open"),HYPERLINK("#Technical!A1","Open"))</f>
        <v>Open</v>
      </c>
    </row>
    <row r="542" spans="1:21" ht="30" customHeight="1" x14ac:dyDescent="0.25">
      <c r="A542" s="59" t="s">
        <v>401</v>
      </c>
      <c r="B542" s="8">
        <v>24882</v>
      </c>
      <c r="C542" s="43" t="s">
        <v>1312</v>
      </c>
      <c r="D542" s="8" t="s">
        <v>1411</v>
      </c>
      <c r="E542" s="64" t="s">
        <v>68</v>
      </c>
      <c r="F542" s="8" t="s">
        <v>1847</v>
      </c>
      <c r="G542" s="36">
        <v>37</v>
      </c>
      <c r="H542" s="8">
        <v>2</v>
      </c>
      <c r="I542" s="8" t="s">
        <v>1848</v>
      </c>
      <c r="J542" s="8" t="s">
        <v>1849</v>
      </c>
      <c r="K542" s="71" t="s">
        <v>8</v>
      </c>
      <c r="L542" s="8" t="s">
        <v>1169</v>
      </c>
      <c r="M542" s="8" t="s">
        <v>864</v>
      </c>
      <c r="N542" s="60" t="s">
        <v>98</v>
      </c>
      <c r="O542" s="49" t="s">
        <v>2</v>
      </c>
      <c r="P542" s="8">
        <v>4</v>
      </c>
      <c r="Q542" s="8" t="s">
        <v>1903</v>
      </c>
      <c r="R542" s="8" t="s">
        <v>1851</v>
      </c>
      <c r="S542" s="9" t="str">
        <f>IFERROR(HYPERLINK("#Main!A"&amp;MATCH(A542,Main!A:A,0),"Open"),HYPERLINK("#Main!A1","Open"))</f>
        <v>Open</v>
      </c>
      <c r="T542" s="9" t="str">
        <f>IFERROR(HYPERLINK("#Technical!A"&amp;MATCH(A542,Technical!A:A,0),"Open"),HYPERLINK("#Technical!A1","Open"))</f>
        <v>Open</v>
      </c>
      <c r="U542" s="9"/>
    </row>
    <row r="543" spans="1:21" ht="30" customHeight="1" x14ac:dyDescent="0.25">
      <c r="A543" s="58" t="s">
        <v>401</v>
      </c>
      <c r="B543" s="11">
        <v>24882</v>
      </c>
      <c r="C543" s="43" t="s">
        <v>1312</v>
      </c>
      <c r="D543" s="11" t="s">
        <v>1411</v>
      </c>
      <c r="E543" s="64" t="s">
        <v>68</v>
      </c>
      <c r="F543" s="11" t="s">
        <v>1852</v>
      </c>
      <c r="G543" s="10">
        <v>37</v>
      </c>
      <c r="H543" s="11">
        <v>0</v>
      </c>
      <c r="I543" s="11" t="s">
        <v>1853</v>
      </c>
      <c r="J543" s="11" t="s">
        <v>1854</v>
      </c>
      <c r="K543" s="72" t="s">
        <v>9</v>
      </c>
      <c r="L543" s="11" t="s">
        <v>1182</v>
      </c>
      <c r="M543" s="11" t="s">
        <v>864</v>
      </c>
      <c r="N543" s="60" t="s">
        <v>98</v>
      </c>
      <c r="O543" s="49" t="s">
        <v>2</v>
      </c>
      <c r="P543" s="11">
        <v>4</v>
      </c>
      <c r="Q543" s="11" t="s">
        <v>1904</v>
      </c>
      <c r="R543" s="11" t="s">
        <v>1856</v>
      </c>
      <c r="S543" t="str">
        <f>IFERROR(HYPERLINK("#Main!A"&amp;MATCH(A543,Main!A:A,0),"Open"),HYPERLINK("#Main!A1","Open"))</f>
        <v>Open</v>
      </c>
      <c r="T543" t="str">
        <f>IFERROR(HYPERLINK("#Technical!A"&amp;MATCH(A543,Technical!A:A,0),"Open"),HYPERLINK("#Technical!A1","Open"))</f>
        <v>Open</v>
      </c>
    </row>
    <row r="544" spans="1:21" ht="45" customHeight="1" x14ac:dyDescent="0.25">
      <c r="A544" s="59" t="s">
        <v>409</v>
      </c>
      <c r="B544" s="8">
        <v>22595</v>
      </c>
      <c r="C544" s="43" t="s">
        <v>1314</v>
      </c>
      <c r="D544" s="8" t="s">
        <v>1411</v>
      </c>
      <c r="E544" s="64" t="s">
        <v>68</v>
      </c>
      <c r="F544" s="8" t="s">
        <v>1847</v>
      </c>
      <c r="G544" s="36">
        <v>37</v>
      </c>
      <c r="H544" s="8">
        <v>4</v>
      </c>
      <c r="I544" s="8" t="s">
        <v>1848</v>
      </c>
      <c r="J544" s="8" t="s">
        <v>1849</v>
      </c>
      <c r="K544" s="71" t="s">
        <v>8</v>
      </c>
      <c r="L544" s="8" t="s">
        <v>1169</v>
      </c>
      <c r="M544" s="8" t="s">
        <v>864</v>
      </c>
      <c r="N544" s="60" t="s">
        <v>98</v>
      </c>
      <c r="O544" s="49" t="s">
        <v>2</v>
      </c>
      <c r="P544" s="8">
        <v>4</v>
      </c>
      <c r="Q544" s="8" t="s">
        <v>1905</v>
      </c>
      <c r="R544" s="8" t="s">
        <v>1851</v>
      </c>
      <c r="S544" s="9" t="str">
        <f>IFERROR(HYPERLINK("#Main!A"&amp;MATCH(A544,Main!A:A,0),"Open"),HYPERLINK("#Main!A1","Open"))</f>
        <v>Open</v>
      </c>
      <c r="T544" s="9" t="str">
        <f>IFERROR(HYPERLINK("#Technical!A"&amp;MATCH(A544,Technical!A:A,0),"Open"),HYPERLINK("#Technical!A1","Open"))</f>
        <v>Open</v>
      </c>
      <c r="U544" s="9"/>
    </row>
    <row r="545" spans="1:21" ht="45" customHeight="1" x14ac:dyDescent="0.25">
      <c r="A545" s="58" t="s">
        <v>409</v>
      </c>
      <c r="B545" s="11">
        <v>22595</v>
      </c>
      <c r="C545" s="43" t="s">
        <v>1314</v>
      </c>
      <c r="D545" s="11" t="s">
        <v>1411</v>
      </c>
      <c r="E545" s="64" t="s">
        <v>68</v>
      </c>
      <c r="F545" s="11" t="s">
        <v>1852</v>
      </c>
      <c r="G545" s="10">
        <v>37</v>
      </c>
      <c r="H545" s="11">
        <v>0</v>
      </c>
      <c r="I545" s="11" t="s">
        <v>1853</v>
      </c>
      <c r="J545" s="11" t="s">
        <v>1854</v>
      </c>
      <c r="K545" s="72" t="s">
        <v>9</v>
      </c>
      <c r="L545" s="11" t="s">
        <v>1182</v>
      </c>
      <c r="M545" s="11" t="s">
        <v>864</v>
      </c>
      <c r="N545" s="60" t="s">
        <v>98</v>
      </c>
      <c r="O545" s="49" t="s">
        <v>2</v>
      </c>
      <c r="P545" s="11">
        <v>4</v>
      </c>
      <c r="Q545" s="11" t="s">
        <v>1906</v>
      </c>
      <c r="R545" s="11" t="s">
        <v>1856</v>
      </c>
      <c r="S545" t="str">
        <f>IFERROR(HYPERLINK("#Main!A"&amp;MATCH(A545,Main!A:A,0),"Open"),HYPERLINK("#Main!A1","Open"))</f>
        <v>Open</v>
      </c>
      <c r="T545" t="str">
        <f>IFERROR(HYPERLINK("#Technical!A"&amp;MATCH(A545,Technical!A:A,0),"Open"),HYPERLINK("#Technical!A1","Open"))</f>
        <v>Open</v>
      </c>
    </row>
    <row r="546" spans="1:21" ht="30" customHeight="1" x14ac:dyDescent="0.25">
      <c r="A546" s="59" t="s">
        <v>417</v>
      </c>
      <c r="B546" s="8">
        <v>29496</v>
      </c>
      <c r="C546" s="43" t="s">
        <v>1316</v>
      </c>
      <c r="D546" s="8" t="s">
        <v>1411</v>
      </c>
      <c r="E546" s="64" t="s">
        <v>68</v>
      </c>
      <c r="F546" s="8" t="s">
        <v>1852</v>
      </c>
      <c r="G546" s="36">
        <v>37</v>
      </c>
      <c r="H546" s="8">
        <v>0</v>
      </c>
      <c r="I546" s="8" t="s">
        <v>1853</v>
      </c>
      <c r="J546" s="8" t="s">
        <v>1854</v>
      </c>
      <c r="K546" s="71" t="s">
        <v>9</v>
      </c>
      <c r="L546" s="8" t="s">
        <v>1182</v>
      </c>
      <c r="M546" s="8" t="s">
        <v>864</v>
      </c>
      <c r="N546" s="60" t="s">
        <v>98</v>
      </c>
      <c r="O546" s="49" t="s">
        <v>2</v>
      </c>
      <c r="P546" s="8">
        <v>4</v>
      </c>
      <c r="Q546" s="8" t="s">
        <v>1907</v>
      </c>
      <c r="R546" s="8" t="s">
        <v>1856</v>
      </c>
      <c r="S546" s="9" t="str">
        <f>IFERROR(HYPERLINK("#Main!A"&amp;MATCH(A546,Main!A:A,0),"Open"),HYPERLINK("#Main!A1","Open"))</f>
        <v>Open</v>
      </c>
      <c r="T546" s="9" t="str">
        <f>IFERROR(HYPERLINK("#Technical!A"&amp;MATCH(A546,Technical!A:A,0),"Open"),HYPERLINK("#Technical!A1","Open"))</f>
        <v>Open</v>
      </c>
      <c r="U546" s="9"/>
    </row>
    <row r="547" spans="1:21" ht="30" customHeight="1" x14ac:dyDescent="0.25">
      <c r="A547" s="58" t="s">
        <v>425</v>
      </c>
      <c r="B547" s="11">
        <v>16104</v>
      </c>
      <c r="C547" s="43" t="s">
        <v>1318</v>
      </c>
      <c r="D547" s="11" t="s">
        <v>1411</v>
      </c>
      <c r="E547" s="64" t="s">
        <v>68</v>
      </c>
      <c r="F547" s="11" t="s">
        <v>1852</v>
      </c>
      <c r="G547" s="10">
        <v>37</v>
      </c>
      <c r="H547" s="11">
        <v>0</v>
      </c>
      <c r="I547" s="11" t="s">
        <v>1853</v>
      </c>
      <c r="J547" s="11" t="s">
        <v>1854</v>
      </c>
      <c r="K547" s="72" t="s">
        <v>9</v>
      </c>
      <c r="L547" s="11" t="s">
        <v>1182</v>
      </c>
      <c r="M547" s="11" t="s">
        <v>864</v>
      </c>
      <c r="N547" s="60" t="s">
        <v>98</v>
      </c>
      <c r="O547" s="49" t="s">
        <v>2</v>
      </c>
      <c r="P547" s="11">
        <v>4</v>
      </c>
      <c r="Q547" s="11" t="s">
        <v>1908</v>
      </c>
      <c r="R547" s="11" t="s">
        <v>1856</v>
      </c>
      <c r="S547" t="str">
        <f>IFERROR(HYPERLINK("#Main!A"&amp;MATCH(A547,Main!A:A,0),"Open"),HYPERLINK("#Main!A1","Open"))</f>
        <v>Open</v>
      </c>
      <c r="T547" t="str">
        <f>IFERROR(HYPERLINK("#Technical!A"&amp;MATCH(A547,Technical!A:A,0),"Open"),HYPERLINK("#Technical!A1","Open"))</f>
        <v>Open</v>
      </c>
    </row>
    <row r="548" spans="1:21" ht="30" customHeight="1" x14ac:dyDescent="0.25">
      <c r="A548" s="59" t="s">
        <v>433</v>
      </c>
      <c r="B548" s="8"/>
      <c r="C548" s="8"/>
      <c r="D548" s="8" t="s">
        <v>1411</v>
      </c>
      <c r="E548" s="64" t="s">
        <v>68</v>
      </c>
      <c r="F548" s="8" t="s">
        <v>1852</v>
      </c>
      <c r="G548" s="36">
        <v>37</v>
      </c>
      <c r="H548" s="8">
        <v>0</v>
      </c>
      <c r="I548" s="8" t="s">
        <v>1853</v>
      </c>
      <c r="J548" s="8" t="s">
        <v>1854</v>
      </c>
      <c r="K548" s="71" t="s">
        <v>9</v>
      </c>
      <c r="L548" s="8" t="s">
        <v>1182</v>
      </c>
      <c r="M548" s="8" t="s">
        <v>864</v>
      </c>
      <c r="N548" s="60" t="s">
        <v>98</v>
      </c>
      <c r="O548" s="49" t="s">
        <v>2</v>
      </c>
      <c r="P548" s="8">
        <v>4</v>
      </c>
      <c r="Q548" s="8" t="s">
        <v>1909</v>
      </c>
      <c r="R548" s="8" t="s">
        <v>1856</v>
      </c>
      <c r="S548" s="9" t="str">
        <f>IFERROR(HYPERLINK("#Main!A"&amp;MATCH(A548,Main!A:A,0),"Open"),HYPERLINK("#Main!A1","Open"))</f>
        <v>Open</v>
      </c>
      <c r="T548" s="9" t="str">
        <f>IFERROR(HYPERLINK("#Technical!A"&amp;MATCH(A548,Technical!A:A,0),"Open"),HYPERLINK("#Technical!A1","Open"))</f>
        <v>Open</v>
      </c>
      <c r="U548" s="9"/>
    </row>
    <row r="549" spans="1:21" ht="30" customHeight="1" x14ac:dyDescent="0.25">
      <c r="A549" s="58" t="s">
        <v>436</v>
      </c>
      <c r="B549" s="11">
        <v>23021</v>
      </c>
      <c r="C549" s="43" t="s">
        <v>1321</v>
      </c>
      <c r="D549" s="11" t="s">
        <v>1411</v>
      </c>
      <c r="E549" s="64" t="s">
        <v>68</v>
      </c>
      <c r="F549" s="11" t="s">
        <v>1847</v>
      </c>
      <c r="G549" s="10">
        <v>37</v>
      </c>
      <c r="H549" s="11">
        <v>4</v>
      </c>
      <c r="I549" s="11" t="s">
        <v>1848</v>
      </c>
      <c r="J549" s="11" t="s">
        <v>1849</v>
      </c>
      <c r="K549" s="72" t="s">
        <v>8</v>
      </c>
      <c r="L549" s="11" t="s">
        <v>1169</v>
      </c>
      <c r="M549" s="11" t="s">
        <v>864</v>
      </c>
      <c r="N549" s="60" t="s">
        <v>98</v>
      </c>
      <c r="O549" s="49" t="s">
        <v>2</v>
      </c>
      <c r="P549" s="11">
        <v>4</v>
      </c>
      <c r="Q549" s="11" t="s">
        <v>1910</v>
      </c>
      <c r="R549" s="11" t="s">
        <v>1851</v>
      </c>
      <c r="S549" t="str">
        <f>IFERROR(HYPERLINK("#Main!A"&amp;MATCH(A549,Main!A:A,0),"Open"),HYPERLINK("#Main!A1","Open"))</f>
        <v>Open</v>
      </c>
      <c r="T549" t="str">
        <f>IFERROR(HYPERLINK("#Technical!A"&amp;MATCH(A549,Technical!A:A,0),"Open"),HYPERLINK("#Technical!A1","Open"))</f>
        <v>Open</v>
      </c>
    </row>
    <row r="550" spans="1:21" ht="30" customHeight="1" x14ac:dyDescent="0.25">
      <c r="A550" s="59" t="s">
        <v>436</v>
      </c>
      <c r="B550" s="8">
        <v>23021</v>
      </c>
      <c r="C550" s="43" t="s">
        <v>1321</v>
      </c>
      <c r="D550" s="8" t="s">
        <v>1411</v>
      </c>
      <c r="E550" s="64" t="s">
        <v>68</v>
      </c>
      <c r="F550" s="8" t="s">
        <v>1852</v>
      </c>
      <c r="G550" s="36">
        <v>37</v>
      </c>
      <c r="H550" s="8">
        <v>0</v>
      </c>
      <c r="I550" s="8" t="s">
        <v>1853</v>
      </c>
      <c r="J550" s="8" t="s">
        <v>1854</v>
      </c>
      <c r="K550" s="71" t="s">
        <v>9</v>
      </c>
      <c r="L550" s="8" t="s">
        <v>1182</v>
      </c>
      <c r="M550" s="8" t="s">
        <v>864</v>
      </c>
      <c r="N550" s="60" t="s">
        <v>98</v>
      </c>
      <c r="O550" s="49" t="s">
        <v>2</v>
      </c>
      <c r="P550" s="8">
        <v>4</v>
      </c>
      <c r="Q550" s="8" t="s">
        <v>1911</v>
      </c>
      <c r="R550" s="8" t="s">
        <v>1856</v>
      </c>
      <c r="S550" s="9" t="str">
        <f>IFERROR(HYPERLINK("#Main!A"&amp;MATCH(A550,Main!A:A,0),"Open"),HYPERLINK("#Main!A1","Open"))</f>
        <v>Open</v>
      </c>
      <c r="T550" s="9" t="str">
        <f>IFERROR(HYPERLINK("#Technical!A"&amp;MATCH(A550,Technical!A:A,0),"Open"),HYPERLINK("#Technical!A1","Open"))</f>
        <v>Open</v>
      </c>
      <c r="U550" s="9"/>
    </row>
    <row r="551" spans="1:21" ht="30" customHeight="1" x14ac:dyDescent="0.25">
      <c r="A551" s="58" t="s">
        <v>444</v>
      </c>
      <c r="B551" s="11">
        <v>6816</v>
      </c>
      <c r="C551" s="43" t="s">
        <v>1239</v>
      </c>
      <c r="D551" s="11" t="s">
        <v>1411</v>
      </c>
      <c r="E551" s="64" t="s">
        <v>68</v>
      </c>
      <c r="F551" s="11" t="s">
        <v>1852</v>
      </c>
      <c r="G551" s="10">
        <v>37</v>
      </c>
      <c r="H551" s="11">
        <v>0</v>
      </c>
      <c r="I551" s="11" t="s">
        <v>1853</v>
      </c>
      <c r="J551" s="11" t="s">
        <v>1854</v>
      </c>
      <c r="K551" s="72" t="s">
        <v>9</v>
      </c>
      <c r="L551" s="11" t="s">
        <v>1182</v>
      </c>
      <c r="M551" s="11" t="s">
        <v>864</v>
      </c>
      <c r="N551" s="60" t="s">
        <v>98</v>
      </c>
      <c r="O551" s="49" t="s">
        <v>2</v>
      </c>
      <c r="P551" s="11">
        <v>4</v>
      </c>
      <c r="Q551" s="11" t="s">
        <v>1912</v>
      </c>
      <c r="R551" s="11" t="s">
        <v>1856</v>
      </c>
      <c r="S551" t="str">
        <f>IFERROR(HYPERLINK("#Main!A"&amp;MATCH(A551,Main!A:A,0),"Open"),HYPERLINK("#Main!A1","Open"))</f>
        <v>Open</v>
      </c>
      <c r="T551" t="str">
        <f>IFERROR(HYPERLINK("#Technical!A"&amp;MATCH(A551,Technical!A:A,0),"Open"),HYPERLINK("#Technical!A1","Open"))</f>
        <v>Open</v>
      </c>
    </row>
    <row r="552" spans="1:21" ht="30" customHeight="1" x14ac:dyDescent="0.25">
      <c r="A552" s="59" t="s">
        <v>449</v>
      </c>
      <c r="B552" s="8">
        <v>6822</v>
      </c>
      <c r="C552" s="43" t="s">
        <v>1324</v>
      </c>
      <c r="D552" s="8" t="s">
        <v>1411</v>
      </c>
      <c r="E552" s="64" t="s">
        <v>68</v>
      </c>
      <c r="F552" s="8" t="s">
        <v>1852</v>
      </c>
      <c r="G552" s="36">
        <v>37</v>
      </c>
      <c r="H552" s="8">
        <v>0</v>
      </c>
      <c r="I552" s="8" t="s">
        <v>1853</v>
      </c>
      <c r="J552" s="8" t="s">
        <v>1854</v>
      </c>
      <c r="K552" s="71" t="s">
        <v>9</v>
      </c>
      <c r="L552" s="8" t="s">
        <v>1182</v>
      </c>
      <c r="M552" s="8" t="s">
        <v>864</v>
      </c>
      <c r="N552" s="60" t="s">
        <v>98</v>
      </c>
      <c r="O552" s="49" t="s">
        <v>2</v>
      </c>
      <c r="P552" s="8">
        <v>4</v>
      </c>
      <c r="Q552" s="8" t="s">
        <v>1913</v>
      </c>
      <c r="R552" s="8" t="s">
        <v>1856</v>
      </c>
      <c r="S552" s="9" t="str">
        <f>IFERROR(HYPERLINK("#Main!A"&amp;MATCH(A552,Main!A:A,0),"Open"),HYPERLINK("#Main!A1","Open"))</f>
        <v>Open</v>
      </c>
      <c r="T552" s="9" t="str">
        <f>IFERROR(HYPERLINK("#Technical!A"&amp;MATCH(A552,Technical!A:A,0),"Open"),HYPERLINK("#Technical!A1","Open"))</f>
        <v>Open</v>
      </c>
      <c r="U552" s="9"/>
    </row>
    <row r="553" spans="1:21" ht="30" customHeight="1" x14ac:dyDescent="0.25">
      <c r="A553" s="58" t="s">
        <v>457</v>
      </c>
      <c r="B553" s="11">
        <v>6553</v>
      </c>
      <c r="C553" s="43" t="s">
        <v>1326</v>
      </c>
      <c r="D553" s="11" t="s">
        <v>1411</v>
      </c>
      <c r="E553" s="64" t="s">
        <v>68</v>
      </c>
      <c r="F553" s="11" t="s">
        <v>1852</v>
      </c>
      <c r="G553" s="10">
        <v>37</v>
      </c>
      <c r="H553" s="11">
        <v>0</v>
      </c>
      <c r="I553" s="11" t="s">
        <v>1853</v>
      </c>
      <c r="J553" s="11" t="s">
        <v>1854</v>
      </c>
      <c r="K553" s="72" t="s">
        <v>9</v>
      </c>
      <c r="L553" s="11" t="s">
        <v>1182</v>
      </c>
      <c r="M553" s="11" t="s">
        <v>864</v>
      </c>
      <c r="N553" s="60" t="s">
        <v>98</v>
      </c>
      <c r="O553" s="49" t="s">
        <v>2</v>
      </c>
      <c r="P553" s="11">
        <v>4</v>
      </c>
      <c r="Q553" s="11" t="s">
        <v>1914</v>
      </c>
      <c r="R553" s="11" t="s">
        <v>1856</v>
      </c>
      <c r="S553" t="str">
        <f>IFERROR(HYPERLINK("#Main!A"&amp;MATCH(A553,Main!A:A,0),"Open"),HYPERLINK("#Main!A1","Open"))</f>
        <v>Open</v>
      </c>
      <c r="T553" t="str">
        <f>IFERROR(HYPERLINK("#Technical!A"&amp;MATCH(A553,Technical!A:A,0),"Open"),HYPERLINK("#Technical!A1","Open"))</f>
        <v>Open</v>
      </c>
    </row>
    <row r="554" spans="1:21" ht="30" customHeight="1" x14ac:dyDescent="0.25">
      <c r="A554" s="59" t="s">
        <v>465</v>
      </c>
      <c r="B554" s="8">
        <v>4492</v>
      </c>
      <c r="C554" s="43" t="s">
        <v>1328</v>
      </c>
      <c r="D554" s="8" t="s">
        <v>1411</v>
      </c>
      <c r="E554" s="64" t="s">
        <v>68</v>
      </c>
      <c r="F554" s="8" t="s">
        <v>1852</v>
      </c>
      <c r="G554" s="36">
        <v>37</v>
      </c>
      <c r="H554" s="8">
        <v>0</v>
      </c>
      <c r="I554" s="8" t="s">
        <v>1853</v>
      </c>
      <c r="J554" s="8" t="s">
        <v>1854</v>
      </c>
      <c r="K554" s="71" t="s">
        <v>9</v>
      </c>
      <c r="L554" s="8" t="s">
        <v>1182</v>
      </c>
      <c r="M554" s="8" t="s">
        <v>864</v>
      </c>
      <c r="N554" s="60" t="s">
        <v>98</v>
      </c>
      <c r="O554" s="49" t="s">
        <v>2</v>
      </c>
      <c r="P554" s="8">
        <v>4</v>
      </c>
      <c r="Q554" s="8" t="s">
        <v>1915</v>
      </c>
      <c r="R554" s="8" t="s">
        <v>1856</v>
      </c>
      <c r="S554" s="9" t="str">
        <f>IFERROR(HYPERLINK("#Main!A"&amp;MATCH(A554,Main!A:A,0),"Open"),HYPERLINK("#Main!A1","Open"))</f>
        <v>Open</v>
      </c>
      <c r="T554" s="9" t="str">
        <f>IFERROR(HYPERLINK("#Technical!A"&amp;MATCH(A554,Technical!A:A,0),"Open"),HYPERLINK("#Technical!A1","Open"))</f>
        <v>Open</v>
      </c>
      <c r="U554" s="9"/>
    </row>
    <row r="555" spans="1:21" ht="30" customHeight="1" x14ac:dyDescent="0.25">
      <c r="A555" s="58" t="s">
        <v>473</v>
      </c>
      <c r="B555" s="11">
        <v>23001</v>
      </c>
      <c r="C555" s="43" t="s">
        <v>1330</v>
      </c>
      <c r="D555" s="11" t="s">
        <v>1411</v>
      </c>
      <c r="E555" s="64" t="s">
        <v>68</v>
      </c>
      <c r="F555" s="11" t="s">
        <v>1852</v>
      </c>
      <c r="G555" s="10">
        <v>37</v>
      </c>
      <c r="H555" s="11">
        <v>0</v>
      </c>
      <c r="I555" s="11" t="s">
        <v>1853</v>
      </c>
      <c r="J555" s="11" t="s">
        <v>1854</v>
      </c>
      <c r="K555" s="72" t="s">
        <v>9</v>
      </c>
      <c r="L555" s="11" t="s">
        <v>1182</v>
      </c>
      <c r="M555" s="11" t="s">
        <v>864</v>
      </c>
      <c r="N555" s="60" t="s">
        <v>98</v>
      </c>
      <c r="O555" s="49" t="s">
        <v>2</v>
      </c>
      <c r="P555" s="11">
        <v>4</v>
      </c>
      <c r="Q555" s="11" t="s">
        <v>1916</v>
      </c>
      <c r="R555" s="11" t="s">
        <v>1856</v>
      </c>
      <c r="S555" t="str">
        <f>IFERROR(HYPERLINK("#Main!A"&amp;MATCH(A555,Main!A:A,0),"Open"),HYPERLINK("#Main!A1","Open"))</f>
        <v>Open</v>
      </c>
      <c r="T555" t="str">
        <f>IFERROR(HYPERLINK("#Technical!A"&amp;MATCH(A555,Technical!A:A,0),"Open"),HYPERLINK("#Technical!A1","Open"))</f>
        <v>Open</v>
      </c>
    </row>
    <row r="556" spans="1:21" ht="30" customHeight="1" x14ac:dyDescent="0.25">
      <c r="A556" s="59" t="s">
        <v>481</v>
      </c>
      <c r="B556" s="8">
        <v>21952</v>
      </c>
      <c r="C556" s="43" t="s">
        <v>1332</v>
      </c>
      <c r="D556" s="8" t="s">
        <v>1411</v>
      </c>
      <c r="E556" s="64" t="s">
        <v>68</v>
      </c>
      <c r="F556" s="8" t="s">
        <v>1852</v>
      </c>
      <c r="G556" s="36">
        <v>37</v>
      </c>
      <c r="H556" s="8">
        <v>0</v>
      </c>
      <c r="I556" s="8" t="s">
        <v>1853</v>
      </c>
      <c r="J556" s="8" t="s">
        <v>1854</v>
      </c>
      <c r="K556" s="71" t="s">
        <v>9</v>
      </c>
      <c r="L556" s="8" t="s">
        <v>1182</v>
      </c>
      <c r="M556" s="8" t="s">
        <v>864</v>
      </c>
      <c r="N556" s="60" t="s">
        <v>98</v>
      </c>
      <c r="O556" s="49" t="s">
        <v>2</v>
      </c>
      <c r="P556" s="8">
        <v>4</v>
      </c>
      <c r="Q556" s="8" t="s">
        <v>1917</v>
      </c>
      <c r="R556" s="8" t="s">
        <v>1856</v>
      </c>
      <c r="S556" s="9" t="str">
        <f>IFERROR(HYPERLINK("#Main!A"&amp;MATCH(A556,Main!A:A,0),"Open"),HYPERLINK("#Main!A1","Open"))</f>
        <v>Open</v>
      </c>
      <c r="T556" s="9" t="str">
        <f>IFERROR(HYPERLINK("#Technical!A"&amp;MATCH(A556,Technical!A:A,0),"Open"),HYPERLINK("#Technical!A1","Open"))</f>
        <v>Open</v>
      </c>
      <c r="U556" s="9"/>
    </row>
    <row r="557" spans="1:21" ht="30" customHeight="1" x14ac:dyDescent="0.25">
      <c r="A557" s="58" t="s">
        <v>489</v>
      </c>
      <c r="B557" s="11">
        <v>22679</v>
      </c>
      <c r="C557" s="43" t="s">
        <v>1334</v>
      </c>
      <c r="D557" s="11" t="s">
        <v>1411</v>
      </c>
      <c r="E557" s="64" t="s">
        <v>68</v>
      </c>
      <c r="F557" s="11" t="s">
        <v>1852</v>
      </c>
      <c r="G557" s="10">
        <v>37</v>
      </c>
      <c r="H557" s="11">
        <v>0</v>
      </c>
      <c r="I557" s="11" t="s">
        <v>1853</v>
      </c>
      <c r="J557" s="11" t="s">
        <v>1854</v>
      </c>
      <c r="K557" s="72" t="s">
        <v>9</v>
      </c>
      <c r="L557" s="11" t="s">
        <v>1182</v>
      </c>
      <c r="M557" s="11" t="s">
        <v>864</v>
      </c>
      <c r="N557" s="60" t="s">
        <v>98</v>
      </c>
      <c r="O557" s="49" t="s">
        <v>2</v>
      </c>
      <c r="P557" s="11">
        <v>4</v>
      </c>
      <c r="Q557" s="11" t="s">
        <v>1918</v>
      </c>
      <c r="R557" s="11" t="s">
        <v>1856</v>
      </c>
      <c r="S557" t="str">
        <f>IFERROR(HYPERLINK("#Main!A"&amp;MATCH(A557,Main!A:A,0),"Open"),HYPERLINK("#Main!A1","Open"))</f>
        <v>Open</v>
      </c>
      <c r="T557" t="str">
        <f>IFERROR(HYPERLINK("#Technical!A"&amp;MATCH(A557,Technical!A:A,0),"Open"),HYPERLINK("#Technical!A1","Open"))</f>
        <v>Open</v>
      </c>
    </row>
    <row r="558" spans="1:21" ht="30" customHeight="1" x14ac:dyDescent="0.25">
      <c r="A558" s="59" t="s">
        <v>497</v>
      </c>
      <c r="B558" s="8">
        <v>32554</v>
      </c>
      <c r="C558" s="43" t="s">
        <v>1336</v>
      </c>
      <c r="D558" s="8" t="s">
        <v>1411</v>
      </c>
      <c r="E558" s="64" t="s">
        <v>68</v>
      </c>
      <c r="F558" s="8" t="s">
        <v>1847</v>
      </c>
      <c r="G558" s="36">
        <v>37</v>
      </c>
      <c r="H558" s="8">
        <v>3</v>
      </c>
      <c r="I558" s="8" t="s">
        <v>1848</v>
      </c>
      <c r="J558" s="8" t="s">
        <v>1849</v>
      </c>
      <c r="K558" s="71" t="s">
        <v>8</v>
      </c>
      <c r="L558" s="8" t="s">
        <v>1169</v>
      </c>
      <c r="M558" s="8" t="s">
        <v>864</v>
      </c>
      <c r="N558" s="60" t="s">
        <v>98</v>
      </c>
      <c r="O558" s="49" t="s">
        <v>2</v>
      </c>
      <c r="P558" s="8">
        <v>4</v>
      </c>
      <c r="Q558" s="8" t="s">
        <v>1919</v>
      </c>
      <c r="R558" s="8" t="s">
        <v>1851</v>
      </c>
      <c r="S558" s="9" t="str">
        <f>IFERROR(HYPERLINK("#Main!A"&amp;MATCH(A558,Main!A:A,0),"Open"),HYPERLINK("#Main!A1","Open"))</f>
        <v>Open</v>
      </c>
      <c r="T558" s="9" t="str">
        <f>IFERROR(HYPERLINK("#Technical!A"&amp;MATCH(A558,Technical!A:A,0),"Open"),HYPERLINK("#Technical!A1","Open"))</f>
        <v>Open</v>
      </c>
      <c r="U558" s="9"/>
    </row>
    <row r="559" spans="1:21" ht="30" customHeight="1" x14ac:dyDescent="0.25">
      <c r="A559" s="58" t="s">
        <v>497</v>
      </c>
      <c r="B559" s="11">
        <v>32554</v>
      </c>
      <c r="C559" s="43" t="s">
        <v>1336</v>
      </c>
      <c r="D559" s="11" t="s">
        <v>1411</v>
      </c>
      <c r="E559" s="64" t="s">
        <v>68</v>
      </c>
      <c r="F559" s="11" t="s">
        <v>1852</v>
      </c>
      <c r="G559" s="10">
        <v>37</v>
      </c>
      <c r="H559" s="11">
        <v>0</v>
      </c>
      <c r="I559" s="11" t="s">
        <v>1853</v>
      </c>
      <c r="J559" s="11" t="s">
        <v>1854</v>
      </c>
      <c r="K559" s="72" t="s">
        <v>9</v>
      </c>
      <c r="L559" s="11" t="s">
        <v>1182</v>
      </c>
      <c r="M559" s="11" t="s">
        <v>864</v>
      </c>
      <c r="N559" s="60" t="s">
        <v>98</v>
      </c>
      <c r="O559" s="49" t="s">
        <v>2</v>
      </c>
      <c r="P559" s="11">
        <v>4</v>
      </c>
      <c r="Q559" s="11" t="s">
        <v>1920</v>
      </c>
      <c r="R559" s="11" t="s">
        <v>1856</v>
      </c>
      <c r="S559" t="str">
        <f>IFERROR(HYPERLINK("#Main!A"&amp;MATCH(A559,Main!A:A,0),"Open"),HYPERLINK("#Main!A1","Open"))</f>
        <v>Open</v>
      </c>
      <c r="T559" t="str">
        <f>IFERROR(HYPERLINK("#Technical!A"&amp;MATCH(A559,Technical!A:A,0),"Open"),HYPERLINK("#Technical!A1","Open"))</f>
        <v>Open</v>
      </c>
    </row>
    <row r="560" spans="1:21" ht="30" customHeight="1" x14ac:dyDescent="0.25">
      <c r="A560" s="59" t="s">
        <v>505</v>
      </c>
      <c r="B560" s="8">
        <v>34552</v>
      </c>
      <c r="C560" s="43" t="s">
        <v>1338</v>
      </c>
      <c r="D560" s="8" t="s">
        <v>1411</v>
      </c>
      <c r="E560" s="64" t="s">
        <v>68</v>
      </c>
      <c r="F560" s="8" t="s">
        <v>1847</v>
      </c>
      <c r="G560" s="36">
        <v>37</v>
      </c>
      <c r="H560" s="8">
        <v>3</v>
      </c>
      <c r="I560" s="8" t="s">
        <v>1848</v>
      </c>
      <c r="J560" s="8" t="s">
        <v>1849</v>
      </c>
      <c r="K560" s="71" t="s">
        <v>8</v>
      </c>
      <c r="L560" s="8" t="s">
        <v>1169</v>
      </c>
      <c r="M560" s="8" t="s">
        <v>864</v>
      </c>
      <c r="N560" s="60" t="s">
        <v>98</v>
      </c>
      <c r="O560" s="49" t="s">
        <v>2</v>
      </c>
      <c r="P560" s="8">
        <v>4</v>
      </c>
      <c r="Q560" s="8" t="s">
        <v>1921</v>
      </c>
      <c r="R560" s="8" t="s">
        <v>1851</v>
      </c>
      <c r="S560" s="9" t="str">
        <f>IFERROR(HYPERLINK("#Main!A"&amp;MATCH(A560,Main!A:A,0),"Open"),HYPERLINK("#Main!A1","Open"))</f>
        <v>Open</v>
      </c>
      <c r="T560" s="9" t="str">
        <f>IFERROR(HYPERLINK("#Technical!A"&amp;MATCH(A560,Technical!A:A,0),"Open"),HYPERLINK("#Technical!A1","Open"))</f>
        <v>Open</v>
      </c>
      <c r="U560" s="9"/>
    </row>
    <row r="561" spans="1:21" ht="30" customHeight="1" x14ac:dyDescent="0.25">
      <c r="A561" s="58" t="s">
        <v>505</v>
      </c>
      <c r="B561" s="11">
        <v>34552</v>
      </c>
      <c r="C561" s="43" t="s">
        <v>1338</v>
      </c>
      <c r="D561" s="11" t="s">
        <v>1411</v>
      </c>
      <c r="E561" s="64" t="s">
        <v>68</v>
      </c>
      <c r="F561" s="11" t="s">
        <v>1852</v>
      </c>
      <c r="G561" s="10">
        <v>37</v>
      </c>
      <c r="H561" s="11">
        <v>0</v>
      </c>
      <c r="I561" s="11" t="s">
        <v>1853</v>
      </c>
      <c r="J561" s="11" t="s">
        <v>1854</v>
      </c>
      <c r="K561" s="72" t="s">
        <v>9</v>
      </c>
      <c r="L561" s="11" t="s">
        <v>1182</v>
      </c>
      <c r="M561" s="11" t="s">
        <v>864</v>
      </c>
      <c r="N561" s="60" t="s">
        <v>98</v>
      </c>
      <c r="O561" s="49" t="s">
        <v>2</v>
      </c>
      <c r="P561" s="11">
        <v>4</v>
      </c>
      <c r="Q561" s="11" t="s">
        <v>1922</v>
      </c>
      <c r="R561" s="11" t="s">
        <v>1856</v>
      </c>
      <c r="S561" t="str">
        <f>IFERROR(HYPERLINK("#Main!A"&amp;MATCH(A561,Main!A:A,0),"Open"),HYPERLINK("#Main!A1","Open"))</f>
        <v>Open</v>
      </c>
      <c r="T561" t="str">
        <f>IFERROR(HYPERLINK("#Technical!A"&amp;MATCH(A561,Technical!A:A,0),"Open"),HYPERLINK("#Technical!A1","Open"))</f>
        <v>Open</v>
      </c>
    </row>
    <row r="562" spans="1:21" ht="30" customHeight="1" x14ac:dyDescent="0.25">
      <c r="A562" s="59" t="s">
        <v>512</v>
      </c>
      <c r="B562" s="8">
        <v>34622</v>
      </c>
      <c r="C562" s="43" t="s">
        <v>1340</v>
      </c>
      <c r="D562" s="8" t="s">
        <v>1411</v>
      </c>
      <c r="E562" s="64" t="s">
        <v>68</v>
      </c>
      <c r="F562" s="8" t="s">
        <v>1847</v>
      </c>
      <c r="G562" s="36">
        <v>37</v>
      </c>
      <c r="H562" s="8">
        <v>3</v>
      </c>
      <c r="I562" s="8" t="s">
        <v>1848</v>
      </c>
      <c r="J562" s="8" t="s">
        <v>1849</v>
      </c>
      <c r="K562" s="71" t="s">
        <v>8</v>
      </c>
      <c r="L562" s="8" t="s">
        <v>1169</v>
      </c>
      <c r="M562" s="8" t="s">
        <v>864</v>
      </c>
      <c r="N562" s="60" t="s">
        <v>98</v>
      </c>
      <c r="O562" s="49" t="s">
        <v>2</v>
      </c>
      <c r="P562" s="8">
        <v>4</v>
      </c>
      <c r="Q562" s="8" t="s">
        <v>1923</v>
      </c>
      <c r="R562" s="8" t="s">
        <v>1851</v>
      </c>
      <c r="S562" s="9" t="str">
        <f>IFERROR(HYPERLINK("#Main!A"&amp;MATCH(A562,Main!A:A,0),"Open"),HYPERLINK("#Main!A1","Open"))</f>
        <v>Open</v>
      </c>
      <c r="T562" s="9" t="str">
        <f>IFERROR(HYPERLINK("#Technical!A"&amp;MATCH(A562,Technical!A:A,0),"Open"),HYPERLINK("#Technical!A1","Open"))</f>
        <v>Open</v>
      </c>
      <c r="U562" s="9"/>
    </row>
    <row r="563" spans="1:21" ht="30" customHeight="1" x14ac:dyDescent="0.25">
      <c r="A563" s="58" t="s">
        <v>512</v>
      </c>
      <c r="B563" s="11">
        <v>34622</v>
      </c>
      <c r="C563" s="43" t="s">
        <v>1340</v>
      </c>
      <c r="D563" s="11" t="s">
        <v>1411</v>
      </c>
      <c r="E563" s="64" t="s">
        <v>68</v>
      </c>
      <c r="F563" s="11" t="s">
        <v>1852</v>
      </c>
      <c r="G563" s="10">
        <v>37</v>
      </c>
      <c r="H563" s="11">
        <v>0</v>
      </c>
      <c r="I563" s="11" t="s">
        <v>1853</v>
      </c>
      <c r="J563" s="11" t="s">
        <v>1854</v>
      </c>
      <c r="K563" s="72" t="s">
        <v>9</v>
      </c>
      <c r="L563" s="11" t="s">
        <v>1182</v>
      </c>
      <c r="M563" s="11" t="s">
        <v>864</v>
      </c>
      <c r="N563" s="60" t="s">
        <v>98</v>
      </c>
      <c r="O563" s="49" t="s">
        <v>2</v>
      </c>
      <c r="P563" s="11">
        <v>4</v>
      </c>
      <c r="Q563" s="11" t="s">
        <v>1924</v>
      </c>
      <c r="R563" s="11" t="s">
        <v>1856</v>
      </c>
      <c r="S563" t="str">
        <f>IFERROR(HYPERLINK("#Main!A"&amp;MATCH(A563,Main!A:A,0),"Open"),HYPERLINK("#Main!A1","Open"))</f>
        <v>Open</v>
      </c>
      <c r="T563" t="str">
        <f>IFERROR(HYPERLINK("#Technical!A"&amp;MATCH(A563,Technical!A:A,0),"Open"),HYPERLINK("#Technical!A1","Open"))</f>
        <v>Open</v>
      </c>
    </row>
    <row r="564" spans="1:21" ht="30" customHeight="1" x14ac:dyDescent="0.25">
      <c r="A564" s="59" t="s">
        <v>519</v>
      </c>
      <c r="B564" s="8">
        <v>28742</v>
      </c>
      <c r="C564" s="43" t="s">
        <v>1342</v>
      </c>
      <c r="D564" s="8" t="s">
        <v>1411</v>
      </c>
      <c r="E564" s="64" t="s">
        <v>68</v>
      </c>
      <c r="F564" s="8" t="s">
        <v>1852</v>
      </c>
      <c r="G564" s="36">
        <v>37</v>
      </c>
      <c r="H564" s="8">
        <v>0</v>
      </c>
      <c r="I564" s="8" t="s">
        <v>1853</v>
      </c>
      <c r="J564" s="8" t="s">
        <v>1854</v>
      </c>
      <c r="K564" s="71" t="s">
        <v>9</v>
      </c>
      <c r="L564" s="8" t="s">
        <v>1182</v>
      </c>
      <c r="M564" s="8" t="s">
        <v>864</v>
      </c>
      <c r="N564" s="60" t="s">
        <v>98</v>
      </c>
      <c r="O564" s="49" t="s">
        <v>2</v>
      </c>
      <c r="P564" s="8">
        <v>4</v>
      </c>
      <c r="Q564" s="8" t="s">
        <v>1925</v>
      </c>
      <c r="R564" s="8" t="s">
        <v>1856</v>
      </c>
      <c r="S564" s="9" t="str">
        <f>IFERROR(HYPERLINK("#Main!A"&amp;MATCH(A564,Main!A:A,0),"Open"),HYPERLINK("#Main!A1","Open"))</f>
        <v>Open</v>
      </c>
      <c r="T564" s="9" t="str">
        <f>IFERROR(HYPERLINK("#Technical!A"&amp;MATCH(A564,Technical!A:A,0),"Open"),HYPERLINK("#Technical!A1","Open"))</f>
        <v>Open</v>
      </c>
      <c r="U564" s="9"/>
    </row>
    <row r="565" spans="1:21" ht="30" customHeight="1" x14ac:dyDescent="0.25">
      <c r="A565" s="58" t="s">
        <v>527</v>
      </c>
      <c r="B565" s="11">
        <v>20001</v>
      </c>
      <c r="C565" s="43" t="s">
        <v>1344</v>
      </c>
      <c r="D565" s="11" t="s">
        <v>1411</v>
      </c>
      <c r="E565" s="64" t="s">
        <v>68</v>
      </c>
      <c r="F565" s="11" t="s">
        <v>1852</v>
      </c>
      <c r="G565" s="10">
        <v>37</v>
      </c>
      <c r="H565" s="11">
        <v>0</v>
      </c>
      <c r="I565" s="11" t="s">
        <v>1853</v>
      </c>
      <c r="J565" s="11" t="s">
        <v>1854</v>
      </c>
      <c r="K565" s="72" t="s">
        <v>9</v>
      </c>
      <c r="L565" s="11" t="s">
        <v>1182</v>
      </c>
      <c r="M565" s="11" t="s">
        <v>864</v>
      </c>
      <c r="N565" s="60" t="s">
        <v>98</v>
      </c>
      <c r="O565" s="49" t="s">
        <v>2</v>
      </c>
      <c r="P565" s="11">
        <v>4</v>
      </c>
      <c r="Q565" s="11" t="s">
        <v>1926</v>
      </c>
      <c r="R565" s="11" t="s">
        <v>1856</v>
      </c>
      <c r="S565" t="str">
        <f>IFERROR(HYPERLINK("#Main!A"&amp;MATCH(A565,Main!A:A,0),"Open"),HYPERLINK("#Main!A1","Open"))</f>
        <v>Open</v>
      </c>
      <c r="T565" t="str">
        <f>IFERROR(HYPERLINK("#Technical!A"&amp;MATCH(A565,Technical!A:A,0),"Open"),HYPERLINK("#Technical!A1","Open"))</f>
        <v>Open</v>
      </c>
    </row>
    <row r="566" spans="1:21" ht="30" customHeight="1" x14ac:dyDescent="0.25">
      <c r="A566" s="59" t="s">
        <v>535</v>
      </c>
      <c r="B566" s="8">
        <v>19980</v>
      </c>
      <c r="C566" s="43" t="s">
        <v>1346</v>
      </c>
      <c r="D566" s="8" t="s">
        <v>1411</v>
      </c>
      <c r="E566" s="64" t="s">
        <v>68</v>
      </c>
      <c r="F566" s="8" t="s">
        <v>1852</v>
      </c>
      <c r="G566" s="36">
        <v>37</v>
      </c>
      <c r="H566" s="8">
        <v>0</v>
      </c>
      <c r="I566" s="8" t="s">
        <v>1853</v>
      </c>
      <c r="J566" s="8" t="s">
        <v>1854</v>
      </c>
      <c r="K566" s="71" t="s">
        <v>9</v>
      </c>
      <c r="L566" s="8" t="s">
        <v>1182</v>
      </c>
      <c r="M566" s="8" t="s">
        <v>864</v>
      </c>
      <c r="N566" s="60" t="s">
        <v>98</v>
      </c>
      <c r="O566" s="49" t="s">
        <v>2</v>
      </c>
      <c r="P566" s="8">
        <v>4</v>
      </c>
      <c r="Q566" s="8" t="s">
        <v>1927</v>
      </c>
      <c r="R566" s="8" t="s">
        <v>1856</v>
      </c>
      <c r="S566" s="9" t="str">
        <f>IFERROR(HYPERLINK("#Main!A"&amp;MATCH(A566,Main!A:A,0),"Open"),HYPERLINK("#Main!A1","Open"))</f>
        <v>Open</v>
      </c>
      <c r="T566" s="9" t="str">
        <f>IFERROR(HYPERLINK("#Technical!A"&amp;MATCH(A566,Technical!A:A,0),"Open"),HYPERLINK("#Technical!A1","Open"))</f>
        <v>Open</v>
      </c>
      <c r="U566" s="9"/>
    </row>
    <row r="567" spans="1:21" ht="30" customHeight="1" x14ac:dyDescent="0.25">
      <c r="A567" s="58" t="s">
        <v>543</v>
      </c>
      <c r="B567" s="11">
        <v>10823</v>
      </c>
      <c r="C567" s="43" t="s">
        <v>1348</v>
      </c>
      <c r="D567" s="11" t="s">
        <v>1411</v>
      </c>
      <c r="E567" s="64" t="s">
        <v>68</v>
      </c>
      <c r="F567" s="11" t="s">
        <v>1852</v>
      </c>
      <c r="G567" s="10">
        <v>37</v>
      </c>
      <c r="H567" s="11">
        <v>0</v>
      </c>
      <c r="I567" s="11" t="s">
        <v>1853</v>
      </c>
      <c r="J567" s="11" t="s">
        <v>1854</v>
      </c>
      <c r="K567" s="72" t="s">
        <v>9</v>
      </c>
      <c r="L567" s="11" t="s">
        <v>1182</v>
      </c>
      <c r="M567" s="11" t="s">
        <v>864</v>
      </c>
      <c r="N567" s="60" t="s">
        <v>98</v>
      </c>
      <c r="O567" s="49" t="s">
        <v>2</v>
      </c>
      <c r="P567" s="11">
        <v>4</v>
      </c>
      <c r="Q567" s="11" t="s">
        <v>1928</v>
      </c>
      <c r="R567" s="11" t="s">
        <v>1856</v>
      </c>
      <c r="S567" t="str">
        <f>IFERROR(HYPERLINK("#Main!A"&amp;MATCH(A567,Main!A:A,0),"Open"),HYPERLINK("#Main!A1","Open"))</f>
        <v>Open</v>
      </c>
      <c r="T567" t="str">
        <f>IFERROR(HYPERLINK("#Technical!A"&amp;MATCH(A567,Technical!A:A,0),"Open"),HYPERLINK("#Technical!A1","Open"))</f>
        <v>Open</v>
      </c>
    </row>
    <row r="568" spans="1:21" ht="30" customHeight="1" x14ac:dyDescent="0.25">
      <c r="A568" s="59" t="s">
        <v>551</v>
      </c>
      <c r="B568" s="8">
        <v>9075</v>
      </c>
      <c r="C568" s="43" t="s">
        <v>1350</v>
      </c>
      <c r="D568" s="8" t="s">
        <v>1411</v>
      </c>
      <c r="E568" s="64" t="s">
        <v>68</v>
      </c>
      <c r="F568" s="8" t="s">
        <v>1852</v>
      </c>
      <c r="G568" s="36">
        <v>37</v>
      </c>
      <c r="H568" s="8">
        <v>0</v>
      </c>
      <c r="I568" s="8" t="s">
        <v>1853</v>
      </c>
      <c r="J568" s="8" t="s">
        <v>1854</v>
      </c>
      <c r="K568" s="71" t="s">
        <v>9</v>
      </c>
      <c r="L568" s="8" t="s">
        <v>1182</v>
      </c>
      <c r="M568" s="8" t="s">
        <v>864</v>
      </c>
      <c r="N568" s="60" t="s">
        <v>98</v>
      </c>
      <c r="O568" s="49" t="s">
        <v>2</v>
      </c>
      <c r="P568" s="8">
        <v>4</v>
      </c>
      <c r="Q568" s="8" t="s">
        <v>1929</v>
      </c>
      <c r="R568" s="8" t="s">
        <v>1856</v>
      </c>
      <c r="S568" s="9" t="str">
        <f>IFERROR(HYPERLINK("#Main!A"&amp;MATCH(A568,Main!A:A,0),"Open"),HYPERLINK("#Main!A1","Open"))</f>
        <v>Open</v>
      </c>
      <c r="T568" s="9" t="str">
        <f>IFERROR(HYPERLINK("#Technical!A"&amp;MATCH(A568,Technical!A:A,0),"Open"),HYPERLINK("#Technical!A1","Open"))</f>
        <v>Open</v>
      </c>
      <c r="U568" s="9"/>
    </row>
    <row r="569" spans="1:21" ht="30" customHeight="1" x14ac:dyDescent="0.25">
      <c r="A569" s="58" t="s">
        <v>559</v>
      </c>
      <c r="B569" s="11">
        <v>17908</v>
      </c>
      <c r="C569" s="43" t="s">
        <v>1352</v>
      </c>
      <c r="D569" s="11" t="s">
        <v>1411</v>
      </c>
      <c r="E569" s="64" t="s">
        <v>68</v>
      </c>
      <c r="F569" s="11" t="s">
        <v>1852</v>
      </c>
      <c r="G569" s="10">
        <v>37</v>
      </c>
      <c r="H569" s="11">
        <v>0</v>
      </c>
      <c r="I569" s="11" t="s">
        <v>1853</v>
      </c>
      <c r="J569" s="11" t="s">
        <v>1854</v>
      </c>
      <c r="K569" s="72" t="s">
        <v>9</v>
      </c>
      <c r="L569" s="11" t="s">
        <v>1182</v>
      </c>
      <c r="M569" s="11" t="s">
        <v>864</v>
      </c>
      <c r="N569" s="60" t="s">
        <v>98</v>
      </c>
      <c r="O569" s="49" t="s">
        <v>2</v>
      </c>
      <c r="P569" s="11">
        <v>4</v>
      </c>
      <c r="Q569" s="11" t="s">
        <v>1930</v>
      </c>
      <c r="R569" s="11" t="s">
        <v>1856</v>
      </c>
      <c r="S569" t="str">
        <f>IFERROR(HYPERLINK("#Main!A"&amp;MATCH(A569,Main!A:A,0),"Open"),HYPERLINK("#Main!A1","Open"))</f>
        <v>Open</v>
      </c>
      <c r="T569" t="str">
        <f>IFERROR(HYPERLINK("#Technical!A"&amp;MATCH(A569,Technical!A:A,0),"Open"),HYPERLINK("#Technical!A1","Open"))</f>
        <v>Open</v>
      </c>
    </row>
    <row r="570" spans="1:21" ht="30" customHeight="1" x14ac:dyDescent="0.25">
      <c r="A570" s="59" t="s">
        <v>566</v>
      </c>
      <c r="B570" s="8">
        <v>24640</v>
      </c>
      <c r="C570" s="43" t="s">
        <v>1354</v>
      </c>
      <c r="D570" s="8" t="s">
        <v>1411</v>
      </c>
      <c r="E570" s="64" t="s">
        <v>68</v>
      </c>
      <c r="F570" s="8" t="s">
        <v>1852</v>
      </c>
      <c r="G570" s="36">
        <v>37</v>
      </c>
      <c r="H570" s="8">
        <v>0</v>
      </c>
      <c r="I570" s="8" t="s">
        <v>1853</v>
      </c>
      <c r="J570" s="8" t="s">
        <v>1854</v>
      </c>
      <c r="K570" s="71" t="s">
        <v>9</v>
      </c>
      <c r="L570" s="8" t="s">
        <v>1182</v>
      </c>
      <c r="M570" s="8" t="s">
        <v>864</v>
      </c>
      <c r="N570" s="60" t="s">
        <v>98</v>
      </c>
      <c r="O570" s="49" t="s">
        <v>2</v>
      </c>
      <c r="P570" s="8">
        <v>4</v>
      </c>
      <c r="Q570" s="8" t="s">
        <v>1931</v>
      </c>
      <c r="R570" s="8" t="s">
        <v>1856</v>
      </c>
      <c r="S570" s="9" t="str">
        <f>IFERROR(HYPERLINK("#Main!A"&amp;MATCH(A570,Main!A:A,0),"Open"),HYPERLINK("#Main!A1","Open"))</f>
        <v>Open</v>
      </c>
      <c r="T570" s="9" t="str">
        <f>IFERROR(HYPERLINK("#Technical!A"&amp;MATCH(A570,Technical!A:A,0),"Open"),HYPERLINK("#Technical!A1","Open"))</f>
        <v>Open</v>
      </c>
      <c r="U570" s="9"/>
    </row>
    <row r="571" spans="1:21" ht="30" customHeight="1" x14ac:dyDescent="0.25">
      <c r="A571" s="58" t="s">
        <v>574</v>
      </c>
      <c r="B571" s="11">
        <v>16472</v>
      </c>
      <c r="C571" s="43" t="s">
        <v>1356</v>
      </c>
      <c r="D571" s="11" t="s">
        <v>1411</v>
      </c>
      <c r="E571" s="64" t="s">
        <v>68</v>
      </c>
      <c r="F571" s="11" t="s">
        <v>1852</v>
      </c>
      <c r="G571" s="10">
        <v>37</v>
      </c>
      <c r="H571" s="11">
        <v>0</v>
      </c>
      <c r="I571" s="11" t="s">
        <v>1853</v>
      </c>
      <c r="J571" s="11" t="s">
        <v>1854</v>
      </c>
      <c r="K571" s="72" t="s">
        <v>9</v>
      </c>
      <c r="L571" s="11" t="s">
        <v>1182</v>
      </c>
      <c r="M571" s="11" t="s">
        <v>864</v>
      </c>
      <c r="N571" s="60" t="s">
        <v>98</v>
      </c>
      <c r="O571" s="49" t="s">
        <v>2</v>
      </c>
      <c r="P571" s="11">
        <v>4</v>
      </c>
      <c r="Q571" s="11" t="s">
        <v>1932</v>
      </c>
      <c r="R571" s="11" t="s">
        <v>1856</v>
      </c>
      <c r="S571" t="str">
        <f>IFERROR(HYPERLINK("#Main!A"&amp;MATCH(A571,Main!A:A,0),"Open"),HYPERLINK("#Main!A1","Open"))</f>
        <v>Open</v>
      </c>
      <c r="T571" t="str">
        <f>IFERROR(HYPERLINK("#Technical!A"&amp;MATCH(A571,Technical!A:A,0),"Open"),HYPERLINK("#Technical!A1","Open"))</f>
        <v>Open</v>
      </c>
    </row>
    <row r="572" spans="1:21" ht="30" customHeight="1" x14ac:dyDescent="0.25">
      <c r="A572" s="59" t="s">
        <v>582</v>
      </c>
      <c r="B572" s="8">
        <v>92</v>
      </c>
      <c r="C572" s="43" t="s">
        <v>1358</v>
      </c>
      <c r="D572" s="8" t="s">
        <v>1411</v>
      </c>
      <c r="E572" s="64" t="s">
        <v>68</v>
      </c>
      <c r="F572" s="8" t="s">
        <v>1847</v>
      </c>
      <c r="G572" s="36">
        <v>37</v>
      </c>
      <c r="H572" s="8">
        <v>2</v>
      </c>
      <c r="I572" s="8" t="s">
        <v>1848</v>
      </c>
      <c r="J572" s="8" t="s">
        <v>1849</v>
      </c>
      <c r="K572" s="71" t="s">
        <v>8</v>
      </c>
      <c r="L572" s="8" t="s">
        <v>1169</v>
      </c>
      <c r="M572" s="8" t="s">
        <v>864</v>
      </c>
      <c r="N572" s="60" t="s">
        <v>98</v>
      </c>
      <c r="O572" s="49" t="s">
        <v>2</v>
      </c>
      <c r="P572" s="8">
        <v>4</v>
      </c>
      <c r="Q572" s="8" t="s">
        <v>1933</v>
      </c>
      <c r="R572" s="8" t="s">
        <v>1851</v>
      </c>
      <c r="S572" s="9" t="str">
        <f>IFERROR(HYPERLINK("#Main!A"&amp;MATCH(A572,Main!A:A,0),"Open"),HYPERLINK("#Main!A1","Open"))</f>
        <v>Open</v>
      </c>
      <c r="T572" s="9" t="str">
        <f>IFERROR(HYPERLINK("#Technical!A"&amp;MATCH(A572,Technical!A:A,0),"Open"),HYPERLINK("#Technical!A1","Open"))</f>
        <v>Open</v>
      </c>
      <c r="U572" s="9"/>
    </row>
    <row r="573" spans="1:21" ht="30" customHeight="1" x14ac:dyDescent="0.25">
      <c r="A573" s="58" t="s">
        <v>582</v>
      </c>
      <c r="B573" s="11">
        <v>92</v>
      </c>
      <c r="C573" s="43" t="s">
        <v>1358</v>
      </c>
      <c r="D573" s="11" t="s">
        <v>1411</v>
      </c>
      <c r="E573" s="64" t="s">
        <v>68</v>
      </c>
      <c r="F573" s="11" t="s">
        <v>1852</v>
      </c>
      <c r="G573" s="10">
        <v>37</v>
      </c>
      <c r="H573" s="11">
        <v>0</v>
      </c>
      <c r="I573" s="11" t="s">
        <v>1853</v>
      </c>
      <c r="J573" s="11" t="s">
        <v>1854</v>
      </c>
      <c r="K573" s="72" t="s">
        <v>9</v>
      </c>
      <c r="L573" s="11" t="s">
        <v>1182</v>
      </c>
      <c r="M573" s="11" t="s">
        <v>864</v>
      </c>
      <c r="N573" s="60" t="s">
        <v>98</v>
      </c>
      <c r="O573" s="49" t="s">
        <v>2</v>
      </c>
      <c r="P573" s="11">
        <v>4</v>
      </c>
      <c r="Q573" s="11" t="s">
        <v>1934</v>
      </c>
      <c r="R573" s="11" t="s">
        <v>1856</v>
      </c>
      <c r="S573" t="str">
        <f>IFERROR(HYPERLINK("#Main!A"&amp;MATCH(A573,Main!A:A,0),"Open"),HYPERLINK("#Main!A1","Open"))</f>
        <v>Open</v>
      </c>
      <c r="T573" t="str">
        <f>IFERROR(HYPERLINK("#Technical!A"&amp;MATCH(A573,Technical!A:A,0),"Open"),HYPERLINK("#Technical!A1","Open"))</f>
        <v>Open</v>
      </c>
    </row>
    <row r="574" spans="1:21" ht="30" customHeight="1" x14ac:dyDescent="0.25">
      <c r="A574" s="59" t="s">
        <v>590</v>
      </c>
      <c r="B574" s="8">
        <v>18478</v>
      </c>
      <c r="C574" s="43" t="s">
        <v>1360</v>
      </c>
      <c r="D574" s="8" t="s">
        <v>1411</v>
      </c>
      <c r="E574" s="64" t="s">
        <v>68</v>
      </c>
      <c r="F574" s="8" t="s">
        <v>1852</v>
      </c>
      <c r="G574" s="36">
        <v>37</v>
      </c>
      <c r="H574" s="8">
        <v>0</v>
      </c>
      <c r="I574" s="8" t="s">
        <v>1853</v>
      </c>
      <c r="J574" s="8" t="s">
        <v>1854</v>
      </c>
      <c r="K574" s="71" t="s">
        <v>9</v>
      </c>
      <c r="L574" s="8" t="s">
        <v>1182</v>
      </c>
      <c r="M574" s="8" t="s">
        <v>864</v>
      </c>
      <c r="N574" s="60" t="s">
        <v>98</v>
      </c>
      <c r="O574" s="49" t="s">
        <v>2</v>
      </c>
      <c r="P574" s="8">
        <v>4</v>
      </c>
      <c r="Q574" s="8" t="s">
        <v>1935</v>
      </c>
      <c r="R574" s="8" t="s">
        <v>1856</v>
      </c>
      <c r="S574" s="9" t="str">
        <f>IFERROR(HYPERLINK("#Main!A"&amp;MATCH(A574,Main!A:A,0),"Open"),HYPERLINK("#Main!A1","Open"))</f>
        <v>Open</v>
      </c>
      <c r="T574" s="9" t="str">
        <f>IFERROR(HYPERLINK("#Technical!A"&amp;MATCH(A574,Technical!A:A,0),"Open"),HYPERLINK("#Technical!A1","Open"))</f>
        <v>Open</v>
      </c>
      <c r="U574" s="9"/>
    </row>
    <row r="575" spans="1:21" ht="30" customHeight="1" x14ac:dyDescent="0.25">
      <c r="A575" s="58" t="s">
        <v>598</v>
      </c>
      <c r="B575" s="11">
        <v>19172</v>
      </c>
      <c r="C575" s="43" t="s">
        <v>1362</v>
      </c>
      <c r="D575" s="11" t="s">
        <v>1411</v>
      </c>
      <c r="E575" s="64" t="s">
        <v>68</v>
      </c>
      <c r="F575" s="11" t="s">
        <v>1852</v>
      </c>
      <c r="G575" s="10">
        <v>37</v>
      </c>
      <c r="H575" s="11">
        <v>0</v>
      </c>
      <c r="I575" s="11" t="s">
        <v>1853</v>
      </c>
      <c r="J575" s="11" t="s">
        <v>1854</v>
      </c>
      <c r="K575" s="72" t="s">
        <v>9</v>
      </c>
      <c r="L575" s="11" t="s">
        <v>1182</v>
      </c>
      <c r="M575" s="11" t="s">
        <v>864</v>
      </c>
      <c r="N575" s="60" t="s">
        <v>98</v>
      </c>
      <c r="O575" s="49" t="s">
        <v>2</v>
      </c>
      <c r="P575" s="11">
        <v>4</v>
      </c>
      <c r="Q575" s="11" t="s">
        <v>1936</v>
      </c>
      <c r="R575" s="11" t="s">
        <v>1856</v>
      </c>
      <c r="S575" t="str">
        <f>IFERROR(HYPERLINK("#Main!A"&amp;MATCH(A575,Main!A:A,0),"Open"),HYPERLINK("#Main!A1","Open"))</f>
        <v>Open</v>
      </c>
      <c r="T575" t="str">
        <f>IFERROR(HYPERLINK("#Technical!A"&amp;MATCH(A575,Technical!A:A,0),"Open"),HYPERLINK("#Technical!A1","Open"))</f>
        <v>Open</v>
      </c>
    </row>
    <row r="576" spans="1:21" ht="30" customHeight="1" x14ac:dyDescent="0.25">
      <c r="A576" s="59" t="s">
        <v>606</v>
      </c>
      <c r="B576" s="8">
        <v>88</v>
      </c>
      <c r="C576" s="43" t="s">
        <v>1364</v>
      </c>
      <c r="D576" s="8" t="s">
        <v>1411</v>
      </c>
      <c r="E576" s="64" t="s">
        <v>68</v>
      </c>
      <c r="F576" s="8" t="s">
        <v>1852</v>
      </c>
      <c r="G576" s="36">
        <v>37</v>
      </c>
      <c r="H576" s="8">
        <v>0</v>
      </c>
      <c r="I576" s="8" t="s">
        <v>1853</v>
      </c>
      <c r="J576" s="8" t="s">
        <v>1854</v>
      </c>
      <c r="K576" s="71" t="s">
        <v>9</v>
      </c>
      <c r="L576" s="8" t="s">
        <v>1182</v>
      </c>
      <c r="M576" s="8" t="s">
        <v>864</v>
      </c>
      <c r="N576" s="60" t="s">
        <v>98</v>
      </c>
      <c r="O576" s="49" t="s">
        <v>2</v>
      </c>
      <c r="P576" s="8">
        <v>4</v>
      </c>
      <c r="Q576" s="8" t="s">
        <v>1937</v>
      </c>
      <c r="R576" s="8" t="s">
        <v>1856</v>
      </c>
      <c r="S576" s="9" t="str">
        <f>IFERROR(HYPERLINK("#Main!A"&amp;MATCH(A576,Main!A:A,0),"Open"),HYPERLINK("#Main!A1","Open"))</f>
        <v>Open</v>
      </c>
      <c r="T576" s="9" t="str">
        <f>IFERROR(HYPERLINK("#Technical!A"&amp;MATCH(A576,Technical!A:A,0),"Open"),HYPERLINK("#Technical!A1","Open"))</f>
        <v>Open</v>
      </c>
      <c r="U576" s="9"/>
    </row>
    <row r="577" spans="1:21" ht="30" customHeight="1" x14ac:dyDescent="0.25">
      <c r="A577" s="58" t="s">
        <v>614</v>
      </c>
      <c r="B577" s="11">
        <v>16548</v>
      </c>
      <c r="C577" s="43" t="s">
        <v>1366</v>
      </c>
      <c r="D577" s="11" t="s">
        <v>1411</v>
      </c>
      <c r="E577" s="64" t="s">
        <v>68</v>
      </c>
      <c r="F577" s="11" t="s">
        <v>1852</v>
      </c>
      <c r="G577" s="10">
        <v>37</v>
      </c>
      <c r="H577" s="11">
        <v>0</v>
      </c>
      <c r="I577" s="11" t="s">
        <v>1853</v>
      </c>
      <c r="J577" s="11" t="s">
        <v>1854</v>
      </c>
      <c r="K577" s="72" t="s">
        <v>9</v>
      </c>
      <c r="L577" s="11" t="s">
        <v>1182</v>
      </c>
      <c r="M577" s="11" t="s">
        <v>864</v>
      </c>
      <c r="N577" s="60" t="s">
        <v>98</v>
      </c>
      <c r="O577" s="49" t="s">
        <v>2</v>
      </c>
      <c r="P577" s="11">
        <v>4</v>
      </c>
      <c r="Q577" s="11" t="s">
        <v>1938</v>
      </c>
      <c r="R577" s="11" t="s">
        <v>1856</v>
      </c>
      <c r="S577" t="str">
        <f>IFERROR(HYPERLINK("#Main!A"&amp;MATCH(A577,Main!A:A,0),"Open"),HYPERLINK("#Main!A1","Open"))</f>
        <v>Open</v>
      </c>
      <c r="T577" t="str">
        <f>IFERROR(HYPERLINK("#Technical!A"&amp;MATCH(A577,Technical!A:A,0),"Open"),HYPERLINK("#Technical!A1","Open"))</f>
        <v>Open</v>
      </c>
    </row>
    <row r="578" spans="1:21" ht="30" customHeight="1" x14ac:dyDescent="0.25">
      <c r="A578" s="59" t="s">
        <v>622</v>
      </c>
      <c r="B578" s="8">
        <v>20341</v>
      </c>
      <c r="C578" s="43" t="s">
        <v>1241</v>
      </c>
      <c r="D578" s="8" t="s">
        <v>1411</v>
      </c>
      <c r="E578" s="64" t="s">
        <v>68</v>
      </c>
      <c r="F578" s="8" t="s">
        <v>1852</v>
      </c>
      <c r="G578" s="36">
        <v>37</v>
      </c>
      <c r="H578" s="8">
        <v>0</v>
      </c>
      <c r="I578" s="8" t="s">
        <v>1853</v>
      </c>
      <c r="J578" s="8" t="s">
        <v>1854</v>
      </c>
      <c r="K578" s="71" t="s">
        <v>9</v>
      </c>
      <c r="L578" s="8" t="s">
        <v>1182</v>
      </c>
      <c r="M578" s="8" t="s">
        <v>864</v>
      </c>
      <c r="N578" s="60" t="s">
        <v>98</v>
      </c>
      <c r="O578" s="49" t="s">
        <v>2</v>
      </c>
      <c r="P578" s="8">
        <v>4</v>
      </c>
      <c r="Q578" s="8" t="s">
        <v>1939</v>
      </c>
      <c r="R578" s="8" t="s">
        <v>1856</v>
      </c>
      <c r="S578" s="9" t="str">
        <f>IFERROR(HYPERLINK("#Main!A"&amp;MATCH(A578,Main!A:A,0),"Open"),HYPERLINK("#Main!A1","Open"))</f>
        <v>Open</v>
      </c>
      <c r="T578" s="9" t="str">
        <f>IFERROR(HYPERLINK("#Technical!A"&amp;MATCH(A578,Technical!A:A,0),"Open"),HYPERLINK("#Technical!A1","Open"))</f>
        <v>Open</v>
      </c>
      <c r="U578" s="9"/>
    </row>
    <row r="579" spans="1:21" ht="30" customHeight="1" x14ac:dyDescent="0.25">
      <c r="A579" s="58" t="s">
        <v>627</v>
      </c>
      <c r="B579" s="11">
        <v>31820</v>
      </c>
      <c r="C579" s="43" t="s">
        <v>1369</v>
      </c>
      <c r="D579" s="11" t="s">
        <v>1411</v>
      </c>
      <c r="E579" s="64" t="s">
        <v>68</v>
      </c>
      <c r="F579" s="11" t="s">
        <v>1852</v>
      </c>
      <c r="G579" s="10">
        <v>37</v>
      </c>
      <c r="H579" s="11">
        <v>0</v>
      </c>
      <c r="I579" s="11" t="s">
        <v>1853</v>
      </c>
      <c r="J579" s="11" t="s">
        <v>1854</v>
      </c>
      <c r="K579" s="72" t="s">
        <v>9</v>
      </c>
      <c r="L579" s="11" t="s">
        <v>1182</v>
      </c>
      <c r="M579" s="11" t="s">
        <v>864</v>
      </c>
      <c r="N579" s="60" t="s">
        <v>98</v>
      </c>
      <c r="O579" s="49" t="s">
        <v>2</v>
      </c>
      <c r="P579" s="11">
        <v>4</v>
      </c>
      <c r="Q579" s="11" t="s">
        <v>1940</v>
      </c>
      <c r="R579" s="11" t="s">
        <v>1856</v>
      </c>
      <c r="S579" t="str">
        <f>IFERROR(HYPERLINK("#Main!A"&amp;MATCH(A579,Main!A:A,0),"Open"),HYPERLINK("#Main!A1","Open"))</f>
        <v>Open</v>
      </c>
      <c r="T579" t="str">
        <f>IFERROR(HYPERLINK("#Technical!A"&amp;MATCH(A579,Technical!A:A,0),"Open"),HYPERLINK("#Technical!A1","Open"))</f>
        <v>Open</v>
      </c>
    </row>
    <row r="580" spans="1:21" ht="30" customHeight="1" x14ac:dyDescent="0.25">
      <c r="A580" s="59" t="s">
        <v>635</v>
      </c>
      <c r="B580" s="8">
        <v>5597</v>
      </c>
      <c r="C580" s="43" t="s">
        <v>1371</v>
      </c>
      <c r="D580" s="8" t="s">
        <v>1411</v>
      </c>
      <c r="E580" s="64" t="s">
        <v>68</v>
      </c>
      <c r="F580" s="8" t="s">
        <v>1852</v>
      </c>
      <c r="G580" s="36">
        <v>37</v>
      </c>
      <c r="H580" s="8">
        <v>0</v>
      </c>
      <c r="I580" s="8" t="s">
        <v>1853</v>
      </c>
      <c r="J580" s="8" t="s">
        <v>1854</v>
      </c>
      <c r="K580" s="71" t="s">
        <v>9</v>
      </c>
      <c r="L580" s="8" t="s">
        <v>1182</v>
      </c>
      <c r="M580" s="8" t="s">
        <v>864</v>
      </c>
      <c r="N580" s="60" t="s">
        <v>98</v>
      </c>
      <c r="O580" s="49" t="s">
        <v>2</v>
      </c>
      <c r="P580" s="8">
        <v>4</v>
      </c>
      <c r="Q580" s="8" t="s">
        <v>1941</v>
      </c>
      <c r="R580" s="8" t="s">
        <v>1856</v>
      </c>
      <c r="S580" s="9" t="str">
        <f>IFERROR(HYPERLINK("#Main!A"&amp;MATCH(A580,Main!A:A,0),"Open"),HYPERLINK("#Main!A1","Open"))</f>
        <v>Open</v>
      </c>
      <c r="T580" s="9" t="str">
        <f>IFERROR(HYPERLINK("#Technical!A"&amp;MATCH(A580,Technical!A:A,0),"Open"),HYPERLINK("#Technical!A1","Open"))</f>
        <v>Open</v>
      </c>
      <c r="U580" s="9"/>
    </row>
    <row r="581" spans="1:21" ht="30" customHeight="1" x14ac:dyDescent="0.25">
      <c r="A581" s="58" t="s">
        <v>642</v>
      </c>
      <c r="B581" s="11">
        <v>33050</v>
      </c>
      <c r="C581" s="43" t="s">
        <v>1373</v>
      </c>
      <c r="D581" s="11" t="s">
        <v>1411</v>
      </c>
      <c r="E581" s="64" t="s">
        <v>68</v>
      </c>
      <c r="F581" s="11" t="s">
        <v>1852</v>
      </c>
      <c r="G581" s="10">
        <v>37</v>
      </c>
      <c r="H581" s="11">
        <v>0</v>
      </c>
      <c r="I581" s="11" t="s">
        <v>1853</v>
      </c>
      <c r="J581" s="11" t="s">
        <v>1854</v>
      </c>
      <c r="K581" s="72" t="s">
        <v>9</v>
      </c>
      <c r="L581" s="11" t="s">
        <v>1182</v>
      </c>
      <c r="M581" s="11" t="s">
        <v>864</v>
      </c>
      <c r="N581" s="60" t="s">
        <v>98</v>
      </c>
      <c r="O581" s="49" t="s">
        <v>2</v>
      </c>
      <c r="P581" s="11">
        <v>4</v>
      </c>
      <c r="Q581" s="11" t="s">
        <v>1942</v>
      </c>
      <c r="R581" s="11" t="s">
        <v>1856</v>
      </c>
      <c r="S581" t="str">
        <f>IFERROR(HYPERLINK("#Main!A"&amp;MATCH(A581,Main!A:A,0),"Open"),HYPERLINK("#Main!A1","Open"))</f>
        <v>Open</v>
      </c>
      <c r="T581" t="str">
        <f>IFERROR(HYPERLINK("#Technical!A"&amp;MATCH(A581,Technical!A:A,0),"Open"),HYPERLINK("#Technical!A1","Open"))</f>
        <v>Open</v>
      </c>
    </row>
    <row r="582" spans="1:21" ht="30" customHeight="1" x14ac:dyDescent="0.25">
      <c r="A582" s="59" t="s">
        <v>650</v>
      </c>
      <c r="B582" s="8">
        <v>86</v>
      </c>
      <c r="C582" s="43" t="s">
        <v>1375</v>
      </c>
      <c r="D582" s="8" t="s">
        <v>1411</v>
      </c>
      <c r="E582" s="64" t="s">
        <v>68</v>
      </c>
      <c r="F582" s="8" t="s">
        <v>1852</v>
      </c>
      <c r="G582" s="36">
        <v>37</v>
      </c>
      <c r="H582" s="8">
        <v>0</v>
      </c>
      <c r="I582" s="8" t="s">
        <v>1853</v>
      </c>
      <c r="J582" s="8" t="s">
        <v>1854</v>
      </c>
      <c r="K582" s="71" t="s">
        <v>9</v>
      </c>
      <c r="L582" s="8" t="s">
        <v>1182</v>
      </c>
      <c r="M582" s="8" t="s">
        <v>864</v>
      </c>
      <c r="N582" s="60" t="s">
        <v>98</v>
      </c>
      <c r="O582" s="49" t="s">
        <v>2</v>
      </c>
      <c r="P582" s="8">
        <v>4</v>
      </c>
      <c r="Q582" s="8" t="s">
        <v>1943</v>
      </c>
      <c r="R582" s="8" t="s">
        <v>1856</v>
      </c>
      <c r="S582" s="9" t="str">
        <f>IFERROR(HYPERLINK("#Main!A"&amp;MATCH(A582,Main!A:A,0),"Open"),HYPERLINK("#Main!A1","Open"))</f>
        <v>Open</v>
      </c>
      <c r="T582" s="9" t="str">
        <f>IFERROR(HYPERLINK("#Technical!A"&amp;MATCH(A582,Technical!A:A,0),"Open"),HYPERLINK("#Technical!A1","Open"))</f>
        <v>Open</v>
      </c>
      <c r="U582" s="9"/>
    </row>
    <row r="583" spans="1:21" ht="30" customHeight="1" x14ac:dyDescent="0.25">
      <c r="A583" s="58" t="s">
        <v>658</v>
      </c>
      <c r="B583" s="11">
        <v>2196</v>
      </c>
      <c r="C583" s="43" t="s">
        <v>1377</v>
      </c>
      <c r="D583" s="11" t="s">
        <v>1411</v>
      </c>
      <c r="E583" s="64" t="s">
        <v>68</v>
      </c>
      <c r="F583" s="11" t="s">
        <v>1852</v>
      </c>
      <c r="G583" s="10">
        <v>37</v>
      </c>
      <c r="H583" s="11">
        <v>0</v>
      </c>
      <c r="I583" s="11" t="s">
        <v>1853</v>
      </c>
      <c r="J583" s="11" t="s">
        <v>1854</v>
      </c>
      <c r="K583" s="72" t="s">
        <v>9</v>
      </c>
      <c r="L583" s="11" t="s">
        <v>1182</v>
      </c>
      <c r="M583" s="11" t="s">
        <v>864</v>
      </c>
      <c r="N583" s="60" t="s">
        <v>98</v>
      </c>
      <c r="O583" s="49" t="s">
        <v>2</v>
      </c>
      <c r="P583" s="11">
        <v>4</v>
      </c>
      <c r="Q583" s="11" t="s">
        <v>1944</v>
      </c>
      <c r="R583" s="11" t="s">
        <v>1856</v>
      </c>
      <c r="S583" t="str">
        <f>IFERROR(HYPERLINK("#Main!A"&amp;MATCH(A583,Main!A:A,0),"Open"),HYPERLINK("#Main!A1","Open"))</f>
        <v>Open</v>
      </c>
      <c r="T583" t="str">
        <f>IFERROR(HYPERLINK("#Technical!A"&amp;MATCH(A583,Technical!A:A,0),"Open"),HYPERLINK("#Technical!A1","Open"))</f>
        <v>Open</v>
      </c>
    </row>
    <row r="584" spans="1:21" ht="30" customHeight="1" x14ac:dyDescent="0.25">
      <c r="A584" s="59" t="s">
        <v>666</v>
      </c>
      <c r="B584" s="8">
        <v>3</v>
      </c>
      <c r="C584" s="43" t="s">
        <v>1379</v>
      </c>
      <c r="D584" s="8" t="s">
        <v>1411</v>
      </c>
      <c r="E584" s="64" t="s">
        <v>68</v>
      </c>
      <c r="F584" s="8" t="s">
        <v>1847</v>
      </c>
      <c r="G584" s="36">
        <v>37</v>
      </c>
      <c r="H584" s="8">
        <v>2</v>
      </c>
      <c r="I584" s="8" t="s">
        <v>1848</v>
      </c>
      <c r="J584" s="8" t="s">
        <v>1849</v>
      </c>
      <c r="K584" s="71" t="s">
        <v>8</v>
      </c>
      <c r="L584" s="8" t="s">
        <v>1169</v>
      </c>
      <c r="M584" s="8" t="s">
        <v>864</v>
      </c>
      <c r="N584" s="60" t="s">
        <v>98</v>
      </c>
      <c r="O584" s="49" t="s">
        <v>2</v>
      </c>
      <c r="P584" s="8">
        <v>4</v>
      </c>
      <c r="Q584" s="8" t="s">
        <v>1945</v>
      </c>
      <c r="R584" s="8" t="s">
        <v>1851</v>
      </c>
      <c r="S584" s="9" t="str">
        <f>IFERROR(HYPERLINK("#Main!A"&amp;MATCH(A584,Main!A:A,0),"Open"),HYPERLINK("#Main!A1","Open"))</f>
        <v>Open</v>
      </c>
      <c r="T584" s="9" t="str">
        <f>IFERROR(HYPERLINK("#Technical!A"&amp;MATCH(A584,Technical!A:A,0),"Open"),HYPERLINK("#Technical!A1","Open"))</f>
        <v>Open</v>
      </c>
      <c r="U584" s="9"/>
    </row>
    <row r="585" spans="1:21" ht="30" customHeight="1" x14ac:dyDescent="0.25">
      <c r="A585" s="58" t="s">
        <v>666</v>
      </c>
      <c r="B585" s="11">
        <v>3</v>
      </c>
      <c r="C585" s="43" t="s">
        <v>1379</v>
      </c>
      <c r="D585" s="11" t="s">
        <v>1411</v>
      </c>
      <c r="E585" s="64" t="s">
        <v>68</v>
      </c>
      <c r="F585" s="11" t="s">
        <v>1852</v>
      </c>
      <c r="G585" s="10">
        <v>37</v>
      </c>
      <c r="H585" s="11">
        <v>0</v>
      </c>
      <c r="I585" s="11" t="s">
        <v>1853</v>
      </c>
      <c r="J585" s="11" t="s">
        <v>1854</v>
      </c>
      <c r="K585" s="72" t="s">
        <v>9</v>
      </c>
      <c r="L585" s="11" t="s">
        <v>1182</v>
      </c>
      <c r="M585" s="11" t="s">
        <v>864</v>
      </c>
      <c r="N585" s="60" t="s">
        <v>98</v>
      </c>
      <c r="O585" s="49" t="s">
        <v>2</v>
      </c>
      <c r="P585" s="11">
        <v>4</v>
      </c>
      <c r="Q585" s="11" t="s">
        <v>1946</v>
      </c>
      <c r="R585" s="11" t="s">
        <v>1856</v>
      </c>
      <c r="S585" t="str">
        <f>IFERROR(HYPERLINK("#Main!A"&amp;MATCH(A585,Main!A:A,0),"Open"),HYPERLINK("#Main!A1","Open"))</f>
        <v>Open</v>
      </c>
      <c r="T585" t="str">
        <f>IFERROR(HYPERLINK("#Technical!A"&amp;MATCH(A585,Technical!A:A,0),"Open"),HYPERLINK("#Technical!A1","Open"))</f>
        <v>Open</v>
      </c>
    </row>
    <row r="586" spans="1:21" ht="30" customHeight="1" x14ac:dyDescent="0.25">
      <c r="A586" s="59" t="s">
        <v>674</v>
      </c>
      <c r="B586" s="8">
        <v>9047</v>
      </c>
      <c r="C586" s="43" t="s">
        <v>1381</v>
      </c>
      <c r="D586" s="8" t="s">
        <v>1411</v>
      </c>
      <c r="E586" s="64" t="s">
        <v>68</v>
      </c>
      <c r="F586" s="8" t="s">
        <v>1852</v>
      </c>
      <c r="G586" s="36">
        <v>37</v>
      </c>
      <c r="H586" s="8">
        <v>0</v>
      </c>
      <c r="I586" s="8" t="s">
        <v>1853</v>
      </c>
      <c r="J586" s="8" t="s">
        <v>1854</v>
      </c>
      <c r="K586" s="71" t="s">
        <v>9</v>
      </c>
      <c r="L586" s="8" t="s">
        <v>1182</v>
      </c>
      <c r="M586" s="8" t="s">
        <v>864</v>
      </c>
      <c r="N586" s="60" t="s">
        <v>98</v>
      </c>
      <c r="O586" s="49" t="s">
        <v>2</v>
      </c>
      <c r="P586" s="8">
        <v>4</v>
      </c>
      <c r="Q586" s="8" t="s">
        <v>1947</v>
      </c>
      <c r="R586" s="8" t="s">
        <v>1856</v>
      </c>
      <c r="S586" s="9" t="str">
        <f>IFERROR(HYPERLINK("#Main!A"&amp;MATCH(A586,Main!A:A,0),"Open"),HYPERLINK("#Main!A1","Open"))</f>
        <v>Open</v>
      </c>
      <c r="T586" s="9" t="str">
        <f>IFERROR(HYPERLINK("#Technical!A"&amp;MATCH(A586,Technical!A:A,0),"Open"),HYPERLINK("#Technical!A1","Open"))</f>
        <v>Open</v>
      </c>
      <c r="U586" s="9"/>
    </row>
    <row r="587" spans="1:21" ht="30" customHeight="1" x14ac:dyDescent="0.25">
      <c r="A587" s="58" t="s">
        <v>682</v>
      </c>
      <c r="B587" s="11">
        <v>3686</v>
      </c>
      <c r="C587" s="43" t="s">
        <v>1383</v>
      </c>
      <c r="D587" s="11" t="s">
        <v>1411</v>
      </c>
      <c r="E587" s="64" t="s">
        <v>68</v>
      </c>
      <c r="F587" s="11" t="s">
        <v>1852</v>
      </c>
      <c r="G587" s="10">
        <v>37</v>
      </c>
      <c r="H587" s="11">
        <v>0</v>
      </c>
      <c r="I587" s="11" t="s">
        <v>1853</v>
      </c>
      <c r="J587" s="11" t="s">
        <v>1854</v>
      </c>
      <c r="K587" s="72" t="s">
        <v>9</v>
      </c>
      <c r="L587" s="11" t="s">
        <v>1182</v>
      </c>
      <c r="M587" s="11" t="s">
        <v>864</v>
      </c>
      <c r="N587" s="60" t="s">
        <v>98</v>
      </c>
      <c r="O587" s="49" t="s">
        <v>2</v>
      </c>
      <c r="P587" s="11">
        <v>4</v>
      </c>
      <c r="Q587" s="11" t="s">
        <v>1948</v>
      </c>
      <c r="R587" s="11" t="s">
        <v>1856</v>
      </c>
      <c r="S587" t="str">
        <f>IFERROR(HYPERLINK("#Main!A"&amp;MATCH(A587,Main!A:A,0),"Open"),HYPERLINK("#Main!A1","Open"))</f>
        <v>Open</v>
      </c>
      <c r="T587" t="str">
        <f>IFERROR(HYPERLINK("#Technical!A"&amp;MATCH(A587,Technical!A:A,0),"Open"),HYPERLINK("#Technical!A1","Open"))</f>
        <v>Open</v>
      </c>
    </row>
    <row r="588" spans="1:21" ht="30" customHeight="1" x14ac:dyDescent="0.25">
      <c r="A588" s="59" t="s">
        <v>690</v>
      </c>
      <c r="B588" s="8">
        <v>21962</v>
      </c>
      <c r="C588" s="43" t="s">
        <v>1385</v>
      </c>
      <c r="D588" s="8" t="s">
        <v>1411</v>
      </c>
      <c r="E588" s="64" t="s">
        <v>68</v>
      </c>
      <c r="F588" s="8" t="s">
        <v>1847</v>
      </c>
      <c r="G588" s="36">
        <v>37</v>
      </c>
      <c r="H588" s="8">
        <v>9</v>
      </c>
      <c r="I588" s="8" t="s">
        <v>1848</v>
      </c>
      <c r="J588" s="8" t="s">
        <v>1849</v>
      </c>
      <c r="K588" s="71" t="s">
        <v>8</v>
      </c>
      <c r="L588" s="8" t="s">
        <v>1169</v>
      </c>
      <c r="M588" s="8" t="s">
        <v>864</v>
      </c>
      <c r="N588" s="60" t="s">
        <v>98</v>
      </c>
      <c r="O588" s="49" t="s">
        <v>2</v>
      </c>
      <c r="P588" s="8">
        <v>4</v>
      </c>
      <c r="Q588" s="8" t="s">
        <v>1949</v>
      </c>
      <c r="R588" s="8" t="s">
        <v>1851</v>
      </c>
      <c r="S588" s="9" t="str">
        <f>IFERROR(HYPERLINK("#Main!A"&amp;MATCH(A588,Main!A:A,0),"Open"),HYPERLINK("#Main!A1","Open"))</f>
        <v>Open</v>
      </c>
      <c r="T588" s="9" t="str">
        <f>IFERROR(HYPERLINK("#Technical!A"&amp;MATCH(A588,Technical!A:A,0),"Open"),HYPERLINK("#Technical!A1","Open"))</f>
        <v>Open</v>
      </c>
      <c r="U588" s="9"/>
    </row>
    <row r="589" spans="1:21" ht="30" customHeight="1" x14ac:dyDescent="0.25">
      <c r="A589" s="58" t="s">
        <v>690</v>
      </c>
      <c r="B589" s="11">
        <v>21962</v>
      </c>
      <c r="C589" s="43" t="s">
        <v>1385</v>
      </c>
      <c r="D589" s="11" t="s">
        <v>1411</v>
      </c>
      <c r="E589" s="64" t="s">
        <v>68</v>
      </c>
      <c r="F589" s="11" t="s">
        <v>1852</v>
      </c>
      <c r="G589" s="10">
        <v>37</v>
      </c>
      <c r="H589" s="11">
        <v>0</v>
      </c>
      <c r="I589" s="11" t="s">
        <v>1853</v>
      </c>
      <c r="J589" s="11" t="s">
        <v>1854</v>
      </c>
      <c r="K589" s="72" t="s">
        <v>9</v>
      </c>
      <c r="L589" s="11" t="s">
        <v>1182</v>
      </c>
      <c r="M589" s="11" t="s">
        <v>864</v>
      </c>
      <c r="N589" s="60" t="s">
        <v>98</v>
      </c>
      <c r="O589" s="49" t="s">
        <v>2</v>
      </c>
      <c r="P589" s="11">
        <v>4</v>
      </c>
      <c r="Q589" s="11" t="s">
        <v>1950</v>
      </c>
      <c r="R589" s="11" t="s">
        <v>1856</v>
      </c>
      <c r="S589" t="str">
        <f>IFERROR(HYPERLINK("#Main!A"&amp;MATCH(A589,Main!A:A,0),"Open"),HYPERLINK("#Main!A1","Open"))</f>
        <v>Open</v>
      </c>
      <c r="T589" t="str">
        <f>IFERROR(HYPERLINK("#Technical!A"&amp;MATCH(A589,Technical!A:A,0),"Open"),HYPERLINK("#Technical!A1","Open"))</f>
        <v>Open</v>
      </c>
    </row>
    <row r="590" spans="1:21" ht="30" customHeight="1" x14ac:dyDescent="0.25">
      <c r="A590" s="59" t="s">
        <v>698</v>
      </c>
      <c r="B590" s="8">
        <v>3252</v>
      </c>
      <c r="C590" s="43" t="s">
        <v>1387</v>
      </c>
      <c r="D590" s="8" t="s">
        <v>1411</v>
      </c>
      <c r="E590" s="64" t="s">
        <v>68</v>
      </c>
      <c r="F590" s="8" t="s">
        <v>1852</v>
      </c>
      <c r="G590" s="36">
        <v>37</v>
      </c>
      <c r="H590" s="8">
        <v>0</v>
      </c>
      <c r="I590" s="8" t="s">
        <v>1853</v>
      </c>
      <c r="J590" s="8" t="s">
        <v>1854</v>
      </c>
      <c r="K590" s="71" t="s">
        <v>9</v>
      </c>
      <c r="L590" s="8" t="s">
        <v>1182</v>
      </c>
      <c r="M590" s="8" t="s">
        <v>864</v>
      </c>
      <c r="N590" s="60" t="s">
        <v>98</v>
      </c>
      <c r="O590" s="49" t="s">
        <v>2</v>
      </c>
      <c r="P590" s="8">
        <v>4</v>
      </c>
      <c r="Q590" s="8" t="s">
        <v>1951</v>
      </c>
      <c r="R590" s="8" t="s">
        <v>1856</v>
      </c>
      <c r="S590" s="9" t="str">
        <f>IFERROR(HYPERLINK("#Main!A"&amp;MATCH(A590,Main!A:A,0),"Open"),HYPERLINK("#Main!A1","Open"))</f>
        <v>Open</v>
      </c>
      <c r="T590" s="9" t="str">
        <f>IFERROR(HYPERLINK("#Technical!A"&amp;MATCH(A590,Technical!A:A,0),"Open"),HYPERLINK("#Technical!A1","Open"))</f>
        <v>Open</v>
      </c>
      <c r="U590" s="9"/>
    </row>
    <row r="591" spans="1:21" ht="30" customHeight="1" x14ac:dyDescent="0.25">
      <c r="A591" s="58" t="s">
        <v>704</v>
      </c>
      <c r="B591" s="11">
        <v>3634</v>
      </c>
      <c r="C591" s="43" t="s">
        <v>1389</v>
      </c>
      <c r="D591" s="11" t="s">
        <v>1411</v>
      </c>
      <c r="E591" s="64" t="s">
        <v>68</v>
      </c>
      <c r="F591" s="11" t="s">
        <v>1852</v>
      </c>
      <c r="G591" s="10">
        <v>37</v>
      </c>
      <c r="H591" s="11">
        <v>0</v>
      </c>
      <c r="I591" s="11" t="s">
        <v>1853</v>
      </c>
      <c r="J591" s="11" t="s">
        <v>1854</v>
      </c>
      <c r="K591" s="72" t="s">
        <v>9</v>
      </c>
      <c r="L591" s="11" t="s">
        <v>1182</v>
      </c>
      <c r="M591" s="11" t="s">
        <v>864</v>
      </c>
      <c r="N591" s="60" t="s">
        <v>98</v>
      </c>
      <c r="O591" s="49" t="s">
        <v>2</v>
      </c>
      <c r="P591" s="11">
        <v>4</v>
      </c>
      <c r="Q591" s="11" t="s">
        <v>1952</v>
      </c>
      <c r="R591" s="11" t="s">
        <v>1856</v>
      </c>
      <c r="S591" t="str">
        <f>IFERROR(HYPERLINK("#Main!A"&amp;MATCH(A591,Main!A:A,0),"Open"),HYPERLINK("#Main!A1","Open"))</f>
        <v>Open</v>
      </c>
      <c r="T591" t="str">
        <f>IFERROR(HYPERLINK("#Technical!A"&amp;MATCH(A591,Technical!A:A,0),"Open"),HYPERLINK("#Technical!A1","Open"))</f>
        <v>Open</v>
      </c>
    </row>
    <row r="592" spans="1:21" ht="30" customHeight="1" x14ac:dyDescent="0.25">
      <c r="A592" s="59" t="s">
        <v>712</v>
      </c>
      <c r="B592" s="8">
        <v>7781</v>
      </c>
      <c r="C592" s="43" t="s">
        <v>1391</v>
      </c>
      <c r="D592" s="8" t="s">
        <v>1411</v>
      </c>
      <c r="E592" s="64" t="s">
        <v>68</v>
      </c>
      <c r="F592" s="8" t="s">
        <v>1852</v>
      </c>
      <c r="G592" s="36">
        <v>37</v>
      </c>
      <c r="H592" s="8">
        <v>0</v>
      </c>
      <c r="I592" s="8" t="s">
        <v>1853</v>
      </c>
      <c r="J592" s="8" t="s">
        <v>1854</v>
      </c>
      <c r="K592" s="71" t="s">
        <v>9</v>
      </c>
      <c r="L592" s="8" t="s">
        <v>1182</v>
      </c>
      <c r="M592" s="8" t="s">
        <v>864</v>
      </c>
      <c r="N592" s="60" t="s">
        <v>98</v>
      </c>
      <c r="O592" s="49" t="s">
        <v>2</v>
      </c>
      <c r="P592" s="8">
        <v>4</v>
      </c>
      <c r="Q592" s="8" t="s">
        <v>1953</v>
      </c>
      <c r="R592" s="8" t="s">
        <v>1856</v>
      </c>
      <c r="S592" s="9" t="str">
        <f>IFERROR(HYPERLINK("#Main!A"&amp;MATCH(A592,Main!A:A,0),"Open"),HYPERLINK("#Main!A1","Open"))</f>
        <v>Open</v>
      </c>
      <c r="T592" s="9" t="str">
        <f>IFERROR(HYPERLINK("#Technical!A"&amp;MATCH(A592,Technical!A:A,0),"Open"),HYPERLINK("#Technical!A1","Open"))</f>
        <v>Open</v>
      </c>
      <c r="U592" s="9"/>
    </row>
    <row r="593" spans="1:21" ht="30" customHeight="1" x14ac:dyDescent="0.25">
      <c r="A593" s="58" t="s">
        <v>720</v>
      </c>
      <c r="B593" s="11">
        <v>5490</v>
      </c>
      <c r="C593" s="43" t="s">
        <v>1393</v>
      </c>
      <c r="D593" s="11" t="s">
        <v>1411</v>
      </c>
      <c r="E593" s="64" t="s">
        <v>68</v>
      </c>
      <c r="F593" s="11" t="s">
        <v>1852</v>
      </c>
      <c r="G593" s="10">
        <v>37</v>
      </c>
      <c r="H593" s="11">
        <v>0</v>
      </c>
      <c r="I593" s="11" t="s">
        <v>1853</v>
      </c>
      <c r="J593" s="11" t="s">
        <v>1854</v>
      </c>
      <c r="K593" s="72" t="s">
        <v>9</v>
      </c>
      <c r="L593" s="11" t="s">
        <v>1182</v>
      </c>
      <c r="M593" s="11" t="s">
        <v>864</v>
      </c>
      <c r="N593" s="60" t="s">
        <v>98</v>
      </c>
      <c r="O593" s="49" t="s">
        <v>2</v>
      </c>
      <c r="P593" s="11">
        <v>4</v>
      </c>
      <c r="Q593" s="11" t="s">
        <v>1954</v>
      </c>
      <c r="R593" s="11" t="s">
        <v>1856</v>
      </c>
      <c r="S593" t="str">
        <f>IFERROR(HYPERLINK("#Main!A"&amp;MATCH(A593,Main!A:A,0),"Open"),HYPERLINK("#Main!A1","Open"))</f>
        <v>Open</v>
      </c>
      <c r="T593" t="str">
        <f>IFERROR(HYPERLINK("#Technical!A"&amp;MATCH(A593,Technical!A:A,0),"Open"),HYPERLINK("#Technical!A1","Open"))</f>
        <v>Open</v>
      </c>
    </row>
    <row r="594" spans="1:21" ht="30" customHeight="1" x14ac:dyDescent="0.25">
      <c r="A594" s="59" t="s">
        <v>727</v>
      </c>
      <c r="B594" s="8">
        <v>27352</v>
      </c>
      <c r="C594" s="43" t="s">
        <v>1395</v>
      </c>
      <c r="D594" s="8" t="s">
        <v>1411</v>
      </c>
      <c r="E594" s="64" t="s">
        <v>68</v>
      </c>
      <c r="F594" s="8" t="s">
        <v>1852</v>
      </c>
      <c r="G594" s="36">
        <v>37</v>
      </c>
      <c r="H594" s="8">
        <v>0</v>
      </c>
      <c r="I594" s="8" t="s">
        <v>1853</v>
      </c>
      <c r="J594" s="8" t="s">
        <v>1854</v>
      </c>
      <c r="K594" s="71" t="s">
        <v>9</v>
      </c>
      <c r="L594" s="8" t="s">
        <v>1182</v>
      </c>
      <c r="M594" s="8" t="s">
        <v>864</v>
      </c>
      <c r="N594" s="60" t="s">
        <v>98</v>
      </c>
      <c r="O594" s="49" t="s">
        <v>2</v>
      </c>
      <c r="P594" s="8">
        <v>4</v>
      </c>
      <c r="Q594" s="8" t="s">
        <v>1955</v>
      </c>
      <c r="R594" s="8" t="s">
        <v>1856</v>
      </c>
      <c r="S594" s="9" t="str">
        <f>IFERROR(HYPERLINK("#Main!A"&amp;MATCH(A594,Main!A:A,0),"Open"),HYPERLINK("#Main!A1","Open"))</f>
        <v>Open</v>
      </c>
      <c r="T594" s="9" t="str">
        <f>IFERROR(HYPERLINK("#Technical!A"&amp;MATCH(A594,Technical!A:A,0),"Open"),HYPERLINK("#Technical!A1","Open"))</f>
        <v>Open</v>
      </c>
      <c r="U594" s="9"/>
    </row>
    <row r="595" spans="1:21" ht="30" customHeight="1" x14ac:dyDescent="0.25">
      <c r="A595" s="58" t="s">
        <v>735</v>
      </c>
      <c r="B595" s="11">
        <v>21591</v>
      </c>
      <c r="C595" s="43" t="s">
        <v>1397</v>
      </c>
      <c r="D595" s="11" t="s">
        <v>1411</v>
      </c>
      <c r="E595" s="64" t="s">
        <v>68</v>
      </c>
      <c r="F595" s="11" t="s">
        <v>1852</v>
      </c>
      <c r="G595" s="10">
        <v>37</v>
      </c>
      <c r="H595" s="11">
        <v>0</v>
      </c>
      <c r="I595" s="11" t="s">
        <v>1853</v>
      </c>
      <c r="J595" s="11" t="s">
        <v>1854</v>
      </c>
      <c r="K595" s="72" t="s">
        <v>9</v>
      </c>
      <c r="L595" s="11" t="s">
        <v>1182</v>
      </c>
      <c r="M595" s="11" t="s">
        <v>864</v>
      </c>
      <c r="N595" s="60" t="s">
        <v>98</v>
      </c>
      <c r="O595" s="49" t="s">
        <v>2</v>
      </c>
      <c r="P595" s="11">
        <v>4</v>
      </c>
      <c r="Q595" s="11" t="s">
        <v>1956</v>
      </c>
      <c r="R595" s="11" t="s">
        <v>1856</v>
      </c>
      <c r="S595" t="str">
        <f>IFERROR(HYPERLINK("#Main!A"&amp;MATCH(A595,Main!A:A,0),"Open"),HYPERLINK("#Main!A1","Open"))</f>
        <v>Open</v>
      </c>
      <c r="T595" t="str">
        <f>IFERROR(HYPERLINK("#Technical!A"&amp;MATCH(A595,Technical!A:A,0),"Open"),HYPERLINK("#Technical!A1","Open"))</f>
        <v>Open</v>
      </c>
    </row>
    <row r="596" spans="1:21" ht="30" customHeight="1" x14ac:dyDescent="0.25">
      <c r="A596" s="59" t="s">
        <v>743</v>
      </c>
      <c r="B596" s="8">
        <v>17195</v>
      </c>
      <c r="C596" s="43" t="s">
        <v>1399</v>
      </c>
      <c r="D596" s="8" t="s">
        <v>1411</v>
      </c>
      <c r="E596" s="64" t="s">
        <v>68</v>
      </c>
      <c r="F596" s="8" t="s">
        <v>1852</v>
      </c>
      <c r="G596" s="36">
        <v>37</v>
      </c>
      <c r="H596" s="8">
        <v>0</v>
      </c>
      <c r="I596" s="8" t="s">
        <v>1853</v>
      </c>
      <c r="J596" s="8" t="s">
        <v>1854</v>
      </c>
      <c r="K596" s="71" t="s">
        <v>9</v>
      </c>
      <c r="L596" s="8" t="s">
        <v>1182</v>
      </c>
      <c r="M596" s="8" t="s">
        <v>864</v>
      </c>
      <c r="N596" s="60" t="s">
        <v>98</v>
      </c>
      <c r="O596" s="49" t="s">
        <v>2</v>
      </c>
      <c r="P596" s="8">
        <v>4</v>
      </c>
      <c r="Q596" s="8" t="s">
        <v>1957</v>
      </c>
      <c r="R596" s="8" t="s">
        <v>1856</v>
      </c>
      <c r="S596" s="9" t="str">
        <f>IFERROR(HYPERLINK("#Main!A"&amp;MATCH(A596,Main!A:A,0),"Open"),HYPERLINK("#Main!A1","Open"))</f>
        <v>Open</v>
      </c>
      <c r="T596" s="9" t="str">
        <f>IFERROR(HYPERLINK("#Technical!A"&amp;MATCH(A596,Technical!A:A,0),"Open"),HYPERLINK("#Technical!A1","Open"))</f>
        <v>Open</v>
      </c>
      <c r="U596" s="9"/>
    </row>
    <row r="597" spans="1:21" ht="30" customHeight="1" x14ac:dyDescent="0.25">
      <c r="A597" s="58" t="s">
        <v>750</v>
      </c>
      <c r="B597" s="11">
        <v>7916</v>
      </c>
      <c r="C597" s="43" t="s">
        <v>1401</v>
      </c>
      <c r="D597" s="11" t="s">
        <v>1411</v>
      </c>
      <c r="E597" s="64" t="s">
        <v>68</v>
      </c>
      <c r="F597" s="11" t="s">
        <v>1852</v>
      </c>
      <c r="G597" s="10">
        <v>37</v>
      </c>
      <c r="H597" s="11">
        <v>0</v>
      </c>
      <c r="I597" s="11" t="s">
        <v>1853</v>
      </c>
      <c r="J597" s="11" t="s">
        <v>1854</v>
      </c>
      <c r="K597" s="72" t="s">
        <v>9</v>
      </c>
      <c r="L597" s="11" t="s">
        <v>1182</v>
      </c>
      <c r="M597" s="11" t="s">
        <v>864</v>
      </c>
      <c r="N597" s="60" t="s">
        <v>98</v>
      </c>
      <c r="O597" s="49" t="s">
        <v>2</v>
      </c>
      <c r="P597" s="11">
        <v>4</v>
      </c>
      <c r="Q597" s="11" t="s">
        <v>1958</v>
      </c>
      <c r="R597" s="11" t="s">
        <v>1856</v>
      </c>
      <c r="S597" t="str">
        <f>IFERROR(HYPERLINK("#Main!A"&amp;MATCH(A597,Main!A:A,0),"Open"),HYPERLINK("#Main!A1","Open"))</f>
        <v>Open</v>
      </c>
      <c r="T597" t="str">
        <f>IFERROR(HYPERLINK("#Technical!A"&amp;MATCH(A597,Technical!A:A,0),"Open"),HYPERLINK("#Technical!A1","Open"))</f>
        <v>Open</v>
      </c>
    </row>
    <row r="598" spans="1:21" ht="30" customHeight="1" x14ac:dyDescent="0.25">
      <c r="A598" s="59" t="s">
        <v>758</v>
      </c>
      <c r="B598" s="8">
        <v>17000</v>
      </c>
      <c r="C598" s="43" t="s">
        <v>1403</v>
      </c>
      <c r="D598" s="8" t="s">
        <v>1411</v>
      </c>
      <c r="E598" s="64" t="s">
        <v>68</v>
      </c>
      <c r="F598" s="8" t="s">
        <v>1852</v>
      </c>
      <c r="G598" s="36">
        <v>37</v>
      </c>
      <c r="H598" s="8">
        <v>0</v>
      </c>
      <c r="I598" s="8" t="s">
        <v>1853</v>
      </c>
      <c r="J598" s="8" t="s">
        <v>1854</v>
      </c>
      <c r="K598" s="71" t="s">
        <v>9</v>
      </c>
      <c r="L598" s="8" t="s">
        <v>1182</v>
      </c>
      <c r="M598" s="8" t="s">
        <v>864</v>
      </c>
      <c r="N598" s="60" t="s">
        <v>98</v>
      </c>
      <c r="O598" s="49" t="s">
        <v>2</v>
      </c>
      <c r="P598" s="8">
        <v>4</v>
      </c>
      <c r="Q598" s="8" t="s">
        <v>1959</v>
      </c>
      <c r="R598" s="8" t="s">
        <v>1856</v>
      </c>
      <c r="S598" s="9" t="str">
        <f>IFERROR(HYPERLINK("#Main!A"&amp;MATCH(A598,Main!A:A,0),"Open"),HYPERLINK("#Main!A1","Open"))</f>
        <v>Open</v>
      </c>
      <c r="T598" s="9" t="str">
        <f>IFERROR(HYPERLINK("#Technical!A"&amp;MATCH(A598,Technical!A:A,0),"Open"),HYPERLINK("#Technical!A1","Open"))</f>
        <v>Open</v>
      </c>
      <c r="U598" s="9"/>
    </row>
    <row r="599" spans="1:21" ht="30" customHeight="1" x14ac:dyDescent="0.25">
      <c r="A599" s="58" t="s">
        <v>766</v>
      </c>
      <c r="B599" s="11">
        <v>17196</v>
      </c>
      <c r="C599" s="43" t="s">
        <v>1405</v>
      </c>
      <c r="D599" s="11" t="s">
        <v>1411</v>
      </c>
      <c r="E599" s="64" t="s">
        <v>68</v>
      </c>
      <c r="F599" s="11" t="s">
        <v>1852</v>
      </c>
      <c r="G599" s="10">
        <v>37</v>
      </c>
      <c r="H599" s="11">
        <v>0</v>
      </c>
      <c r="I599" s="11" t="s">
        <v>1853</v>
      </c>
      <c r="J599" s="11" t="s">
        <v>1854</v>
      </c>
      <c r="K599" s="72" t="s">
        <v>9</v>
      </c>
      <c r="L599" s="11" t="s">
        <v>1182</v>
      </c>
      <c r="M599" s="11" t="s">
        <v>864</v>
      </c>
      <c r="N599" s="60" t="s">
        <v>98</v>
      </c>
      <c r="O599" s="49" t="s">
        <v>2</v>
      </c>
      <c r="P599" s="11">
        <v>4</v>
      </c>
      <c r="Q599" s="11" t="s">
        <v>1960</v>
      </c>
      <c r="R599" s="11" t="s">
        <v>1856</v>
      </c>
      <c r="S599" t="str">
        <f>IFERROR(HYPERLINK("#Main!A"&amp;MATCH(A599,Main!A:A,0),"Open"),HYPERLINK("#Main!A1","Open"))</f>
        <v>Open</v>
      </c>
      <c r="T599" t="str">
        <f>IFERROR(HYPERLINK("#Technical!A"&amp;MATCH(A599,Technical!A:A,0),"Open"),HYPERLINK("#Technical!A1","Open"))</f>
        <v>Open</v>
      </c>
    </row>
    <row r="600" spans="1:21" ht="30" customHeight="1" x14ac:dyDescent="0.25">
      <c r="A600" s="59" t="s">
        <v>774</v>
      </c>
      <c r="B600" s="8">
        <v>4909</v>
      </c>
      <c r="C600" s="43" t="s">
        <v>1407</v>
      </c>
      <c r="D600" s="8" t="s">
        <v>1411</v>
      </c>
      <c r="E600" s="64" t="s">
        <v>68</v>
      </c>
      <c r="F600" s="8" t="s">
        <v>1852</v>
      </c>
      <c r="G600" s="36">
        <v>37</v>
      </c>
      <c r="H600" s="8">
        <v>0</v>
      </c>
      <c r="I600" s="8" t="s">
        <v>1853</v>
      </c>
      <c r="J600" s="8" t="s">
        <v>1854</v>
      </c>
      <c r="K600" s="71" t="s">
        <v>9</v>
      </c>
      <c r="L600" s="8" t="s">
        <v>1182</v>
      </c>
      <c r="M600" s="8" t="s">
        <v>864</v>
      </c>
      <c r="N600" s="60" t="s">
        <v>98</v>
      </c>
      <c r="O600" s="49" t="s">
        <v>2</v>
      </c>
      <c r="P600" s="8">
        <v>4</v>
      </c>
      <c r="Q600" s="8" t="s">
        <v>1961</v>
      </c>
      <c r="R600" s="8" t="s">
        <v>1856</v>
      </c>
      <c r="S600" s="9" t="str">
        <f>IFERROR(HYPERLINK("#Main!A"&amp;MATCH(A600,Main!A:A,0),"Open"),HYPERLINK("#Main!A1","Open"))</f>
        <v>Open</v>
      </c>
      <c r="T600" s="9" t="str">
        <f>IFERROR(HYPERLINK("#Technical!A"&amp;MATCH(A600,Technical!A:A,0),"Open"),HYPERLINK("#Technical!A1","Open"))</f>
        <v>Open</v>
      </c>
      <c r="U600" s="9"/>
    </row>
    <row r="601" spans="1:21" ht="30" customHeight="1" x14ac:dyDescent="0.25">
      <c r="A601" s="58" t="s">
        <v>782</v>
      </c>
      <c r="B601" s="11">
        <v>5290</v>
      </c>
      <c r="C601" s="43" t="s">
        <v>1409</v>
      </c>
      <c r="D601" s="11" t="s">
        <v>1411</v>
      </c>
      <c r="E601" s="64" t="s">
        <v>68</v>
      </c>
      <c r="F601" s="11" t="s">
        <v>1852</v>
      </c>
      <c r="G601" s="10">
        <v>37</v>
      </c>
      <c r="H601" s="11">
        <v>0</v>
      </c>
      <c r="I601" s="11" t="s">
        <v>1853</v>
      </c>
      <c r="J601" s="11" t="s">
        <v>1854</v>
      </c>
      <c r="K601" s="72" t="s">
        <v>9</v>
      </c>
      <c r="L601" s="11" t="s">
        <v>1182</v>
      </c>
      <c r="M601" s="11" t="s">
        <v>864</v>
      </c>
      <c r="N601" s="60" t="s">
        <v>98</v>
      </c>
      <c r="O601" s="49" t="s">
        <v>2</v>
      </c>
      <c r="P601" s="11">
        <v>4</v>
      </c>
      <c r="Q601" s="11" t="s">
        <v>1962</v>
      </c>
      <c r="R601" s="11" t="s">
        <v>1856</v>
      </c>
      <c r="S601" t="str">
        <f>IFERROR(HYPERLINK("#Main!A"&amp;MATCH(A601,Main!A:A,0),"Open"),HYPERLINK("#Main!A1","Open"))</f>
        <v>Open</v>
      </c>
      <c r="T601" t="str">
        <f>IFERROR(HYPERLINK("#Technical!A"&amp;MATCH(A601,Technical!A:A,0),"Open"),HYPERLINK("#Technical!A1","Open"))</f>
        <v>Open</v>
      </c>
    </row>
    <row r="602" spans="1:21" ht="45" customHeight="1" x14ac:dyDescent="0.25">
      <c r="A602" s="59" t="s">
        <v>140</v>
      </c>
      <c r="B602" s="8">
        <v>8</v>
      </c>
      <c r="C602" s="43" t="s">
        <v>1243</v>
      </c>
      <c r="D602" s="8" t="s">
        <v>1498</v>
      </c>
      <c r="E602" s="64" t="s">
        <v>68</v>
      </c>
      <c r="F602" s="8" t="s">
        <v>1963</v>
      </c>
      <c r="G602" s="36">
        <v>37</v>
      </c>
      <c r="H602" s="8" t="b">
        <v>0</v>
      </c>
      <c r="I602" s="8" t="s">
        <v>1964</v>
      </c>
      <c r="J602" s="8" t="s">
        <v>1965</v>
      </c>
      <c r="K602" s="71" t="s">
        <v>9</v>
      </c>
      <c r="L602" s="8" t="s">
        <v>1184</v>
      </c>
      <c r="M602" s="8" t="s">
        <v>864</v>
      </c>
      <c r="N602" s="60" t="s">
        <v>98</v>
      </c>
      <c r="O602" s="49" t="s">
        <v>2</v>
      </c>
      <c r="P602" s="8">
        <v>4</v>
      </c>
      <c r="Q602" s="8" t="s">
        <v>1966</v>
      </c>
      <c r="R602" s="8" t="s">
        <v>1967</v>
      </c>
      <c r="S602" s="9" t="str">
        <f>IFERROR(HYPERLINK("#Main!A"&amp;MATCH(A602,Main!A:A,0),"Open"),HYPERLINK("#Main!A1","Open"))</f>
        <v>Open</v>
      </c>
      <c r="T602" s="9" t="str">
        <f>IFERROR(HYPERLINK("#Technical!A"&amp;MATCH(A602,Technical!A:A,0),"Open"),HYPERLINK("#Technical!A1","Open"))</f>
        <v>Open</v>
      </c>
      <c r="U602" s="9"/>
    </row>
    <row r="603" spans="1:21" ht="45" customHeight="1" x14ac:dyDescent="0.25">
      <c r="A603" s="58" t="s">
        <v>148</v>
      </c>
      <c r="B603" s="11">
        <v>84</v>
      </c>
      <c r="C603" s="43" t="s">
        <v>1249</v>
      </c>
      <c r="D603" s="11" t="s">
        <v>1498</v>
      </c>
      <c r="E603" s="64" t="s">
        <v>68</v>
      </c>
      <c r="F603" s="11" t="s">
        <v>1963</v>
      </c>
      <c r="G603" s="10">
        <v>37</v>
      </c>
      <c r="H603" s="11" t="b">
        <v>0</v>
      </c>
      <c r="I603" s="11" t="s">
        <v>1964</v>
      </c>
      <c r="J603" s="11" t="s">
        <v>1965</v>
      </c>
      <c r="K603" s="72" t="s">
        <v>9</v>
      </c>
      <c r="L603" s="11" t="s">
        <v>1184</v>
      </c>
      <c r="M603" s="11" t="s">
        <v>864</v>
      </c>
      <c r="N603" s="60" t="s">
        <v>98</v>
      </c>
      <c r="O603" s="49" t="s">
        <v>2</v>
      </c>
      <c r="P603" s="11">
        <v>4</v>
      </c>
      <c r="Q603" s="11" t="s">
        <v>1968</v>
      </c>
      <c r="R603" s="11" t="s">
        <v>1967</v>
      </c>
      <c r="S603" t="str">
        <f>IFERROR(HYPERLINK("#Main!A"&amp;MATCH(A603,Main!A:A,0),"Open"),HYPERLINK("#Main!A1","Open"))</f>
        <v>Open</v>
      </c>
      <c r="T603" t="str">
        <f>IFERROR(HYPERLINK("#Technical!A"&amp;MATCH(A603,Technical!A:A,0),"Open"),HYPERLINK("#Technical!A1","Open"))</f>
        <v>Open</v>
      </c>
    </row>
    <row r="604" spans="1:21" ht="45" customHeight="1" x14ac:dyDescent="0.25">
      <c r="A604" s="59" t="s">
        <v>156</v>
      </c>
      <c r="B604" s="8">
        <v>28165</v>
      </c>
      <c r="C604" s="43" t="s">
        <v>1251</v>
      </c>
      <c r="D604" s="8" t="s">
        <v>1498</v>
      </c>
      <c r="E604" s="64" t="s">
        <v>68</v>
      </c>
      <c r="F604" s="8" t="s">
        <v>1963</v>
      </c>
      <c r="G604" s="36">
        <v>37</v>
      </c>
      <c r="H604" s="8" t="b">
        <v>0</v>
      </c>
      <c r="I604" s="8" t="s">
        <v>1964</v>
      </c>
      <c r="J604" s="8" t="s">
        <v>1965</v>
      </c>
      <c r="K604" s="71" t="s">
        <v>9</v>
      </c>
      <c r="L604" s="8" t="s">
        <v>1184</v>
      </c>
      <c r="M604" s="8" t="s">
        <v>864</v>
      </c>
      <c r="N604" s="60" t="s">
        <v>98</v>
      </c>
      <c r="O604" s="49" t="s">
        <v>2</v>
      </c>
      <c r="P604" s="8">
        <v>4</v>
      </c>
      <c r="Q604" s="8" t="s">
        <v>1969</v>
      </c>
      <c r="R604" s="8" t="s">
        <v>1967</v>
      </c>
      <c r="S604" s="9" t="str">
        <f>IFERROR(HYPERLINK("#Main!A"&amp;MATCH(A604,Main!A:A,0),"Open"),HYPERLINK("#Main!A1","Open"))</f>
        <v>Open</v>
      </c>
      <c r="T604" s="9" t="str">
        <f>IFERROR(HYPERLINK("#Technical!A"&amp;MATCH(A604,Technical!A:A,0),"Open"),HYPERLINK("#Technical!A1","Open"))</f>
        <v>Open</v>
      </c>
      <c r="U604" s="9"/>
    </row>
    <row r="605" spans="1:21" ht="45" customHeight="1" x14ac:dyDescent="0.25">
      <c r="A605" s="58" t="s">
        <v>164</v>
      </c>
      <c r="B605" s="11">
        <v>16125</v>
      </c>
      <c r="C605" s="43" t="s">
        <v>1253</v>
      </c>
      <c r="D605" s="11" t="s">
        <v>1498</v>
      </c>
      <c r="E605" s="64" t="s">
        <v>68</v>
      </c>
      <c r="F605" s="11" t="s">
        <v>1963</v>
      </c>
      <c r="G605" s="10">
        <v>37</v>
      </c>
      <c r="H605" s="11" t="b">
        <v>0</v>
      </c>
      <c r="I605" s="11" t="s">
        <v>1964</v>
      </c>
      <c r="J605" s="11" t="s">
        <v>1965</v>
      </c>
      <c r="K605" s="72" t="s">
        <v>9</v>
      </c>
      <c r="L605" s="11" t="s">
        <v>1184</v>
      </c>
      <c r="M605" s="11" t="s">
        <v>864</v>
      </c>
      <c r="N605" s="60" t="s">
        <v>98</v>
      </c>
      <c r="O605" s="49" t="s">
        <v>2</v>
      </c>
      <c r="P605" s="11">
        <v>4</v>
      </c>
      <c r="Q605" s="11" t="s">
        <v>1970</v>
      </c>
      <c r="R605" s="11" t="s">
        <v>1967</v>
      </c>
      <c r="S605" t="str">
        <f>IFERROR(HYPERLINK("#Main!A"&amp;MATCH(A605,Main!A:A,0),"Open"),HYPERLINK("#Main!A1","Open"))</f>
        <v>Open</v>
      </c>
      <c r="T605" t="str">
        <f>IFERROR(HYPERLINK("#Technical!A"&amp;MATCH(A605,Technical!A:A,0),"Open"),HYPERLINK("#Technical!A1","Open"))</f>
        <v>Open</v>
      </c>
    </row>
    <row r="606" spans="1:21" ht="45" customHeight="1" x14ac:dyDescent="0.25">
      <c r="A606" s="59" t="s">
        <v>172</v>
      </c>
      <c r="B606" s="8">
        <v>5619</v>
      </c>
      <c r="C606" s="43" t="s">
        <v>1255</v>
      </c>
      <c r="D606" s="8" t="s">
        <v>1498</v>
      </c>
      <c r="E606" s="64" t="s">
        <v>68</v>
      </c>
      <c r="F606" s="8" t="s">
        <v>1963</v>
      </c>
      <c r="G606" s="36">
        <v>37</v>
      </c>
      <c r="H606" s="8" t="b">
        <v>0</v>
      </c>
      <c r="I606" s="8" t="s">
        <v>1964</v>
      </c>
      <c r="J606" s="8" t="s">
        <v>1965</v>
      </c>
      <c r="K606" s="71" t="s">
        <v>9</v>
      </c>
      <c r="L606" s="8" t="s">
        <v>1184</v>
      </c>
      <c r="M606" s="8" t="s">
        <v>864</v>
      </c>
      <c r="N606" s="60" t="s">
        <v>98</v>
      </c>
      <c r="O606" s="49" t="s">
        <v>2</v>
      </c>
      <c r="P606" s="8">
        <v>4</v>
      </c>
      <c r="Q606" s="8" t="s">
        <v>1971</v>
      </c>
      <c r="R606" s="8" t="s">
        <v>1967</v>
      </c>
      <c r="S606" s="9" t="str">
        <f>IFERROR(HYPERLINK("#Main!A"&amp;MATCH(A606,Main!A:A,0),"Open"),HYPERLINK("#Main!A1","Open"))</f>
        <v>Open</v>
      </c>
      <c r="T606" s="9" t="str">
        <f>IFERROR(HYPERLINK("#Technical!A"&amp;MATCH(A606,Technical!A:A,0),"Open"),HYPERLINK("#Technical!A1","Open"))</f>
        <v>Open</v>
      </c>
      <c r="U606" s="9"/>
    </row>
    <row r="607" spans="1:21" ht="45" customHeight="1" x14ac:dyDescent="0.25">
      <c r="A607" s="58" t="s">
        <v>180</v>
      </c>
      <c r="B607" s="11">
        <v>4941</v>
      </c>
      <c r="C607" s="43" t="s">
        <v>1257</v>
      </c>
      <c r="D607" s="11" t="s">
        <v>1498</v>
      </c>
      <c r="E607" s="64" t="s">
        <v>68</v>
      </c>
      <c r="F607" s="11" t="s">
        <v>1963</v>
      </c>
      <c r="G607" s="10">
        <v>37</v>
      </c>
      <c r="H607" s="11" t="b">
        <v>0</v>
      </c>
      <c r="I607" s="11" t="s">
        <v>1964</v>
      </c>
      <c r="J607" s="11" t="s">
        <v>1965</v>
      </c>
      <c r="K607" s="72" t="s">
        <v>9</v>
      </c>
      <c r="L607" s="11" t="s">
        <v>1184</v>
      </c>
      <c r="M607" s="11" t="s">
        <v>864</v>
      </c>
      <c r="N607" s="60" t="s">
        <v>98</v>
      </c>
      <c r="O607" s="49" t="s">
        <v>2</v>
      </c>
      <c r="P607" s="11">
        <v>4</v>
      </c>
      <c r="Q607" s="11" t="s">
        <v>1972</v>
      </c>
      <c r="R607" s="11" t="s">
        <v>1967</v>
      </c>
      <c r="S607" t="str">
        <f>IFERROR(HYPERLINK("#Main!A"&amp;MATCH(A607,Main!A:A,0),"Open"),HYPERLINK("#Main!A1","Open"))</f>
        <v>Open</v>
      </c>
      <c r="T607" t="str">
        <f>IFERROR(HYPERLINK("#Technical!A"&amp;MATCH(A607,Technical!A:A,0),"Open"),HYPERLINK("#Technical!A1","Open"))</f>
        <v>Open</v>
      </c>
    </row>
    <row r="608" spans="1:21" ht="45" customHeight="1" x14ac:dyDescent="0.25">
      <c r="A608" s="59" t="s">
        <v>188</v>
      </c>
      <c r="B608" s="8">
        <v>4494</v>
      </c>
      <c r="C608" s="43" t="s">
        <v>1259</v>
      </c>
      <c r="D608" s="8" t="s">
        <v>1498</v>
      </c>
      <c r="E608" s="64" t="s">
        <v>68</v>
      </c>
      <c r="F608" s="8" t="s">
        <v>1963</v>
      </c>
      <c r="G608" s="36">
        <v>37</v>
      </c>
      <c r="H608" s="8" t="b">
        <v>0</v>
      </c>
      <c r="I608" s="8" t="s">
        <v>1964</v>
      </c>
      <c r="J608" s="8" t="s">
        <v>1965</v>
      </c>
      <c r="K608" s="71" t="s">
        <v>9</v>
      </c>
      <c r="L608" s="8" t="s">
        <v>1184</v>
      </c>
      <c r="M608" s="8" t="s">
        <v>864</v>
      </c>
      <c r="N608" s="60" t="s">
        <v>98</v>
      </c>
      <c r="O608" s="49" t="s">
        <v>2</v>
      </c>
      <c r="P608" s="8">
        <v>4</v>
      </c>
      <c r="Q608" s="8" t="s">
        <v>1973</v>
      </c>
      <c r="R608" s="8" t="s">
        <v>1967</v>
      </c>
      <c r="S608" s="9" t="str">
        <f>IFERROR(HYPERLINK("#Main!A"&amp;MATCH(A608,Main!A:A,0),"Open"),HYPERLINK("#Main!A1","Open"))</f>
        <v>Open</v>
      </c>
      <c r="T608" s="9" t="str">
        <f>IFERROR(HYPERLINK("#Technical!A"&amp;MATCH(A608,Technical!A:A,0),"Open"),HYPERLINK("#Technical!A1","Open"))</f>
        <v>Open</v>
      </c>
      <c r="U608" s="9"/>
    </row>
    <row r="609" spans="1:21" ht="45" customHeight="1" x14ac:dyDescent="0.25">
      <c r="A609" s="58" t="s">
        <v>196</v>
      </c>
      <c r="B609" s="11">
        <v>12371</v>
      </c>
      <c r="C609" s="43" t="s">
        <v>1261</v>
      </c>
      <c r="D609" s="11" t="s">
        <v>1498</v>
      </c>
      <c r="E609" s="64" t="s">
        <v>68</v>
      </c>
      <c r="F609" s="11" t="s">
        <v>1963</v>
      </c>
      <c r="G609" s="10">
        <v>37</v>
      </c>
      <c r="H609" s="11" t="b">
        <v>0</v>
      </c>
      <c r="I609" s="11" t="s">
        <v>1964</v>
      </c>
      <c r="J609" s="11" t="s">
        <v>1965</v>
      </c>
      <c r="K609" s="72" t="s">
        <v>9</v>
      </c>
      <c r="L609" s="11" t="s">
        <v>1184</v>
      </c>
      <c r="M609" s="11" t="s">
        <v>864</v>
      </c>
      <c r="N609" s="60" t="s">
        <v>98</v>
      </c>
      <c r="O609" s="49" t="s">
        <v>2</v>
      </c>
      <c r="P609" s="11">
        <v>4</v>
      </c>
      <c r="Q609" s="11" t="s">
        <v>1974</v>
      </c>
      <c r="R609" s="11" t="s">
        <v>1967</v>
      </c>
      <c r="S609" t="str">
        <f>IFERROR(HYPERLINK("#Main!A"&amp;MATCH(A609,Main!A:A,0),"Open"),HYPERLINK("#Main!A1","Open"))</f>
        <v>Open</v>
      </c>
      <c r="T609" t="str">
        <f>IFERROR(HYPERLINK("#Technical!A"&amp;MATCH(A609,Technical!A:A,0),"Open"),HYPERLINK("#Technical!A1","Open"))</f>
        <v>Open</v>
      </c>
    </row>
    <row r="610" spans="1:21" ht="45" customHeight="1" x14ac:dyDescent="0.25">
      <c r="A610" s="59" t="s">
        <v>99</v>
      </c>
      <c r="B610" s="8">
        <v>13164</v>
      </c>
      <c r="C610" s="43" t="s">
        <v>1230</v>
      </c>
      <c r="D610" s="8" t="s">
        <v>1498</v>
      </c>
      <c r="E610" s="64" t="s">
        <v>68</v>
      </c>
      <c r="F610" s="8" t="s">
        <v>1963</v>
      </c>
      <c r="G610" s="36">
        <v>37</v>
      </c>
      <c r="H610" s="8" t="b">
        <v>0</v>
      </c>
      <c r="I610" s="8" t="s">
        <v>1964</v>
      </c>
      <c r="J610" s="8" t="s">
        <v>1965</v>
      </c>
      <c r="K610" s="71" t="s">
        <v>9</v>
      </c>
      <c r="L610" s="8" t="s">
        <v>1184</v>
      </c>
      <c r="M610" s="8" t="s">
        <v>864</v>
      </c>
      <c r="N610" s="60" t="s">
        <v>98</v>
      </c>
      <c r="O610" s="49" t="s">
        <v>2</v>
      </c>
      <c r="P610" s="8">
        <v>4</v>
      </c>
      <c r="Q610" s="8" t="s">
        <v>1975</v>
      </c>
      <c r="R610" s="8" t="s">
        <v>1967</v>
      </c>
      <c r="S610" s="9" t="str">
        <f>IFERROR(HYPERLINK("#Main!A"&amp;MATCH(A610,Main!A:A,0),"Open"),HYPERLINK("#Main!A1","Open"))</f>
        <v>Open</v>
      </c>
      <c r="T610" s="9" t="str">
        <f>IFERROR(HYPERLINK("#Technical!A"&amp;MATCH(A610,Technical!A:A,0),"Open"),HYPERLINK("#Technical!A1","Open"))</f>
        <v>Open</v>
      </c>
      <c r="U610" s="9"/>
    </row>
    <row r="611" spans="1:21" ht="45" customHeight="1" x14ac:dyDescent="0.25">
      <c r="A611" s="58" t="s">
        <v>210</v>
      </c>
      <c r="B611" s="11">
        <v>12954</v>
      </c>
      <c r="C611" s="43" t="s">
        <v>1264</v>
      </c>
      <c r="D611" s="11" t="s">
        <v>1498</v>
      </c>
      <c r="E611" s="64" t="s">
        <v>68</v>
      </c>
      <c r="F611" s="11" t="s">
        <v>1963</v>
      </c>
      <c r="G611" s="10">
        <v>37</v>
      </c>
      <c r="H611" s="11" t="b">
        <v>0</v>
      </c>
      <c r="I611" s="11" t="s">
        <v>1964</v>
      </c>
      <c r="J611" s="11" t="s">
        <v>1965</v>
      </c>
      <c r="K611" s="72" t="s">
        <v>9</v>
      </c>
      <c r="L611" s="11" t="s">
        <v>1184</v>
      </c>
      <c r="M611" s="11" t="s">
        <v>864</v>
      </c>
      <c r="N611" s="60" t="s">
        <v>98</v>
      </c>
      <c r="O611" s="49" t="s">
        <v>2</v>
      </c>
      <c r="P611" s="11">
        <v>4</v>
      </c>
      <c r="Q611" s="11" t="s">
        <v>1976</v>
      </c>
      <c r="R611" s="11" t="s">
        <v>1967</v>
      </c>
      <c r="S611" t="str">
        <f>IFERROR(HYPERLINK("#Main!A"&amp;MATCH(A611,Main!A:A,0),"Open"),HYPERLINK("#Main!A1","Open"))</f>
        <v>Open</v>
      </c>
      <c r="T611" t="str">
        <f>IFERROR(HYPERLINK("#Technical!A"&amp;MATCH(A611,Technical!A:A,0),"Open"),HYPERLINK("#Technical!A1","Open"))</f>
        <v>Open</v>
      </c>
    </row>
    <row r="612" spans="1:21" ht="45" customHeight="1" x14ac:dyDescent="0.25">
      <c r="A612" s="59" t="s">
        <v>218</v>
      </c>
      <c r="B612" s="8">
        <v>12497</v>
      </c>
      <c r="C612" s="43" t="s">
        <v>1266</v>
      </c>
      <c r="D612" s="8" t="s">
        <v>1498</v>
      </c>
      <c r="E612" s="64" t="s">
        <v>68</v>
      </c>
      <c r="F612" s="8" t="s">
        <v>1963</v>
      </c>
      <c r="G612" s="36">
        <v>37</v>
      </c>
      <c r="H612" s="8" t="b">
        <v>0</v>
      </c>
      <c r="I612" s="8" t="s">
        <v>1964</v>
      </c>
      <c r="J612" s="8" t="s">
        <v>1965</v>
      </c>
      <c r="K612" s="71" t="s">
        <v>9</v>
      </c>
      <c r="L612" s="8" t="s">
        <v>1184</v>
      </c>
      <c r="M612" s="8" t="s">
        <v>864</v>
      </c>
      <c r="N612" s="60" t="s">
        <v>98</v>
      </c>
      <c r="O612" s="49" t="s">
        <v>2</v>
      </c>
      <c r="P612" s="8">
        <v>4</v>
      </c>
      <c r="Q612" s="8" t="s">
        <v>1977</v>
      </c>
      <c r="R612" s="8" t="s">
        <v>1967</v>
      </c>
      <c r="S612" s="9" t="str">
        <f>IFERROR(HYPERLINK("#Main!A"&amp;MATCH(A612,Main!A:A,0),"Open"),HYPERLINK("#Main!A1","Open"))</f>
        <v>Open</v>
      </c>
      <c r="T612" s="9" t="str">
        <f>IFERROR(HYPERLINK("#Technical!A"&amp;MATCH(A612,Technical!A:A,0),"Open"),HYPERLINK("#Technical!A1","Open"))</f>
        <v>Open</v>
      </c>
      <c r="U612" s="9"/>
    </row>
    <row r="613" spans="1:21" ht="45" customHeight="1" x14ac:dyDescent="0.25">
      <c r="A613" s="58" t="s">
        <v>226</v>
      </c>
      <c r="B613" s="11">
        <v>12407</v>
      </c>
      <c r="C613" s="43" t="s">
        <v>1268</v>
      </c>
      <c r="D613" s="11" t="s">
        <v>1498</v>
      </c>
      <c r="E613" s="64" t="s">
        <v>68</v>
      </c>
      <c r="F613" s="11" t="s">
        <v>1963</v>
      </c>
      <c r="G613" s="10">
        <v>37</v>
      </c>
      <c r="H613" s="11" t="b">
        <v>0</v>
      </c>
      <c r="I613" s="11" t="s">
        <v>1964</v>
      </c>
      <c r="J613" s="11" t="s">
        <v>1965</v>
      </c>
      <c r="K613" s="72" t="s">
        <v>9</v>
      </c>
      <c r="L613" s="11" t="s">
        <v>1184</v>
      </c>
      <c r="M613" s="11" t="s">
        <v>864</v>
      </c>
      <c r="N613" s="60" t="s">
        <v>98</v>
      </c>
      <c r="O613" s="49" t="s">
        <v>2</v>
      </c>
      <c r="P613" s="11">
        <v>4</v>
      </c>
      <c r="Q613" s="11" t="s">
        <v>1978</v>
      </c>
      <c r="R613" s="11" t="s">
        <v>1967</v>
      </c>
      <c r="S613" t="str">
        <f>IFERROR(HYPERLINK("#Main!A"&amp;MATCH(A613,Main!A:A,0),"Open"),HYPERLINK("#Main!A1","Open"))</f>
        <v>Open</v>
      </c>
      <c r="T613" t="str">
        <f>IFERROR(HYPERLINK("#Technical!A"&amp;MATCH(A613,Technical!A:A,0),"Open"),HYPERLINK("#Technical!A1","Open"))</f>
        <v>Open</v>
      </c>
    </row>
    <row r="614" spans="1:21" ht="45" customHeight="1" x14ac:dyDescent="0.25">
      <c r="A614" s="59" t="s">
        <v>234</v>
      </c>
      <c r="B614" s="8">
        <v>13098</v>
      </c>
      <c r="C614" s="43" t="s">
        <v>1270</v>
      </c>
      <c r="D614" s="8" t="s">
        <v>1498</v>
      </c>
      <c r="E614" s="64" t="s">
        <v>68</v>
      </c>
      <c r="F614" s="8" t="s">
        <v>1963</v>
      </c>
      <c r="G614" s="36">
        <v>37</v>
      </c>
      <c r="H614" s="8" t="b">
        <v>0</v>
      </c>
      <c r="I614" s="8" t="s">
        <v>1964</v>
      </c>
      <c r="J614" s="8" t="s">
        <v>1965</v>
      </c>
      <c r="K614" s="71" t="s">
        <v>9</v>
      </c>
      <c r="L614" s="8" t="s">
        <v>1184</v>
      </c>
      <c r="M614" s="8" t="s">
        <v>864</v>
      </c>
      <c r="N614" s="60" t="s">
        <v>98</v>
      </c>
      <c r="O614" s="49" t="s">
        <v>2</v>
      </c>
      <c r="P614" s="8">
        <v>4</v>
      </c>
      <c r="Q614" s="8" t="s">
        <v>1979</v>
      </c>
      <c r="R614" s="8" t="s">
        <v>1967</v>
      </c>
      <c r="S614" s="9" t="str">
        <f>IFERROR(HYPERLINK("#Main!A"&amp;MATCH(A614,Main!A:A,0),"Open"),HYPERLINK("#Main!A1","Open"))</f>
        <v>Open</v>
      </c>
      <c r="T614" s="9" t="str">
        <f>IFERROR(HYPERLINK("#Technical!A"&amp;MATCH(A614,Technical!A:A,0),"Open"),HYPERLINK("#Technical!A1","Open"))</f>
        <v>Open</v>
      </c>
      <c r="U614" s="9"/>
    </row>
    <row r="615" spans="1:21" ht="45" customHeight="1" x14ac:dyDescent="0.25">
      <c r="A615" s="58" t="s">
        <v>242</v>
      </c>
      <c r="B615" s="11">
        <v>13549</v>
      </c>
      <c r="C615" s="43" t="s">
        <v>1272</v>
      </c>
      <c r="D615" s="11" t="s">
        <v>1498</v>
      </c>
      <c r="E615" s="64" t="s">
        <v>68</v>
      </c>
      <c r="F615" s="11" t="s">
        <v>1963</v>
      </c>
      <c r="G615" s="10">
        <v>37</v>
      </c>
      <c r="H615" s="11" t="b">
        <v>0</v>
      </c>
      <c r="I615" s="11" t="s">
        <v>1964</v>
      </c>
      <c r="J615" s="11" t="s">
        <v>1965</v>
      </c>
      <c r="K615" s="72" t="s">
        <v>9</v>
      </c>
      <c r="L615" s="11" t="s">
        <v>1184</v>
      </c>
      <c r="M615" s="11" t="s">
        <v>864</v>
      </c>
      <c r="N615" s="60" t="s">
        <v>98</v>
      </c>
      <c r="O615" s="49" t="s">
        <v>2</v>
      </c>
      <c r="P615" s="11">
        <v>4</v>
      </c>
      <c r="Q615" s="11" t="s">
        <v>1980</v>
      </c>
      <c r="R615" s="11" t="s">
        <v>1967</v>
      </c>
      <c r="S615" t="str">
        <f>IFERROR(HYPERLINK("#Main!A"&amp;MATCH(A615,Main!A:A,0),"Open"),HYPERLINK("#Main!A1","Open"))</f>
        <v>Open</v>
      </c>
      <c r="T615" t="str">
        <f>IFERROR(HYPERLINK("#Technical!A"&amp;MATCH(A615,Technical!A:A,0),"Open"),HYPERLINK("#Technical!A1","Open"))</f>
        <v>Open</v>
      </c>
    </row>
    <row r="616" spans="1:21" ht="45" customHeight="1" x14ac:dyDescent="0.25">
      <c r="A616" s="59" t="s">
        <v>250</v>
      </c>
      <c r="B616" s="8">
        <v>13282</v>
      </c>
      <c r="C616" s="43" t="s">
        <v>1274</v>
      </c>
      <c r="D616" s="8" t="s">
        <v>1498</v>
      </c>
      <c r="E616" s="64" t="s">
        <v>68</v>
      </c>
      <c r="F616" s="8" t="s">
        <v>1963</v>
      </c>
      <c r="G616" s="36">
        <v>37</v>
      </c>
      <c r="H616" s="8" t="b">
        <v>0</v>
      </c>
      <c r="I616" s="8" t="s">
        <v>1964</v>
      </c>
      <c r="J616" s="8" t="s">
        <v>1965</v>
      </c>
      <c r="K616" s="71" t="s">
        <v>9</v>
      </c>
      <c r="L616" s="8" t="s">
        <v>1184</v>
      </c>
      <c r="M616" s="8" t="s">
        <v>864</v>
      </c>
      <c r="N616" s="60" t="s">
        <v>98</v>
      </c>
      <c r="O616" s="49" t="s">
        <v>2</v>
      </c>
      <c r="P616" s="8">
        <v>4</v>
      </c>
      <c r="Q616" s="8" t="s">
        <v>1981</v>
      </c>
      <c r="R616" s="8" t="s">
        <v>1967</v>
      </c>
      <c r="S616" s="9" t="str">
        <f>IFERROR(HYPERLINK("#Main!A"&amp;MATCH(A616,Main!A:A,0),"Open"),HYPERLINK("#Main!A1","Open"))</f>
        <v>Open</v>
      </c>
      <c r="T616" s="9" t="str">
        <f>IFERROR(HYPERLINK("#Technical!A"&amp;MATCH(A616,Technical!A:A,0),"Open"),HYPERLINK("#Technical!A1","Open"))</f>
        <v>Open</v>
      </c>
      <c r="U616" s="9"/>
    </row>
    <row r="617" spans="1:21" ht="45" customHeight="1" x14ac:dyDescent="0.25">
      <c r="A617" s="58" t="s">
        <v>258</v>
      </c>
      <c r="B617" s="11">
        <v>12945</v>
      </c>
      <c r="C617" s="43" t="s">
        <v>1276</v>
      </c>
      <c r="D617" s="11" t="s">
        <v>1498</v>
      </c>
      <c r="E617" s="64" t="s">
        <v>68</v>
      </c>
      <c r="F617" s="11" t="s">
        <v>1963</v>
      </c>
      <c r="G617" s="10">
        <v>37</v>
      </c>
      <c r="H617" s="11" t="b">
        <v>0</v>
      </c>
      <c r="I617" s="11" t="s">
        <v>1964</v>
      </c>
      <c r="J617" s="11" t="s">
        <v>1965</v>
      </c>
      <c r="K617" s="72" t="s">
        <v>9</v>
      </c>
      <c r="L617" s="11" t="s">
        <v>1184</v>
      </c>
      <c r="M617" s="11" t="s">
        <v>864</v>
      </c>
      <c r="N617" s="60" t="s">
        <v>98</v>
      </c>
      <c r="O617" s="49" t="s">
        <v>2</v>
      </c>
      <c r="P617" s="11">
        <v>4</v>
      </c>
      <c r="Q617" s="11" t="s">
        <v>1982</v>
      </c>
      <c r="R617" s="11" t="s">
        <v>1967</v>
      </c>
      <c r="S617" t="str">
        <f>IFERROR(HYPERLINK("#Main!A"&amp;MATCH(A617,Main!A:A,0),"Open"),HYPERLINK("#Main!A1","Open"))</f>
        <v>Open</v>
      </c>
      <c r="T617" t="str">
        <f>IFERROR(HYPERLINK("#Technical!A"&amp;MATCH(A617,Technical!A:A,0),"Open"),HYPERLINK("#Technical!A1","Open"))</f>
        <v>Open</v>
      </c>
    </row>
    <row r="618" spans="1:21" ht="45" customHeight="1" x14ac:dyDescent="0.25">
      <c r="A618" s="59" t="s">
        <v>266</v>
      </c>
      <c r="B618" s="8">
        <v>13179</v>
      </c>
      <c r="C618" s="43" t="s">
        <v>1278</v>
      </c>
      <c r="D618" s="8" t="s">
        <v>1498</v>
      </c>
      <c r="E618" s="64" t="s">
        <v>68</v>
      </c>
      <c r="F618" s="8" t="s">
        <v>1963</v>
      </c>
      <c r="G618" s="36">
        <v>37</v>
      </c>
      <c r="H618" s="8" t="b">
        <v>0</v>
      </c>
      <c r="I618" s="8" t="s">
        <v>1964</v>
      </c>
      <c r="J618" s="8" t="s">
        <v>1965</v>
      </c>
      <c r="K618" s="71" t="s">
        <v>9</v>
      </c>
      <c r="L618" s="8" t="s">
        <v>1184</v>
      </c>
      <c r="M618" s="8" t="s">
        <v>864</v>
      </c>
      <c r="N618" s="60" t="s">
        <v>98</v>
      </c>
      <c r="O618" s="49" t="s">
        <v>2</v>
      </c>
      <c r="P618" s="8">
        <v>4</v>
      </c>
      <c r="Q618" s="8" t="s">
        <v>1983</v>
      </c>
      <c r="R618" s="8" t="s">
        <v>1967</v>
      </c>
      <c r="S618" s="9" t="str">
        <f>IFERROR(HYPERLINK("#Main!A"&amp;MATCH(A618,Main!A:A,0),"Open"),HYPERLINK("#Main!A1","Open"))</f>
        <v>Open</v>
      </c>
      <c r="T618" s="9" t="str">
        <f>IFERROR(HYPERLINK("#Technical!A"&amp;MATCH(A618,Technical!A:A,0),"Open"),HYPERLINK("#Technical!A1","Open"))</f>
        <v>Open</v>
      </c>
      <c r="U618" s="9"/>
    </row>
    <row r="619" spans="1:21" ht="45" customHeight="1" x14ac:dyDescent="0.25">
      <c r="A619" s="58" t="s">
        <v>274</v>
      </c>
      <c r="B619" s="11">
        <v>22401</v>
      </c>
      <c r="C619" s="43" t="s">
        <v>1280</v>
      </c>
      <c r="D619" s="11" t="s">
        <v>1498</v>
      </c>
      <c r="E619" s="64" t="s">
        <v>68</v>
      </c>
      <c r="F619" s="11" t="s">
        <v>1963</v>
      </c>
      <c r="G619" s="10">
        <v>37</v>
      </c>
      <c r="H619" s="11" t="b">
        <v>0</v>
      </c>
      <c r="I619" s="11" t="s">
        <v>1964</v>
      </c>
      <c r="J619" s="11" t="s">
        <v>1965</v>
      </c>
      <c r="K619" s="72" t="s">
        <v>9</v>
      </c>
      <c r="L619" s="11" t="s">
        <v>1184</v>
      </c>
      <c r="M619" s="11" t="s">
        <v>864</v>
      </c>
      <c r="N619" s="60" t="s">
        <v>98</v>
      </c>
      <c r="O619" s="49" t="s">
        <v>2</v>
      </c>
      <c r="P619" s="11">
        <v>4</v>
      </c>
      <c r="Q619" s="11" t="s">
        <v>1984</v>
      </c>
      <c r="R619" s="11" t="s">
        <v>1967</v>
      </c>
      <c r="S619" t="str">
        <f>IFERROR(HYPERLINK("#Main!A"&amp;MATCH(A619,Main!A:A,0),"Open"),HYPERLINK("#Main!A1","Open"))</f>
        <v>Open</v>
      </c>
      <c r="T619" t="str">
        <f>IFERROR(HYPERLINK("#Technical!A"&amp;MATCH(A619,Technical!A:A,0),"Open"),HYPERLINK("#Technical!A1","Open"))</f>
        <v>Open</v>
      </c>
    </row>
    <row r="620" spans="1:21" ht="45" customHeight="1" x14ac:dyDescent="0.25">
      <c r="A620" s="59" t="s">
        <v>282</v>
      </c>
      <c r="B620" s="8">
        <v>18318</v>
      </c>
      <c r="C620" s="43" t="s">
        <v>1282</v>
      </c>
      <c r="D620" s="8" t="s">
        <v>1498</v>
      </c>
      <c r="E620" s="64" t="s">
        <v>68</v>
      </c>
      <c r="F620" s="8" t="s">
        <v>1963</v>
      </c>
      <c r="G620" s="36">
        <v>37</v>
      </c>
      <c r="H620" s="8" t="b">
        <v>0</v>
      </c>
      <c r="I620" s="8" t="s">
        <v>1964</v>
      </c>
      <c r="J620" s="8" t="s">
        <v>1965</v>
      </c>
      <c r="K620" s="71" t="s">
        <v>9</v>
      </c>
      <c r="L620" s="8" t="s">
        <v>1184</v>
      </c>
      <c r="M620" s="8" t="s">
        <v>864</v>
      </c>
      <c r="N620" s="60" t="s">
        <v>98</v>
      </c>
      <c r="O620" s="49" t="s">
        <v>2</v>
      </c>
      <c r="P620" s="8">
        <v>4</v>
      </c>
      <c r="Q620" s="8" t="s">
        <v>1985</v>
      </c>
      <c r="R620" s="8" t="s">
        <v>1967</v>
      </c>
      <c r="S620" s="9" t="str">
        <f>IFERROR(HYPERLINK("#Main!A"&amp;MATCH(A620,Main!A:A,0),"Open"),HYPERLINK("#Main!A1","Open"))</f>
        <v>Open</v>
      </c>
      <c r="T620" s="9" t="str">
        <f>IFERROR(HYPERLINK("#Technical!A"&amp;MATCH(A620,Technical!A:A,0),"Open"),HYPERLINK("#Technical!A1","Open"))</f>
        <v>Open</v>
      </c>
      <c r="U620" s="9"/>
    </row>
    <row r="621" spans="1:21" ht="45" customHeight="1" x14ac:dyDescent="0.25">
      <c r="A621" s="58" t="s">
        <v>290</v>
      </c>
      <c r="B621" s="11">
        <v>30257</v>
      </c>
      <c r="C621" s="43" t="s">
        <v>1284</v>
      </c>
      <c r="D621" s="11" t="s">
        <v>1498</v>
      </c>
      <c r="E621" s="64" t="s">
        <v>68</v>
      </c>
      <c r="F621" s="11" t="s">
        <v>1963</v>
      </c>
      <c r="G621" s="10">
        <v>37</v>
      </c>
      <c r="H621" s="11" t="b">
        <v>0</v>
      </c>
      <c r="I621" s="11" t="s">
        <v>1964</v>
      </c>
      <c r="J621" s="11" t="s">
        <v>1965</v>
      </c>
      <c r="K621" s="72" t="s">
        <v>9</v>
      </c>
      <c r="L621" s="11" t="s">
        <v>1184</v>
      </c>
      <c r="M621" s="11" t="s">
        <v>864</v>
      </c>
      <c r="N621" s="60" t="s">
        <v>98</v>
      </c>
      <c r="O621" s="49" t="s">
        <v>2</v>
      </c>
      <c r="P621" s="11">
        <v>4</v>
      </c>
      <c r="Q621" s="11" t="s">
        <v>1986</v>
      </c>
      <c r="R621" s="11" t="s">
        <v>1967</v>
      </c>
      <c r="S621" t="str">
        <f>IFERROR(HYPERLINK("#Main!A"&amp;MATCH(A621,Main!A:A,0),"Open"),HYPERLINK("#Main!A1","Open"))</f>
        <v>Open</v>
      </c>
      <c r="T621" t="str">
        <f>IFERROR(HYPERLINK("#Technical!A"&amp;MATCH(A621,Technical!A:A,0),"Open"),HYPERLINK("#Technical!A1","Open"))</f>
        <v>Open</v>
      </c>
    </row>
    <row r="622" spans="1:21" ht="45" customHeight="1" x14ac:dyDescent="0.25">
      <c r="A622" s="59" t="s">
        <v>298</v>
      </c>
      <c r="B622" s="8">
        <v>23710</v>
      </c>
      <c r="C622" s="43" t="s">
        <v>1286</v>
      </c>
      <c r="D622" s="8" t="s">
        <v>1498</v>
      </c>
      <c r="E622" s="64" t="s">
        <v>68</v>
      </c>
      <c r="F622" s="8" t="s">
        <v>1963</v>
      </c>
      <c r="G622" s="36">
        <v>37</v>
      </c>
      <c r="H622" s="8" t="b">
        <v>0</v>
      </c>
      <c r="I622" s="8" t="s">
        <v>1964</v>
      </c>
      <c r="J622" s="8" t="s">
        <v>1965</v>
      </c>
      <c r="K622" s="71" t="s">
        <v>9</v>
      </c>
      <c r="L622" s="8" t="s">
        <v>1184</v>
      </c>
      <c r="M622" s="8" t="s">
        <v>864</v>
      </c>
      <c r="N622" s="60" t="s">
        <v>98</v>
      </c>
      <c r="O622" s="49" t="s">
        <v>2</v>
      </c>
      <c r="P622" s="8">
        <v>4</v>
      </c>
      <c r="Q622" s="8" t="s">
        <v>1987</v>
      </c>
      <c r="R622" s="8" t="s">
        <v>1967</v>
      </c>
      <c r="S622" s="9" t="str">
        <f>IFERROR(HYPERLINK("#Main!A"&amp;MATCH(A622,Main!A:A,0),"Open"),HYPERLINK("#Main!A1","Open"))</f>
        <v>Open</v>
      </c>
      <c r="T622" s="9" t="str">
        <f>IFERROR(HYPERLINK("#Technical!A"&amp;MATCH(A622,Technical!A:A,0),"Open"),HYPERLINK("#Technical!A1","Open"))</f>
        <v>Open</v>
      </c>
      <c r="U622" s="9"/>
    </row>
    <row r="623" spans="1:21" ht="45" customHeight="1" x14ac:dyDescent="0.25">
      <c r="A623" s="58" t="s">
        <v>306</v>
      </c>
      <c r="B623" s="11">
        <v>33280</v>
      </c>
      <c r="C623" s="43" t="s">
        <v>1288</v>
      </c>
      <c r="D623" s="11" t="s">
        <v>1498</v>
      </c>
      <c r="E623" s="64" t="s">
        <v>68</v>
      </c>
      <c r="F623" s="11" t="s">
        <v>1963</v>
      </c>
      <c r="G623" s="10">
        <v>37</v>
      </c>
      <c r="H623" s="11" t="b">
        <v>0</v>
      </c>
      <c r="I623" s="11" t="s">
        <v>1964</v>
      </c>
      <c r="J623" s="11" t="s">
        <v>1965</v>
      </c>
      <c r="K623" s="72" t="s">
        <v>9</v>
      </c>
      <c r="L623" s="11" t="s">
        <v>1184</v>
      </c>
      <c r="M623" s="11" t="s">
        <v>864</v>
      </c>
      <c r="N623" s="60" t="s">
        <v>98</v>
      </c>
      <c r="O623" s="49" t="s">
        <v>2</v>
      </c>
      <c r="P623" s="11">
        <v>4</v>
      </c>
      <c r="Q623" s="11" t="s">
        <v>1988</v>
      </c>
      <c r="R623" s="11" t="s">
        <v>1967</v>
      </c>
      <c r="S623" t="str">
        <f>IFERROR(HYPERLINK("#Main!A"&amp;MATCH(A623,Main!A:A,0),"Open"),HYPERLINK("#Main!A1","Open"))</f>
        <v>Open</v>
      </c>
      <c r="T623" t="str">
        <f>IFERROR(HYPERLINK("#Technical!A"&amp;MATCH(A623,Technical!A:A,0),"Open"),HYPERLINK("#Technical!A1","Open"))</f>
        <v>Open</v>
      </c>
    </row>
    <row r="624" spans="1:21" ht="45" customHeight="1" x14ac:dyDescent="0.25">
      <c r="A624" s="59" t="s">
        <v>314</v>
      </c>
      <c r="B624" s="8">
        <v>22778</v>
      </c>
      <c r="C624" s="43" t="s">
        <v>1290</v>
      </c>
      <c r="D624" s="8" t="s">
        <v>1498</v>
      </c>
      <c r="E624" s="64" t="s">
        <v>68</v>
      </c>
      <c r="F624" s="8" t="s">
        <v>1963</v>
      </c>
      <c r="G624" s="36">
        <v>37</v>
      </c>
      <c r="H624" s="8" t="b">
        <v>0</v>
      </c>
      <c r="I624" s="8" t="s">
        <v>1964</v>
      </c>
      <c r="J624" s="8" t="s">
        <v>1965</v>
      </c>
      <c r="K624" s="71" t="s">
        <v>9</v>
      </c>
      <c r="L624" s="8" t="s">
        <v>1184</v>
      </c>
      <c r="M624" s="8" t="s">
        <v>864</v>
      </c>
      <c r="N624" s="60" t="s">
        <v>98</v>
      </c>
      <c r="O624" s="49" t="s">
        <v>2</v>
      </c>
      <c r="P624" s="8">
        <v>4</v>
      </c>
      <c r="Q624" s="8" t="s">
        <v>1989</v>
      </c>
      <c r="R624" s="8" t="s">
        <v>1967</v>
      </c>
      <c r="S624" s="9" t="str">
        <f>IFERROR(HYPERLINK("#Main!A"&amp;MATCH(A624,Main!A:A,0),"Open"),HYPERLINK("#Main!A1","Open"))</f>
        <v>Open</v>
      </c>
      <c r="T624" s="9" t="str">
        <f>IFERROR(HYPERLINK("#Technical!A"&amp;MATCH(A624,Technical!A:A,0),"Open"),HYPERLINK("#Technical!A1","Open"))</f>
        <v>Open</v>
      </c>
      <c r="U624" s="9"/>
    </row>
    <row r="625" spans="1:21" ht="45" customHeight="1" x14ac:dyDescent="0.25">
      <c r="A625" s="58" t="s">
        <v>322</v>
      </c>
      <c r="B625" s="11">
        <v>31478</v>
      </c>
      <c r="C625" s="43" t="s">
        <v>1292</v>
      </c>
      <c r="D625" s="11" t="s">
        <v>1498</v>
      </c>
      <c r="E625" s="64" t="s">
        <v>68</v>
      </c>
      <c r="F625" s="11" t="s">
        <v>1963</v>
      </c>
      <c r="G625" s="10">
        <v>37</v>
      </c>
      <c r="H625" s="11" t="b">
        <v>0</v>
      </c>
      <c r="I625" s="11" t="s">
        <v>1964</v>
      </c>
      <c r="J625" s="11" t="s">
        <v>1965</v>
      </c>
      <c r="K625" s="72" t="s">
        <v>9</v>
      </c>
      <c r="L625" s="11" t="s">
        <v>1184</v>
      </c>
      <c r="M625" s="11" t="s">
        <v>864</v>
      </c>
      <c r="N625" s="60" t="s">
        <v>98</v>
      </c>
      <c r="O625" s="49" t="s">
        <v>2</v>
      </c>
      <c r="P625" s="11">
        <v>4</v>
      </c>
      <c r="Q625" s="11" t="s">
        <v>1990</v>
      </c>
      <c r="R625" s="11" t="s">
        <v>1967</v>
      </c>
      <c r="S625" t="str">
        <f>IFERROR(HYPERLINK("#Main!A"&amp;MATCH(A625,Main!A:A,0),"Open"),HYPERLINK("#Main!A1","Open"))</f>
        <v>Open</v>
      </c>
      <c r="T625" t="str">
        <f>IFERROR(HYPERLINK("#Technical!A"&amp;MATCH(A625,Technical!A:A,0),"Open"),HYPERLINK("#Technical!A1","Open"))</f>
        <v>Open</v>
      </c>
    </row>
    <row r="626" spans="1:21" ht="45" customHeight="1" x14ac:dyDescent="0.25">
      <c r="A626" s="59" t="s">
        <v>330</v>
      </c>
      <c r="B626" s="8">
        <v>5057</v>
      </c>
      <c r="C626" s="43" t="s">
        <v>1294</v>
      </c>
      <c r="D626" s="8" t="s">
        <v>1498</v>
      </c>
      <c r="E626" s="64" t="s">
        <v>68</v>
      </c>
      <c r="F626" s="8" t="s">
        <v>1963</v>
      </c>
      <c r="G626" s="36">
        <v>37</v>
      </c>
      <c r="H626" s="8" t="b">
        <v>0</v>
      </c>
      <c r="I626" s="8" t="s">
        <v>1964</v>
      </c>
      <c r="J626" s="8" t="s">
        <v>1965</v>
      </c>
      <c r="K626" s="71" t="s">
        <v>9</v>
      </c>
      <c r="L626" s="8" t="s">
        <v>1184</v>
      </c>
      <c r="M626" s="8" t="s">
        <v>864</v>
      </c>
      <c r="N626" s="60" t="s">
        <v>98</v>
      </c>
      <c r="O626" s="49" t="s">
        <v>2</v>
      </c>
      <c r="P626" s="8">
        <v>4</v>
      </c>
      <c r="Q626" s="8" t="s">
        <v>1991</v>
      </c>
      <c r="R626" s="8" t="s">
        <v>1967</v>
      </c>
      <c r="S626" s="9" t="str">
        <f>IFERROR(HYPERLINK("#Main!A"&amp;MATCH(A626,Main!A:A,0),"Open"),HYPERLINK("#Main!A1","Open"))</f>
        <v>Open</v>
      </c>
      <c r="T626" s="9" t="str">
        <f>IFERROR(HYPERLINK("#Technical!A"&amp;MATCH(A626,Technical!A:A,0),"Open"),HYPERLINK("#Technical!A1","Open"))</f>
        <v>Open</v>
      </c>
      <c r="U626" s="9"/>
    </row>
    <row r="627" spans="1:21" ht="45" customHeight="1" x14ac:dyDescent="0.25">
      <c r="A627" s="58" t="s">
        <v>338</v>
      </c>
      <c r="B627" s="11"/>
      <c r="C627" s="11"/>
      <c r="D627" s="11" t="s">
        <v>1498</v>
      </c>
      <c r="E627" s="64" t="s">
        <v>68</v>
      </c>
      <c r="F627" s="11" t="s">
        <v>1963</v>
      </c>
      <c r="G627" s="10">
        <v>37</v>
      </c>
      <c r="H627" s="11" t="b">
        <v>0</v>
      </c>
      <c r="I627" s="11" t="s">
        <v>1964</v>
      </c>
      <c r="J627" s="11" t="s">
        <v>1965</v>
      </c>
      <c r="K627" s="72" t="s">
        <v>9</v>
      </c>
      <c r="L627" s="11" t="s">
        <v>1184</v>
      </c>
      <c r="M627" s="11" t="s">
        <v>864</v>
      </c>
      <c r="N627" s="60" t="s">
        <v>98</v>
      </c>
      <c r="O627" s="49" t="s">
        <v>2</v>
      </c>
      <c r="P627" s="11">
        <v>4</v>
      </c>
      <c r="Q627" s="11" t="s">
        <v>1992</v>
      </c>
      <c r="R627" s="11" t="s">
        <v>1967</v>
      </c>
      <c r="S627" t="str">
        <f>IFERROR(HYPERLINK("#Main!A"&amp;MATCH(A627,Main!A:A,0),"Open"),HYPERLINK("#Main!A1","Open"))</f>
        <v>Open</v>
      </c>
      <c r="T627" t="str">
        <f>IFERROR(HYPERLINK("#Technical!A"&amp;MATCH(A627,Technical!A:A,0),"Open"),HYPERLINK("#Technical!A1","Open"))</f>
        <v>Open</v>
      </c>
    </row>
    <row r="628" spans="1:21" ht="45" customHeight="1" x14ac:dyDescent="0.25">
      <c r="A628" s="59" t="s">
        <v>342</v>
      </c>
      <c r="B628" s="8">
        <v>12477</v>
      </c>
      <c r="C628" s="43" t="s">
        <v>1297</v>
      </c>
      <c r="D628" s="8" t="s">
        <v>1498</v>
      </c>
      <c r="E628" s="64" t="s">
        <v>68</v>
      </c>
      <c r="F628" s="8" t="s">
        <v>1963</v>
      </c>
      <c r="G628" s="36">
        <v>37</v>
      </c>
      <c r="H628" s="8" t="b">
        <v>0</v>
      </c>
      <c r="I628" s="8" t="s">
        <v>1964</v>
      </c>
      <c r="J628" s="8" t="s">
        <v>1965</v>
      </c>
      <c r="K628" s="71" t="s">
        <v>9</v>
      </c>
      <c r="L628" s="8" t="s">
        <v>1184</v>
      </c>
      <c r="M628" s="8" t="s">
        <v>864</v>
      </c>
      <c r="N628" s="60" t="s">
        <v>98</v>
      </c>
      <c r="O628" s="49" t="s">
        <v>2</v>
      </c>
      <c r="P628" s="8">
        <v>4</v>
      </c>
      <c r="Q628" s="8" t="s">
        <v>1993</v>
      </c>
      <c r="R628" s="8" t="s">
        <v>1967</v>
      </c>
      <c r="S628" s="9" t="str">
        <f>IFERROR(HYPERLINK("#Main!A"&amp;MATCH(A628,Main!A:A,0),"Open"),HYPERLINK("#Main!A1","Open"))</f>
        <v>Open</v>
      </c>
      <c r="T628" s="9" t="str">
        <f>IFERROR(HYPERLINK("#Technical!A"&amp;MATCH(A628,Technical!A:A,0),"Open"),HYPERLINK("#Technical!A1","Open"))</f>
        <v>Open</v>
      </c>
      <c r="U628" s="9"/>
    </row>
    <row r="629" spans="1:21" ht="45" customHeight="1" x14ac:dyDescent="0.25">
      <c r="A629" s="58" t="s">
        <v>350</v>
      </c>
      <c r="B629" s="11">
        <v>21958</v>
      </c>
      <c r="C629" s="43" t="s">
        <v>1299</v>
      </c>
      <c r="D629" s="11" t="s">
        <v>1498</v>
      </c>
      <c r="E629" s="64" t="s">
        <v>68</v>
      </c>
      <c r="F629" s="11" t="s">
        <v>1963</v>
      </c>
      <c r="G629" s="10">
        <v>37</v>
      </c>
      <c r="H629" s="11" t="b">
        <v>0</v>
      </c>
      <c r="I629" s="11" t="s">
        <v>1964</v>
      </c>
      <c r="J629" s="11" t="s">
        <v>1965</v>
      </c>
      <c r="K629" s="72" t="s">
        <v>9</v>
      </c>
      <c r="L629" s="11" t="s">
        <v>1184</v>
      </c>
      <c r="M629" s="11" t="s">
        <v>864</v>
      </c>
      <c r="N629" s="60" t="s">
        <v>98</v>
      </c>
      <c r="O629" s="49" t="s">
        <v>2</v>
      </c>
      <c r="P629" s="11">
        <v>4</v>
      </c>
      <c r="Q629" s="11" t="s">
        <v>1994</v>
      </c>
      <c r="R629" s="11" t="s">
        <v>1967</v>
      </c>
      <c r="S629" t="str">
        <f>IFERROR(HYPERLINK("#Main!A"&amp;MATCH(A629,Main!A:A,0),"Open"),HYPERLINK("#Main!A1","Open"))</f>
        <v>Open</v>
      </c>
      <c r="T629" t="str">
        <f>IFERROR(HYPERLINK("#Technical!A"&amp;MATCH(A629,Technical!A:A,0),"Open"),HYPERLINK("#Technical!A1","Open"))</f>
        <v>Open</v>
      </c>
    </row>
    <row r="630" spans="1:21" ht="45" customHeight="1" x14ac:dyDescent="0.25">
      <c r="A630" s="59" t="s">
        <v>358</v>
      </c>
      <c r="B630" s="8">
        <v>21984</v>
      </c>
      <c r="C630" s="43" t="s">
        <v>1301</v>
      </c>
      <c r="D630" s="8" t="s">
        <v>1498</v>
      </c>
      <c r="E630" s="64" t="s">
        <v>68</v>
      </c>
      <c r="F630" s="8" t="s">
        <v>1963</v>
      </c>
      <c r="G630" s="36">
        <v>37</v>
      </c>
      <c r="H630" s="8" t="b">
        <v>0</v>
      </c>
      <c r="I630" s="8" t="s">
        <v>1964</v>
      </c>
      <c r="J630" s="8" t="s">
        <v>1965</v>
      </c>
      <c r="K630" s="71" t="s">
        <v>9</v>
      </c>
      <c r="L630" s="8" t="s">
        <v>1184</v>
      </c>
      <c r="M630" s="8" t="s">
        <v>864</v>
      </c>
      <c r="N630" s="60" t="s">
        <v>98</v>
      </c>
      <c r="O630" s="49" t="s">
        <v>2</v>
      </c>
      <c r="P630" s="8">
        <v>4</v>
      </c>
      <c r="Q630" s="8" t="s">
        <v>1995</v>
      </c>
      <c r="R630" s="8" t="s">
        <v>1967</v>
      </c>
      <c r="S630" s="9" t="str">
        <f>IFERROR(HYPERLINK("#Main!A"&amp;MATCH(A630,Main!A:A,0),"Open"),HYPERLINK("#Main!A1","Open"))</f>
        <v>Open</v>
      </c>
      <c r="T630" s="9" t="str">
        <f>IFERROR(HYPERLINK("#Technical!A"&amp;MATCH(A630,Technical!A:A,0),"Open"),HYPERLINK("#Technical!A1","Open"))</f>
        <v>Open</v>
      </c>
      <c r="U630" s="9"/>
    </row>
    <row r="631" spans="1:21" ht="45" customHeight="1" x14ac:dyDescent="0.25">
      <c r="A631" s="58" t="s">
        <v>366</v>
      </c>
      <c r="B631" s="11">
        <v>33131</v>
      </c>
      <c r="C631" s="43" t="s">
        <v>1303</v>
      </c>
      <c r="D631" s="11" t="s">
        <v>1498</v>
      </c>
      <c r="E631" s="64" t="s">
        <v>68</v>
      </c>
      <c r="F631" s="11" t="s">
        <v>1963</v>
      </c>
      <c r="G631" s="10">
        <v>37</v>
      </c>
      <c r="H631" s="11" t="b">
        <v>0</v>
      </c>
      <c r="I631" s="11" t="s">
        <v>1964</v>
      </c>
      <c r="J631" s="11" t="s">
        <v>1965</v>
      </c>
      <c r="K631" s="72" t="s">
        <v>9</v>
      </c>
      <c r="L631" s="11" t="s">
        <v>1184</v>
      </c>
      <c r="M631" s="11" t="s">
        <v>864</v>
      </c>
      <c r="N631" s="60" t="s">
        <v>98</v>
      </c>
      <c r="O631" s="49" t="s">
        <v>2</v>
      </c>
      <c r="P631" s="11">
        <v>4</v>
      </c>
      <c r="Q631" s="11" t="s">
        <v>1996</v>
      </c>
      <c r="R631" s="11" t="s">
        <v>1967</v>
      </c>
      <c r="S631" t="str">
        <f>IFERROR(HYPERLINK("#Main!A"&amp;MATCH(A631,Main!A:A,0),"Open"),HYPERLINK("#Main!A1","Open"))</f>
        <v>Open</v>
      </c>
      <c r="T631" t="str">
        <f>IFERROR(HYPERLINK("#Technical!A"&amp;MATCH(A631,Technical!A:A,0),"Open"),HYPERLINK("#Technical!A1","Open"))</f>
        <v>Open</v>
      </c>
    </row>
    <row r="632" spans="1:21" ht="45" customHeight="1" x14ac:dyDescent="0.25">
      <c r="A632" s="59" t="s">
        <v>374</v>
      </c>
      <c r="B632" s="8">
        <v>21958</v>
      </c>
      <c r="C632" s="43" t="s">
        <v>1299</v>
      </c>
      <c r="D632" s="8" t="s">
        <v>1498</v>
      </c>
      <c r="E632" s="64" t="s">
        <v>68</v>
      </c>
      <c r="F632" s="8" t="s">
        <v>1963</v>
      </c>
      <c r="G632" s="36">
        <v>37</v>
      </c>
      <c r="H632" s="8" t="b">
        <v>0</v>
      </c>
      <c r="I632" s="8" t="s">
        <v>1964</v>
      </c>
      <c r="J632" s="8" t="s">
        <v>1965</v>
      </c>
      <c r="K632" s="71" t="s">
        <v>9</v>
      </c>
      <c r="L632" s="8" t="s">
        <v>1184</v>
      </c>
      <c r="M632" s="8" t="s">
        <v>864</v>
      </c>
      <c r="N632" s="60" t="s">
        <v>98</v>
      </c>
      <c r="O632" s="49" t="s">
        <v>2</v>
      </c>
      <c r="P632" s="8">
        <v>4</v>
      </c>
      <c r="Q632" s="8" t="s">
        <v>1997</v>
      </c>
      <c r="R632" s="8" t="s">
        <v>1967</v>
      </c>
      <c r="S632" s="9" t="str">
        <f>IFERROR(HYPERLINK("#Main!A"&amp;MATCH(A632,Main!A:A,0),"Open"),HYPERLINK("#Main!A1","Open"))</f>
        <v>Open</v>
      </c>
      <c r="T632" s="9" t="str">
        <f>IFERROR(HYPERLINK("#Technical!A"&amp;MATCH(A632,Technical!A:A,0),"Open"),HYPERLINK("#Technical!A1","Open"))</f>
        <v>Open</v>
      </c>
      <c r="U632" s="9"/>
    </row>
    <row r="633" spans="1:21" ht="45" customHeight="1" x14ac:dyDescent="0.25">
      <c r="A633" s="58" t="s">
        <v>377</v>
      </c>
      <c r="B633" s="11">
        <v>25857</v>
      </c>
      <c r="C633" s="43" t="s">
        <v>1306</v>
      </c>
      <c r="D633" s="11" t="s">
        <v>1498</v>
      </c>
      <c r="E633" s="64" t="s">
        <v>68</v>
      </c>
      <c r="F633" s="11" t="s">
        <v>1963</v>
      </c>
      <c r="G633" s="10">
        <v>37</v>
      </c>
      <c r="H633" s="11" t="b">
        <v>0</v>
      </c>
      <c r="I633" s="11" t="s">
        <v>1964</v>
      </c>
      <c r="J633" s="11" t="s">
        <v>1965</v>
      </c>
      <c r="K633" s="72" t="s">
        <v>9</v>
      </c>
      <c r="L633" s="11" t="s">
        <v>1184</v>
      </c>
      <c r="M633" s="11" t="s">
        <v>864</v>
      </c>
      <c r="N633" s="60" t="s">
        <v>98</v>
      </c>
      <c r="O633" s="49" t="s">
        <v>2</v>
      </c>
      <c r="P633" s="11">
        <v>4</v>
      </c>
      <c r="Q633" s="11" t="s">
        <v>1998</v>
      </c>
      <c r="R633" s="11" t="s">
        <v>1967</v>
      </c>
      <c r="S633" t="str">
        <f>IFERROR(HYPERLINK("#Main!A"&amp;MATCH(A633,Main!A:A,0),"Open"),HYPERLINK("#Main!A1","Open"))</f>
        <v>Open</v>
      </c>
      <c r="T633" t="str">
        <f>IFERROR(HYPERLINK("#Technical!A"&amp;MATCH(A633,Technical!A:A,0),"Open"),HYPERLINK("#Technical!A1","Open"))</f>
        <v>Open</v>
      </c>
    </row>
    <row r="634" spans="1:21" ht="45" customHeight="1" x14ac:dyDescent="0.25">
      <c r="A634" s="59" t="s">
        <v>385</v>
      </c>
      <c r="B634" s="8">
        <v>25788</v>
      </c>
      <c r="C634" s="43" t="s">
        <v>1308</v>
      </c>
      <c r="D634" s="8" t="s">
        <v>1498</v>
      </c>
      <c r="E634" s="64" t="s">
        <v>68</v>
      </c>
      <c r="F634" s="8" t="s">
        <v>1963</v>
      </c>
      <c r="G634" s="36">
        <v>37</v>
      </c>
      <c r="H634" s="8" t="b">
        <v>0</v>
      </c>
      <c r="I634" s="8" t="s">
        <v>1964</v>
      </c>
      <c r="J634" s="8" t="s">
        <v>1965</v>
      </c>
      <c r="K634" s="71" t="s">
        <v>9</v>
      </c>
      <c r="L634" s="8" t="s">
        <v>1184</v>
      </c>
      <c r="M634" s="8" t="s">
        <v>864</v>
      </c>
      <c r="N634" s="60" t="s">
        <v>98</v>
      </c>
      <c r="O634" s="49" t="s">
        <v>2</v>
      </c>
      <c r="P634" s="8">
        <v>4</v>
      </c>
      <c r="Q634" s="8" t="s">
        <v>1999</v>
      </c>
      <c r="R634" s="8" t="s">
        <v>1967</v>
      </c>
      <c r="S634" s="9" t="str">
        <f>IFERROR(HYPERLINK("#Main!A"&amp;MATCH(A634,Main!A:A,0),"Open"),HYPERLINK("#Main!A1","Open"))</f>
        <v>Open</v>
      </c>
      <c r="T634" s="9" t="str">
        <f>IFERROR(HYPERLINK("#Technical!A"&amp;MATCH(A634,Technical!A:A,0),"Open"),HYPERLINK("#Technical!A1","Open"))</f>
        <v>Open</v>
      </c>
      <c r="U634" s="9"/>
    </row>
    <row r="635" spans="1:21" ht="45" customHeight="1" x14ac:dyDescent="0.25">
      <c r="A635" s="58" t="s">
        <v>393</v>
      </c>
      <c r="B635" s="11">
        <v>26290</v>
      </c>
      <c r="C635" s="43" t="s">
        <v>1310</v>
      </c>
      <c r="D635" s="11" t="s">
        <v>1498</v>
      </c>
      <c r="E635" s="64" t="s">
        <v>68</v>
      </c>
      <c r="F635" s="11" t="s">
        <v>1963</v>
      </c>
      <c r="G635" s="10">
        <v>37</v>
      </c>
      <c r="H635" s="11" t="b">
        <v>0</v>
      </c>
      <c r="I635" s="11" t="s">
        <v>1964</v>
      </c>
      <c r="J635" s="11" t="s">
        <v>1965</v>
      </c>
      <c r="K635" s="72" t="s">
        <v>9</v>
      </c>
      <c r="L635" s="11" t="s">
        <v>1184</v>
      </c>
      <c r="M635" s="11" t="s">
        <v>864</v>
      </c>
      <c r="N635" s="60" t="s">
        <v>98</v>
      </c>
      <c r="O635" s="49" t="s">
        <v>2</v>
      </c>
      <c r="P635" s="11">
        <v>4</v>
      </c>
      <c r="Q635" s="11" t="s">
        <v>2000</v>
      </c>
      <c r="R635" s="11" t="s">
        <v>1967</v>
      </c>
      <c r="S635" t="str">
        <f>IFERROR(HYPERLINK("#Main!A"&amp;MATCH(A635,Main!A:A,0),"Open"),HYPERLINK("#Main!A1","Open"))</f>
        <v>Open</v>
      </c>
      <c r="T635" t="str">
        <f>IFERROR(HYPERLINK("#Technical!A"&amp;MATCH(A635,Technical!A:A,0),"Open"),HYPERLINK("#Technical!A1","Open"))</f>
        <v>Open</v>
      </c>
    </row>
    <row r="636" spans="1:21" ht="45" customHeight="1" x14ac:dyDescent="0.25">
      <c r="A636" s="59" t="s">
        <v>401</v>
      </c>
      <c r="B636" s="8">
        <v>24882</v>
      </c>
      <c r="C636" s="43" t="s">
        <v>1312</v>
      </c>
      <c r="D636" s="8" t="s">
        <v>1498</v>
      </c>
      <c r="E636" s="64" t="s">
        <v>68</v>
      </c>
      <c r="F636" s="8" t="s">
        <v>1963</v>
      </c>
      <c r="G636" s="36">
        <v>37</v>
      </c>
      <c r="H636" s="8" t="b">
        <v>0</v>
      </c>
      <c r="I636" s="8" t="s">
        <v>1964</v>
      </c>
      <c r="J636" s="8" t="s">
        <v>1965</v>
      </c>
      <c r="K636" s="71" t="s">
        <v>9</v>
      </c>
      <c r="L636" s="8" t="s">
        <v>1184</v>
      </c>
      <c r="M636" s="8" t="s">
        <v>864</v>
      </c>
      <c r="N636" s="60" t="s">
        <v>98</v>
      </c>
      <c r="O636" s="49" t="s">
        <v>2</v>
      </c>
      <c r="P636" s="8">
        <v>4</v>
      </c>
      <c r="Q636" s="8" t="s">
        <v>2001</v>
      </c>
      <c r="R636" s="8" t="s">
        <v>1967</v>
      </c>
      <c r="S636" s="9" t="str">
        <f>IFERROR(HYPERLINK("#Main!A"&amp;MATCH(A636,Main!A:A,0),"Open"),HYPERLINK("#Main!A1","Open"))</f>
        <v>Open</v>
      </c>
      <c r="T636" s="9" t="str">
        <f>IFERROR(HYPERLINK("#Technical!A"&amp;MATCH(A636,Technical!A:A,0),"Open"),HYPERLINK("#Technical!A1","Open"))</f>
        <v>Open</v>
      </c>
      <c r="U636" s="9"/>
    </row>
    <row r="637" spans="1:21" ht="45" customHeight="1" x14ac:dyDescent="0.25">
      <c r="A637" s="58" t="s">
        <v>409</v>
      </c>
      <c r="B637" s="11">
        <v>22595</v>
      </c>
      <c r="C637" s="43" t="s">
        <v>1314</v>
      </c>
      <c r="D637" s="11" t="s">
        <v>1498</v>
      </c>
      <c r="E637" s="64" t="s">
        <v>68</v>
      </c>
      <c r="F637" s="11" t="s">
        <v>1963</v>
      </c>
      <c r="G637" s="10">
        <v>37</v>
      </c>
      <c r="H637" s="11" t="b">
        <v>0</v>
      </c>
      <c r="I637" s="11" t="s">
        <v>1964</v>
      </c>
      <c r="J637" s="11" t="s">
        <v>1965</v>
      </c>
      <c r="K637" s="72" t="s">
        <v>9</v>
      </c>
      <c r="L637" s="11" t="s">
        <v>1184</v>
      </c>
      <c r="M637" s="11" t="s">
        <v>864</v>
      </c>
      <c r="N637" s="60" t="s">
        <v>98</v>
      </c>
      <c r="O637" s="49" t="s">
        <v>2</v>
      </c>
      <c r="P637" s="11">
        <v>4</v>
      </c>
      <c r="Q637" s="11" t="s">
        <v>2002</v>
      </c>
      <c r="R637" s="11" t="s">
        <v>1967</v>
      </c>
      <c r="S637" t="str">
        <f>IFERROR(HYPERLINK("#Main!A"&amp;MATCH(A637,Main!A:A,0),"Open"),HYPERLINK("#Main!A1","Open"))</f>
        <v>Open</v>
      </c>
      <c r="T637" t="str">
        <f>IFERROR(HYPERLINK("#Technical!A"&amp;MATCH(A637,Technical!A:A,0),"Open"),HYPERLINK("#Technical!A1","Open"))</f>
        <v>Open</v>
      </c>
    </row>
    <row r="638" spans="1:21" ht="45" customHeight="1" x14ac:dyDescent="0.25">
      <c r="A638" s="59" t="s">
        <v>417</v>
      </c>
      <c r="B638" s="8">
        <v>29496</v>
      </c>
      <c r="C638" s="43" t="s">
        <v>1316</v>
      </c>
      <c r="D638" s="8" t="s">
        <v>1498</v>
      </c>
      <c r="E638" s="64" t="s">
        <v>68</v>
      </c>
      <c r="F638" s="8" t="s">
        <v>1963</v>
      </c>
      <c r="G638" s="36">
        <v>37</v>
      </c>
      <c r="H638" s="8" t="b">
        <v>0</v>
      </c>
      <c r="I638" s="8" t="s">
        <v>1964</v>
      </c>
      <c r="J638" s="8" t="s">
        <v>1965</v>
      </c>
      <c r="K638" s="71" t="s">
        <v>9</v>
      </c>
      <c r="L638" s="8" t="s">
        <v>1184</v>
      </c>
      <c r="M638" s="8" t="s">
        <v>864</v>
      </c>
      <c r="N638" s="60" t="s">
        <v>98</v>
      </c>
      <c r="O638" s="49" t="s">
        <v>2</v>
      </c>
      <c r="P638" s="8">
        <v>4</v>
      </c>
      <c r="Q638" s="8" t="s">
        <v>2003</v>
      </c>
      <c r="R638" s="8" t="s">
        <v>1967</v>
      </c>
      <c r="S638" s="9" t="str">
        <f>IFERROR(HYPERLINK("#Main!A"&amp;MATCH(A638,Main!A:A,0),"Open"),HYPERLINK("#Main!A1","Open"))</f>
        <v>Open</v>
      </c>
      <c r="T638" s="9" t="str">
        <f>IFERROR(HYPERLINK("#Technical!A"&amp;MATCH(A638,Technical!A:A,0),"Open"),HYPERLINK("#Technical!A1","Open"))</f>
        <v>Open</v>
      </c>
      <c r="U638" s="9"/>
    </row>
    <row r="639" spans="1:21" ht="45" customHeight="1" x14ac:dyDescent="0.25">
      <c r="A639" s="58" t="s">
        <v>425</v>
      </c>
      <c r="B639" s="11">
        <v>16104</v>
      </c>
      <c r="C639" s="43" t="s">
        <v>1318</v>
      </c>
      <c r="D639" s="11" t="s">
        <v>1498</v>
      </c>
      <c r="E639" s="64" t="s">
        <v>68</v>
      </c>
      <c r="F639" s="11" t="s">
        <v>1963</v>
      </c>
      <c r="G639" s="10">
        <v>37</v>
      </c>
      <c r="H639" s="11" t="b">
        <v>0</v>
      </c>
      <c r="I639" s="11" t="s">
        <v>1964</v>
      </c>
      <c r="J639" s="11" t="s">
        <v>1965</v>
      </c>
      <c r="K639" s="72" t="s">
        <v>9</v>
      </c>
      <c r="L639" s="11" t="s">
        <v>1184</v>
      </c>
      <c r="M639" s="11" t="s">
        <v>864</v>
      </c>
      <c r="N639" s="60" t="s">
        <v>98</v>
      </c>
      <c r="O639" s="49" t="s">
        <v>2</v>
      </c>
      <c r="P639" s="11">
        <v>4</v>
      </c>
      <c r="Q639" s="11" t="s">
        <v>2004</v>
      </c>
      <c r="R639" s="11" t="s">
        <v>1967</v>
      </c>
      <c r="S639" t="str">
        <f>IFERROR(HYPERLINK("#Main!A"&amp;MATCH(A639,Main!A:A,0),"Open"),HYPERLINK("#Main!A1","Open"))</f>
        <v>Open</v>
      </c>
      <c r="T639" t="str">
        <f>IFERROR(HYPERLINK("#Technical!A"&amp;MATCH(A639,Technical!A:A,0),"Open"),HYPERLINK("#Technical!A1","Open"))</f>
        <v>Open</v>
      </c>
    </row>
    <row r="640" spans="1:21" ht="45" customHeight="1" x14ac:dyDescent="0.25">
      <c r="A640" s="59" t="s">
        <v>433</v>
      </c>
      <c r="B640" s="8"/>
      <c r="C640" s="8"/>
      <c r="D640" s="8" t="s">
        <v>1498</v>
      </c>
      <c r="E640" s="64" t="s">
        <v>68</v>
      </c>
      <c r="F640" s="8" t="s">
        <v>1963</v>
      </c>
      <c r="G640" s="36">
        <v>37</v>
      </c>
      <c r="H640" s="8" t="b">
        <v>0</v>
      </c>
      <c r="I640" s="8" t="s">
        <v>1964</v>
      </c>
      <c r="J640" s="8" t="s">
        <v>1965</v>
      </c>
      <c r="K640" s="71" t="s">
        <v>9</v>
      </c>
      <c r="L640" s="8" t="s">
        <v>1184</v>
      </c>
      <c r="M640" s="8" t="s">
        <v>864</v>
      </c>
      <c r="N640" s="60" t="s">
        <v>98</v>
      </c>
      <c r="O640" s="49" t="s">
        <v>2</v>
      </c>
      <c r="P640" s="8">
        <v>4</v>
      </c>
      <c r="Q640" s="8" t="s">
        <v>2005</v>
      </c>
      <c r="R640" s="8" t="s">
        <v>1967</v>
      </c>
      <c r="S640" s="9" t="str">
        <f>IFERROR(HYPERLINK("#Main!A"&amp;MATCH(A640,Main!A:A,0),"Open"),HYPERLINK("#Main!A1","Open"))</f>
        <v>Open</v>
      </c>
      <c r="T640" s="9" t="str">
        <f>IFERROR(HYPERLINK("#Technical!A"&amp;MATCH(A640,Technical!A:A,0),"Open"),HYPERLINK("#Technical!A1","Open"))</f>
        <v>Open</v>
      </c>
      <c r="U640" s="9"/>
    </row>
    <row r="641" spans="1:21" ht="45" customHeight="1" x14ac:dyDescent="0.25">
      <c r="A641" s="58" t="s">
        <v>436</v>
      </c>
      <c r="B641" s="11">
        <v>23021</v>
      </c>
      <c r="C641" s="43" t="s">
        <v>1321</v>
      </c>
      <c r="D641" s="11" t="s">
        <v>1498</v>
      </c>
      <c r="E641" s="64" t="s">
        <v>68</v>
      </c>
      <c r="F641" s="11" t="s">
        <v>1963</v>
      </c>
      <c r="G641" s="10">
        <v>37</v>
      </c>
      <c r="H641" s="11" t="b">
        <v>0</v>
      </c>
      <c r="I641" s="11" t="s">
        <v>1964</v>
      </c>
      <c r="J641" s="11" t="s">
        <v>1965</v>
      </c>
      <c r="K641" s="72" t="s">
        <v>9</v>
      </c>
      <c r="L641" s="11" t="s">
        <v>1184</v>
      </c>
      <c r="M641" s="11" t="s">
        <v>864</v>
      </c>
      <c r="N641" s="60" t="s">
        <v>98</v>
      </c>
      <c r="O641" s="49" t="s">
        <v>2</v>
      </c>
      <c r="P641" s="11">
        <v>4</v>
      </c>
      <c r="Q641" s="11" t="s">
        <v>2006</v>
      </c>
      <c r="R641" s="11" t="s">
        <v>1967</v>
      </c>
      <c r="S641" t="str">
        <f>IFERROR(HYPERLINK("#Main!A"&amp;MATCH(A641,Main!A:A,0),"Open"),HYPERLINK("#Main!A1","Open"))</f>
        <v>Open</v>
      </c>
      <c r="T641" t="str">
        <f>IFERROR(HYPERLINK("#Technical!A"&amp;MATCH(A641,Technical!A:A,0),"Open"),HYPERLINK("#Technical!A1","Open"))</f>
        <v>Open</v>
      </c>
    </row>
    <row r="642" spans="1:21" ht="45" customHeight="1" x14ac:dyDescent="0.25">
      <c r="A642" s="59" t="s">
        <v>444</v>
      </c>
      <c r="B642" s="8">
        <v>6816</v>
      </c>
      <c r="C642" s="43" t="s">
        <v>1239</v>
      </c>
      <c r="D642" s="8" t="s">
        <v>1498</v>
      </c>
      <c r="E642" s="64" t="s">
        <v>68</v>
      </c>
      <c r="F642" s="8" t="s">
        <v>1963</v>
      </c>
      <c r="G642" s="36">
        <v>37</v>
      </c>
      <c r="H642" s="8" t="b">
        <v>0</v>
      </c>
      <c r="I642" s="8" t="s">
        <v>1964</v>
      </c>
      <c r="J642" s="8" t="s">
        <v>1965</v>
      </c>
      <c r="K642" s="71" t="s">
        <v>9</v>
      </c>
      <c r="L642" s="8" t="s">
        <v>1184</v>
      </c>
      <c r="M642" s="8" t="s">
        <v>864</v>
      </c>
      <c r="N642" s="60" t="s">
        <v>98</v>
      </c>
      <c r="O642" s="49" t="s">
        <v>2</v>
      </c>
      <c r="P642" s="8">
        <v>4</v>
      </c>
      <c r="Q642" s="8" t="s">
        <v>2007</v>
      </c>
      <c r="R642" s="8" t="s">
        <v>1967</v>
      </c>
      <c r="S642" s="9" t="str">
        <f>IFERROR(HYPERLINK("#Main!A"&amp;MATCH(A642,Main!A:A,0),"Open"),HYPERLINK("#Main!A1","Open"))</f>
        <v>Open</v>
      </c>
      <c r="T642" s="9" t="str">
        <f>IFERROR(HYPERLINK("#Technical!A"&amp;MATCH(A642,Technical!A:A,0),"Open"),HYPERLINK("#Technical!A1","Open"))</f>
        <v>Open</v>
      </c>
      <c r="U642" s="9"/>
    </row>
    <row r="643" spans="1:21" ht="45" customHeight="1" x14ac:dyDescent="0.25">
      <c r="A643" s="58" t="s">
        <v>449</v>
      </c>
      <c r="B643" s="11">
        <v>6822</v>
      </c>
      <c r="C643" s="43" t="s">
        <v>1324</v>
      </c>
      <c r="D643" s="11" t="s">
        <v>1498</v>
      </c>
      <c r="E643" s="64" t="s">
        <v>68</v>
      </c>
      <c r="F643" s="11" t="s">
        <v>1963</v>
      </c>
      <c r="G643" s="10">
        <v>37</v>
      </c>
      <c r="H643" s="11" t="b">
        <v>0</v>
      </c>
      <c r="I643" s="11" t="s">
        <v>1964</v>
      </c>
      <c r="J643" s="11" t="s">
        <v>1965</v>
      </c>
      <c r="K643" s="72" t="s">
        <v>9</v>
      </c>
      <c r="L643" s="11" t="s">
        <v>1184</v>
      </c>
      <c r="M643" s="11" t="s">
        <v>864</v>
      </c>
      <c r="N643" s="60" t="s">
        <v>98</v>
      </c>
      <c r="O643" s="49" t="s">
        <v>2</v>
      </c>
      <c r="P643" s="11">
        <v>4</v>
      </c>
      <c r="Q643" s="11" t="s">
        <v>2008</v>
      </c>
      <c r="R643" s="11" t="s">
        <v>1967</v>
      </c>
      <c r="S643" t="str">
        <f>IFERROR(HYPERLINK("#Main!A"&amp;MATCH(A643,Main!A:A,0),"Open"),HYPERLINK("#Main!A1","Open"))</f>
        <v>Open</v>
      </c>
      <c r="T643" t="str">
        <f>IFERROR(HYPERLINK("#Technical!A"&amp;MATCH(A643,Technical!A:A,0),"Open"),HYPERLINK("#Technical!A1","Open"))</f>
        <v>Open</v>
      </c>
    </row>
    <row r="644" spans="1:21" ht="45" customHeight="1" x14ac:dyDescent="0.25">
      <c r="A644" s="59" t="s">
        <v>457</v>
      </c>
      <c r="B644" s="8">
        <v>6553</v>
      </c>
      <c r="C644" s="43" t="s">
        <v>1326</v>
      </c>
      <c r="D644" s="8" t="s">
        <v>1498</v>
      </c>
      <c r="E644" s="64" t="s">
        <v>68</v>
      </c>
      <c r="F644" s="8" t="s">
        <v>1963</v>
      </c>
      <c r="G644" s="36">
        <v>37</v>
      </c>
      <c r="H644" s="8" t="b">
        <v>0</v>
      </c>
      <c r="I644" s="8" t="s">
        <v>1964</v>
      </c>
      <c r="J644" s="8" t="s">
        <v>1965</v>
      </c>
      <c r="K644" s="71" t="s">
        <v>9</v>
      </c>
      <c r="L644" s="8" t="s">
        <v>1184</v>
      </c>
      <c r="M644" s="8" t="s">
        <v>864</v>
      </c>
      <c r="N644" s="60" t="s">
        <v>98</v>
      </c>
      <c r="O644" s="49" t="s">
        <v>2</v>
      </c>
      <c r="P644" s="8">
        <v>4</v>
      </c>
      <c r="Q644" s="8" t="s">
        <v>2009</v>
      </c>
      <c r="R644" s="8" t="s">
        <v>1967</v>
      </c>
      <c r="S644" s="9" t="str">
        <f>IFERROR(HYPERLINK("#Main!A"&amp;MATCH(A644,Main!A:A,0),"Open"),HYPERLINK("#Main!A1","Open"))</f>
        <v>Open</v>
      </c>
      <c r="T644" s="9" t="str">
        <f>IFERROR(HYPERLINK("#Technical!A"&amp;MATCH(A644,Technical!A:A,0),"Open"),HYPERLINK("#Technical!A1","Open"))</f>
        <v>Open</v>
      </c>
      <c r="U644" s="9"/>
    </row>
    <row r="645" spans="1:21" ht="45" customHeight="1" x14ac:dyDescent="0.25">
      <c r="A645" s="58" t="s">
        <v>465</v>
      </c>
      <c r="B645" s="11">
        <v>4492</v>
      </c>
      <c r="C645" s="43" t="s">
        <v>1328</v>
      </c>
      <c r="D645" s="11" t="s">
        <v>1498</v>
      </c>
      <c r="E645" s="64" t="s">
        <v>68</v>
      </c>
      <c r="F645" s="11" t="s">
        <v>1963</v>
      </c>
      <c r="G645" s="10">
        <v>37</v>
      </c>
      <c r="H645" s="11" t="b">
        <v>0</v>
      </c>
      <c r="I645" s="11" t="s">
        <v>1964</v>
      </c>
      <c r="J645" s="11" t="s">
        <v>1965</v>
      </c>
      <c r="K645" s="72" t="s">
        <v>9</v>
      </c>
      <c r="L645" s="11" t="s">
        <v>1184</v>
      </c>
      <c r="M645" s="11" t="s">
        <v>864</v>
      </c>
      <c r="N645" s="60" t="s">
        <v>98</v>
      </c>
      <c r="O645" s="49" t="s">
        <v>2</v>
      </c>
      <c r="P645" s="11">
        <v>4</v>
      </c>
      <c r="Q645" s="11" t="s">
        <v>2010</v>
      </c>
      <c r="R645" s="11" t="s">
        <v>1967</v>
      </c>
      <c r="S645" t="str">
        <f>IFERROR(HYPERLINK("#Main!A"&amp;MATCH(A645,Main!A:A,0),"Open"),HYPERLINK("#Main!A1","Open"))</f>
        <v>Open</v>
      </c>
      <c r="T645" t="str">
        <f>IFERROR(HYPERLINK("#Technical!A"&amp;MATCH(A645,Technical!A:A,0),"Open"),HYPERLINK("#Technical!A1","Open"))</f>
        <v>Open</v>
      </c>
    </row>
    <row r="646" spans="1:21" ht="45" customHeight="1" x14ac:dyDescent="0.25">
      <c r="A646" s="59" t="s">
        <v>473</v>
      </c>
      <c r="B646" s="8">
        <v>23001</v>
      </c>
      <c r="C646" s="43" t="s">
        <v>1330</v>
      </c>
      <c r="D646" s="8" t="s">
        <v>1498</v>
      </c>
      <c r="E646" s="64" t="s">
        <v>68</v>
      </c>
      <c r="F646" s="8" t="s">
        <v>1963</v>
      </c>
      <c r="G646" s="36">
        <v>37</v>
      </c>
      <c r="H646" s="8" t="b">
        <v>0</v>
      </c>
      <c r="I646" s="8" t="s">
        <v>1964</v>
      </c>
      <c r="J646" s="8" t="s">
        <v>1965</v>
      </c>
      <c r="K646" s="71" t="s">
        <v>9</v>
      </c>
      <c r="L646" s="8" t="s">
        <v>1184</v>
      </c>
      <c r="M646" s="8" t="s">
        <v>864</v>
      </c>
      <c r="N646" s="60" t="s">
        <v>98</v>
      </c>
      <c r="O646" s="49" t="s">
        <v>2</v>
      </c>
      <c r="P646" s="8">
        <v>4</v>
      </c>
      <c r="Q646" s="8" t="s">
        <v>2011</v>
      </c>
      <c r="R646" s="8" t="s">
        <v>1967</v>
      </c>
      <c r="S646" s="9" t="str">
        <f>IFERROR(HYPERLINK("#Main!A"&amp;MATCH(A646,Main!A:A,0),"Open"),HYPERLINK("#Main!A1","Open"))</f>
        <v>Open</v>
      </c>
      <c r="T646" s="9" t="str">
        <f>IFERROR(HYPERLINK("#Technical!A"&amp;MATCH(A646,Technical!A:A,0),"Open"),HYPERLINK("#Technical!A1","Open"))</f>
        <v>Open</v>
      </c>
      <c r="U646" s="9"/>
    </row>
    <row r="647" spans="1:21" ht="45" customHeight="1" x14ac:dyDescent="0.25">
      <c r="A647" s="58" t="s">
        <v>481</v>
      </c>
      <c r="B647" s="11">
        <v>21952</v>
      </c>
      <c r="C647" s="43" t="s">
        <v>1332</v>
      </c>
      <c r="D647" s="11" t="s">
        <v>1498</v>
      </c>
      <c r="E647" s="64" t="s">
        <v>68</v>
      </c>
      <c r="F647" s="11" t="s">
        <v>1963</v>
      </c>
      <c r="G647" s="10">
        <v>37</v>
      </c>
      <c r="H647" s="11" t="b">
        <v>0</v>
      </c>
      <c r="I647" s="11" t="s">
        <v>1964</v>
      </c>
      <c r="J647" s="11" t="s">
        <v>1965</v>
      </c>
      <c r="K647" s="72" t="s">
        <v>9</v>
      </c>
      <c r="L647" s="11" t="s">
        <v>1184</v>
      </c>
      <c r="M647" s="11" t="s">
        <v>864</v>
      </c>
      <c r="N647" s="60" t="s">
        <v>98</v>
      </c>
      <c r="O647" s="49" t="s">
        <v>2</v>
      </c>
      <c r="P647" s="11">
        <v>4</v>
      </c>
      <c r="Q647" s="11" t="s">
        <v>2012</v>
      </c>
      <c r="R647" s="11" t="s">
        <v>1967</v>
      </c>
      <c r="S647" t="str">
        <f>IFERROR(HYPERLINK("#Main!A"&amp;MATCH(A647,Main!A:A,0),"Open"),HYPERLINK("#Main!A1","Open"))</f>
        <v>Open</v>
      </c>
      <c r="T647" t="str">
        <f>IFERROR(HYPERLINK("#Technical!A"&amp;MATCH(A647,Technical!A:A,0),"Open"),HYPERLINK("#Technical!A1","Open"))</f>
        <v>Open</v>
      </c>
    </row>
    <row r="648" spans="1:21" ht="45" customHeight="1" x14ac:dyDescent="0.25">
      <c r="A648" s="59" t="s">
        <v>489</v>
      </c>
      <c r="B648" s="8">
        <v>22679</v>
      </c>
      <c r="C648" s="43" t="s">
        <v>1334</v>
      </c>
      <c r="D648" s="8" t="s">
        <v>1498</v>
      </c>
      <c r="E648" s="64" t="s">
        <v>68</v>
      </c>
      <c r="F648" s="8" t="s">
        <v>1963</v>
      </c>
      <c r="G648" s="36">
        <v>37</v>
      </c>
      <c r="H648" s="8" t="b">
        <v>0</v>
      </c>
      <c r="I648" s="8" t="s">
        <v>1964</v>
      </c>
      <c r="J648" s="8" t="s">
        <v>1965</v>
      </c>
      <c r="K648" s="71" t="s">
        <v>9</v>
      </c>
      <c r="L648" s="8" t="s">
        <v>1184</v>
      </c>
      <c r="M648" s="8" t="s">
        <v>864</v>
      </c>
      <c r="N648" s="60" t="s">
        <v>98</v>
      </c>
      <c r="O648" s="49" t="s">
        <v>2</v>
      </c>
      <c r="P648" s="8">
        <v>4</v>
      </c>
      <c r="Q648" s="8" t="s">
        <v>2013</v>
      </c>
      <c r="R648" s="8" t="s">
        <v>1967</v>
      </c>
      <c r="S648" s="9" t="str">
        <f>IFERROR(HYPERLINK("#Main!A"&amp;MATCH(A648,Main!A:A,0),"Open"),HYPERLINK("#Main!A1","Open"))</f>
        <v>Open</v>
      </c>
      <c r="T648" s="9" t="str">
        <f>IFERROR(HYPERLINK("#Technical!A"&amp;MATCH(A648,Technical!A:A,0),"Open"),HYPERLINK("#Technical!A1","Open"))</f>
        <v>Open</v>
      </c>
      <c r="U648" s="9"/>
    </row>
    <row r="649" spans="1:21" ht="45" customHeight="1" x14ac:dyDescent="0.25">
      <c r="A649" s="58" t="s">
        <v>497</v>
      </c>
      <c r="B649" s="11">
        <v>32554</v>
      </c>
      <c r="C649" s="43" t="s">
        <v>1336</v>
      </c>
      <c r="D649" s="11" t="s">
        <v>1498</v>
      </c>
      <c r="E649" s="64" t="s">
        <v>68</v>
      </c>
      <c r="F649" s="11" t="s">
        <v>1963</v>
      </c>
      <c r="G649" s="10">
        <v>37</v>
      </c>
      <c r="H649" s="11" t="b">
        <v>0</v>
      </c>
      <c r="I649" s="11" t="s">
        <v>1964</v>
      </c>
      <c r="J649" s="11" t="s">
        <v>1965</v>
      </c>
      <c r="K649" s="72" t="s">
        <v>9</v>
      </c>
      <c r="L649" s="11" t="s">
        <v>1184</v>
      </c>
      <c r="M649" s="11" t="s">
        <v>864</v>
      </c>
      <c r="N649" s="60" t="s">
        <v>98</v>
      </c>
      <c r="O649" s="49" t="s">
        <v>2</v>
      </c>
      <c r="P649" s="11">
        <v>4</v>
      </c>
      <c r="Q649" s="11" t="s">
        <v>2014</v>
      </c>
      <c r="R649" s="11" t="s">
        <v>1967</v>
      </c>
      <c r="S649" t="str">
        <f>IFERROR(HYPERLINK("#Main!A"&amp;MATCH(A649,Main!A:A,0),"Open"),HYPERLINK("#Main!A1","Open"))</f>
        <v>Open</v>
      </c>
      <c r="T649" t="str">
        <f>IFERROR(HYPERLINK("#Technical!A"&amp;MATCH(A649,Technical!A:A,0),"Open"),HYPERLINK("#Technical!A1","Open"))</f>
        <v>Open</v>
      </c>
    </row>
    <row r="650" spans="1:21" ht="45" customHeight="1" x14ac:dyDescent="0.25">
      <c r="A650" s="59" t="s">
        <v>505</v>
      </c>
      <c r="B650" s="8">
        <v>34552</v>
      </c>
      <c r="C650" s="43" t="s">
        <v>1338</v>
      </c>
      <c r="D650" s="8" t="s">
        <v>1498</v>
      </c>
      <c r="E650" s="64" t="s">
        <v>68</v>
      </c>
      <c r="F650" s="8" t="s">
        <v>1963</v>
      </c>
      <c r="G650" s="36">
        <v>37</v>
      </c>
      <c r="H650" s="8" t="b">
        <v>0</v>
      </c>
      <c r="I650" s="8" t="s">
        <v>1964</v>
      </c>
      <c r="J650" s="8" t="s">
        <v>1965</v>
      </c>
      <c r="K650" s="71" t="s">
        <v>9</v>
      </c>
      <c r="L650" s="8" t="s">
        <v>1184</v>
      </c>
      <c r="M650" s="8" t="s">
        <v>864</v>
      </c>
      <c r="N650" s="60" t="s">
        <v>98</v>
      </c>
      <c r="O650" s="49" t="s">
        <v>2</v>
      </c>
      <c r="P650" s="8">
        <v>4</v>
      </c>
      <c r="Q650" s="8" t="s">
        <v>2015</v>
      </c>
      <c r="R650" s="8" t="s">
        <v>1967</v>
      </c>
      <c r="S650" s="9" t="str">
        <f>IFERROR(HYPERLINK("#Main!A"&amp;MATCH(A650,Main!A:A,0),"Open"),HYPERLINK("#Main!A1","Open"))</f>
        <v>Open</v>
      </c>
      <c r="T650" s="9" t="str">
        <f>IFERROR(HYPERLINK("#Technical!A"&amp;MATCH(A650,Technical!A:A,0),"Open"),HYPERLINK("#Technical!A1","Open"))</f>
        <v>Open</v>
      </c>
      <c r="U650" s="9"/>
    </row>
    <row r="651" spans="1:21" ht="45" customHeight="1" x14ac:dyDescent="0.25">
      <c r="A651" s="58" t="s">
        <v>512</v>
      </c>
      <c r="B651" s="11">
        <v>34622</v>
      </c>
      <c r="C651" s="43" t="s">
        <v>1340</v>
      </c>
      <c r="D651" s="11" t="s">
        <v>1498</v>
      </c>
      <c r="E651" s="64" t="s">
        <v>68</v>
      </c>
      <c r="F651" s="11" t="s">
        <v>1963</v>
      </c>
      <c r="G651" s="10">
        <v>37</v>
      </c>
      <c r="H651" s="11" t="b">
        <v>0</v>
      </c>
      <c r="I651" s="11" t="s">
        <v>1964</v>
      </c>
      <c r="J651" s="11" t="s">
        <v>1965</v>
      </c>
      <c r="K651" s="72" t="s">
        <v>9</v>
      </c>
      <c r="L651" s="11" t="s">
        <v>1184</v>
      </c>
      <c r="M651" s="11" t="s">
        <v>864</v>
      </c>
      <c r="N651" s="60" t="s">
        <v>98</v>
      </c>
      <c r="O651" s="49" t="s">
        <v>2</v>
      </c>
      <c r="P651" s="11">
        <v>4</v>
      </c>
      <c r="Q651" s="11" t="s">
        <v>2016</v>
      </c>
      <c r="R651" s="11" t="s">
        <v>1967</v>
      </c>
      <c r="S651" t="str">
        <f>IFERROR(HYPERLINK("#Main!A"&amp;MATCH(A651,Main!A:A,0),"Open"),HYPERLINK("#Main!A1","Open"))</f>
        <v>Open</v>
      </c>
      <c r="T651" t="str">
        <f>IFERROR(HYPERLINK("#Technical!A"&amp;MATCH(A651,Technical!A:A,0),"Open"),HYPERLINK("#Technical!A1","Open"))</f>
        <v>Open</v>
      </c>
    </row>
    <row r="652" spans="1:21" ht="45" customHeight="1" x14ac:dyDescent="0.25">
      <c r="A652" s="59" t="s">
        <v>519</v>
      </c>
      <c r="B652" s="8">
        <v>28742</v>
      </c>
      <c r="C652" s="43" t="s">
        <v>1342</v>
      </c>
      <c r="D652" s="8" t="s">
        <v>1498</v>
      </c>
      <c r="E652" s="64" t="s">
        <v>68</v>
      </c>
      <c r="F652" s="8" t="s">
        <v>1963</v>
      </c>
      <c r="G652" s="36">
        <v>37</v>
      </c>
      <c r="H652" s="8" t="b">
        <v>0</v>
      </c>
      <c r="I652" s="8" t="s">
        <v>1964</v>
      </c>
      <c r="J652" s="8" t="s">
        <v>1965</v>
      </c>
      <c r="K652" s="71" t="s">
        <v>9</v>
      </c>
      <c r="L652" s="8" t="s">
        <v>1184</v>
      </c>
      <c r="M652" s="8" t="s">
        <v>864</v>
      </c>
      <c r="N652" s="60" t="s">
        <v>98</v>
      </c>
      <c r="O652" s="49" t="s">
        <v>2</v>
      </c>
      <c r="P652" s="8">
        <v>4</v>
      </c>
      <c r="Q652" s="8" t="s">
        <v>2017</v>
      </c>
      <c r="R652" s="8" t="s">
        <v>1967</v>
      </c>
      <c r="S652" s="9" t="str">
        <f>IFERROR(HYPERLINK("#Main!A"&amp;MATCH(A652,Main!A:A,0),"Open"),HYPERLINK("#Main!A1","Open"))</f>
        <v>Open</v>
      </c>
      <c r="T652" s="9" t="str">
        <f>IFERROR(HYPERLINK("#Technical!A"&amp;MATCH(A652,Technical!A:A,0),"Open"),HYPERLINK("#Technical!A1","Open"))</f>
        <v>Open</v>
      </c>
      <c r="U652" s="9"/>
    </row>
    <row r="653" spans="1:21" ht="45" customHeight="1" x14ac:dyDescent="0.25">
      <c r="A653" s="58" t="s">
        <v>527</v>
      </c>
      <c r="B653" s="11">
        <v>20001</v>
      </c>
      <c r="C653" s="43" t="s">
        <v>1344</v>
      </c>
      <c r="D653" s="11" t="s">
        <v>1498</v>
      </c>
      <c r="E653" s="64" t="s">
        <v>68</v>
      </c>
      <c r="F653" s="11" t="s">
        <v>1963</v>
      </c>
      <c r="G653" s="10">
        <v>37</v>
      </c>
      <c r="H653" s="11" t="b">
        <v>0</v>
      </c>
      <c r="I653" s="11" t="s">
        <v>1964</v>
      </c>
      <c r="J653" s="11" t="s">
        <v>1965</v>
      </c>
      <c r="K653" s="72" t="s">
        <v>9</v>
      </c>
      <c r="L653" s="11" t="s">
        <v>1184</v>
      </c>
      <c r="M653" s="11" t="s">
        <v>864</v>
      </c>
      <c r="N653" s="60" t="s">
        <v>98</v>
      </c>
      <c r="O653" s="49" t="s">
        <v>2</v>
      </c>
      <c r="P653" s="11">
        <v>4</v>
      </c>
      <c r="Q653" s="11" t="s">
        <v>2018</v>
      </c>
      <c r="R653" s="11" t="s">
        <v>1967</v>
      </c>
      <c r="S653" t="str">
        <f>IFERROR(HYPERLINK("#Main!A"&amp;MATCH(A653,Main!A:A,0),"Open"),HYPERLINK("#Main!A1","Open"))</f>
        <v>Open</v>
      </c>
      <c r="T653" t="str">
        <f>IFERROR(HYPERLINK("#Technical!A"&amp;MATCH(A653,Technical!A:A,0),"Open"),HYPERLINK("#Technical!A1","Open"))</f>
        <v>Open</v>
      </c>
    </row>
    <row r="654" spans="1:21" ht="45" customHeight="1" x14ac:dyDescent="0.25">
      <c r="A654" s="59" t="s">
        <v>535</v>
      </c>
      <c r="B654" s="8">
        <v>19980</v>
      </c>
      <c r="C654" s="43" t="s">
        <v>1346</v>
      </c>
      <c r="D654" s="8" t="s">
        <v>1498</v>
      </c>
      <c r="E654" s="64" t="s">
        <v>68</v>
      </c>
      <c r="F654" s="8" t="s">
        <v>1963</v>
      </c>
      <c r="G654" s="36">
        <v>37</v>
      </c>
      <c r="H654" s="8" t="b">
        <v>0</v>
      </c>
      <c r="I654" s="8" t="s">
        <v>1964</v>
      </c>
      <c r="J654" s="8" t="s">
        <v>1965</v>
      </c>
      <c r="K654" s="71" t="s">
        <v>9</v>
      </c>
      <c r="L654" s="8" t="s">
        <v>1184</v>
      </c>
      <c r="M654" s="8" t="s">
        <v>864</v>
      </c>
      <c r="N654" s="60" t="s">
        <v>98</v>
      </c>
      <c r="O654" s="49" t="s">
        <v>2</v>
      </c>
      <c r="P654" s="8">
        <v>4</v>
      </c>
      <c r="Q654" s="8" t="s">
        <v>2019</v>
      </c>
      <c r="R654" s="8" t="s">
        <v>1967</v>
      </c>
      <c r="S654" s="9" t="str">
        <f>IFERROR(HYPERLINK("#Main!A"&amp;MATCH(A654,Main!A:A,0),"Open"),HYPERLINK("#Main!A1","Open"))</f>
        <v>Open</v>
      </c>
      <c r="T654" s="9" t="str">
        <f>IFERROR(HYPERLINK("#Technical!A"&amp;MATCH(A654,Technical!A:A,0),"Open"),HYPERLINK("#Technical!A1","Open"))</f>
        <v>Open</v>
      </c>
      <c r="U654" s="9"/>
    </row>
    <row r="655" spans="1:21" ht="45" customHeight="1" x14ac:dyDescent="0.25">
      <c r="A655" s="58" t="s">
        <v>543</v>
      </c>
      <c r="B655" s="11">
        <v>10823</v>
      </c>
      <c r="C655" s="43" t="s">
        <v>1348</v>
      </c>
      <c r="D655" s="11" t="s">
        <v>1498</v>
      </c>
      <c r="E655" s="64" t="s">
        <v>68</v>
      </c>
      <c r="F655" s="11" t="s">
        <v>1963</v>
      </c>
      <c r="G655" s="10">
        <v>37</v>
      </c>
      <c r="H655" s="11" t="b">
        <v>0</v>
      </c>
      <c r="I655" s="11" t="s">
        <v>1964</v>
      </c>
      <c r="J655" s="11" t="s">
        <v>1965</v>
      </c>
      <c r="K655" s="72" t="s">
        <v>9</v>
      </c>
      <c r="L655" s="11" t="s">
        <v>1184</v>
      </c>
      <c r="M655" s="11" t="s">
        <v>864</v>
      </c>
      <c r="N655" s="60" t="s">
        <v>98</v>
      </c>
      <c r="O655" s="49" t="s">
        <v>2</v>
      </c>
      <c r="P655" s="11">
        <v>4</v>
      </c>
      <c r="Q655" s="11" t="s">
        <v>2020</v>
      </c>
      <c r="R655" s="11" t="s">
        <v>1967</v>
      </c>
      <c r="S655" t="str">
        <f>IFERROR(HYPERLINK("#Main!A"&amp;MATCH(A655,Main!A:A,0),"Open"),HYPERLINK("#Main!A1","Open"))</f>
        <v>Open</v>
      </c>
      <c r="T655" t="str">
        <f>IFERROR(HYPERLINK("#Technical!A"&amp;MATCH(A655,Technical!A:A,0),"Open"),HYPERLINK("#Technical!A1","Open"))</f>
        <v>Open</v>
      </c>
    </row>
    <row r="656" spans="1:21" ht="45" customHeight="1" x14ac:dyDescent="0.25">
      <c r="A656" s="59" t="s">
        <v>551</v>
      </c>
      <c r="B656" s="8">
        <v>9075</v>
      </c>
      <c r="C656" s="43" t="s">
        <v>1350</v>
      </c>
      <c r="D656" s="8" t="s">
        <v>1498</v>
      </c>
      <c r="E656" s="64" t="s">
        <v>68</v>
      </c>
      <c r="F656" s="8" t="s">
        <v>1963</v>
      </c>
      <c r="G656" s="36">
        <v>37</v>
      </c>
      <c r="H656" s="8" t="b">
        <v>0</v>
      </c>
      <c r="I656" s="8" t="s">
        <v>1964</v>
      </c>
      <c r="J656" s="8" t="s">
        <v>1965</v>
      </c>
      <c r="K656" s="71" t="s">
        <v>9</v>
      </c>
      <c r="L656" s="8" t="s">
        <v>1184</v>
      </c>
      <c r="M656" s="8" t="s">
        <v>864</v>
      </c>
      <c r="N656" s="60" t="s">
        <v>98</v>
      </c>
      <c r="O656" s="49" t="s">
        <v>2</v>
      </c>
      <c r="P656" s="8">
        <v>4</v>
      </c>
      <c r="Q656" s="8" t="s">
        <v>2021</v>
      </c>
      <c r="R656" s="8" t="s">
        <v>1967</v>
      </c>
      <c r="S656" s="9" t="str">
        <f>IFERROR(HYPERLINK("#Main!A"&amp;MATCH(A656,Main!A:A,0),"Open"),HYPERLINK("#Main!A1","Open"))</f>
        <v>Open</v>
      </c>
      <c r="T656" s="9" t="str">
        <f>IFERROR(HYPERLINK("#Technical!A"&amp;MATCH(A656,Technical!A:A,0),"Open"),HYPERLINK("#Technical!A1","Open"))</f>
        <v>Open</v>
      </c>
      <c r="U656" s="9"/>
    </row>
    <row r="657" spans="1:21" ht="45" customHeight="1" x14ac:dyDescent="0.25">
      <c r="A657" s="58" t="s">
        <v>559</v>
      </c>
      <c r="B657" s="11">
        <v>17908</v>
      </c>
      <c r="C657" s="43" t="s">
        <v>1352</v>
      </c>
      <c r="D657" s="11" t="s">
        <v>1498</v>
      </c>
      <c r="E657" s="64" t="s">
        <v>68</v>
      </c>
      <c r="F657" s="11" t="s">
        <v>1963</v>
      </c>
      <c r="G657" s="10">
        <v>37</v>
      </c>
      <c r="H657" s="11" t="b">
        <v>0</v>
      </c>
      <c r="I657" s="11" t="s">
        <v>1964</v>
      </c>
      <c r="J657" s="11" t="s">
        <v>1965</v>
      </c>
      <c r="K657" s="72" t="s">
        <v>9</v>
      </c>
      <c r="L657" s="11" t="s">
        <v>1184</v>
      </c>
      <c r="M657" s="11" t="s">
        <v>864</v>
      </c>
      <c r="N657" s="60" t="s">
        <v>98</v>
      </c>
      <c r="O657" s="49" t="s">
        <v>2</v>
      </c>
      <c r="P657" s="11">
        <v>4</v>
      </c>
      <c r="Q657" s="11" t="s">
        <v>2022</v>
      </c>
      <c r="R657" s="11" t="s">
        <v>1967</v>
      </c>
      <c r="S657" t="str">
        <f>IFERROR(HYPERLINK("#Main!A"&amp;MATCH(A657,Main!A:A,0),"Open"),HYPERLINK("#Main!A1","Open"))</f>
        <v>Open</v>
      </c>
      <c r="T657" t="str">
        <f>IFERROR(HYPERLINK("#Technical!A"&amp;MATCH(A657,Technical!A:A,0),"Open"),HYPERLINK("#Technical!A1","Open"))</f>
        <v>Open</v>
      </c>
    </row>
    <row r="658" spans="1:21" ht="45" customHeight="1" x14ac:dyDescent="0.25">
      <c r="A658" s="59" t="s">
        <v>566</v>
      </c>
      <c r="B658" s="8">
        <v>24640</v>
      </c>
      <c r="C658" s="43" t="s">
        <v>1354</v>
      </c>
      <c r="D658" s="8" t="s">
        <v>1498</v>
      </c>
      <c r="E658" s="64" t="s">
        <v>68</v>
      </c>
      <c r="F658" s="8" t="s">
        <v>1963</v>
      </c>
      <c r="G658" s="36">
        <v>37</v>
      </c>
      <c r="H658" s="8" t="b">
        <v>0</v>
      </c>
      <c r="I658" s="8" t="s">
        <v>1964</v>
      </c>
      <c r="J658" s="8" t="s">
        <v>1965</v>
      </c>
      <c r="K658" s="71" t="s">
        <v>9</v>
      </c>
      <c r="L658" s="8" t="s">
        <v>1184</v>
      </c>
      <c r="M658" s="8" t="s">
        <v>864</v>
      </c>
      <c r="N658" s="60" t="s">
        <v>98</v>
      </c>
      <c r="O658" s="49" t="s">
        <v>2</v>
      </c>
      <c r="P658" s="8">
        <v>4</v>
      </c>
      <c r="Q658" s="8" t="s">
        <v>2023</v>
      </c>
      <c r="R658" s="8" t="s">
        <v>1967</v>
      </c>
      <c r="S658" s="9" t="str">
        <f>IFERROR(HYPERLINK("#Main!A"&amp;MATCH(A658,Main!A:A,0),"Open"),HYPERLINK("#Main!A1","Open"))</f>
        <v>Open</v>
      </c>
      <c r="T658" s="9" t="str">
        <f>IFERROR(HYPERLINK("#Technical!A"&amp;MATCH(A658,Technical!A:A,0),"Open"),HYPERLINK("#Technical!A1","Open"))</f>
        <v>Open</v>
      </c>
      <c r="U658" s="9"/>
    </row>
    <row r="659" spans="1:21" ht="45" customHeight="1" x14ac:dyDescent="0.25">
      <c r="A659" s="58" t="s">
        <v>574</v>
      </c>
      <c r="B659" s="11">
        <v>16472</v>
      </c>
      <c r="C659" s="43" t="s">
        <v>1356</v>
      </c>
      <c r="D659" s="11" t="s">
        <v>1498</v>
      </c>
      <c r="E659" s="64" t="s">
        <v>68</v>
      </c>
      <c r="F659" s="11" t="s">
        <v>1963</v>
      </c>
      <c r="G659" s="10">
        <v>37</v>
      </c>
      <c r="H659" s="11" t="b">
        <v>0</v>
      </c>
      <c r="I659" s="11" t="s">
        <v>1964</v>
      </c>
      <c r="J659" s="11" t="s">
        <v>1965</v>
      </c>
      <c r="K659" s="72" t="s">
        <v>9</v>
      </c>
      <c r="L659" s="11" t="s">
        <v>1184</v>
      </c>
      <c r="M659" s="11" t="s">
        <v>864</v>
      </c>
      <c r="N659" s="60" t="s">
        <v>98</v>
      </c>
      <c r="O659" s="49" t="s">
        <v>2</v>
      </c>
      <c r="P659" s="11">
        <v>4</v>
      </c>
      <c r="Q659" s="11" t="s">
        <v>2024</v>
      </c>
      <c r="R659" s="11" t="s">
        <v>1967</v>
      </c>
      <c r="S659" t="str">
        <f>IFERROR(HYPERLINK("#Main!A"&amp;MATCH(A659,Main!A:A,0),"Open"),HYPERLINK("#Main!A1","Open"))</f>
        <v>Open</v>
      </c>
      <c r="T659" t="str">
        <f>IFERROR(HYPERLINK("#Technical!A"&amp;MATCH(A659,Technical!A:A,0),"Open"),HYPERLINK("#Technical!A1","Open"))</f>
        <v>Open</v>
      </c>
    </row>
    <row r="660" spans="1:21" ht="45" customHeight="1" x14ac:dyDescent="0.25">
      <c r="A660" s="59" t="s">
        <v>582</v>
      </c>
      <c r="B660" s="8">
        <v>92</v>
      </c>
      <c r="C660" s="43" t="s">
        <v>1358</v>
      </c>
      <c r="D660" s="8" t="s">
        <v>1498</v>
      </c>
      <c r="E660" s="64" t="s">
        <v>68</v>
      </c>
      <c r="F660" s="8" t="s">
        <v>1963</v>
      </c>
      <c r="G660" s="36">
        <v>37</v>
      </c>
      <c r="H660" s="8" t="b">
        <v>0</v>
      </c>
      <c r="I660" s="8" t="s">
        <v>1964</v>
      </c>
      <c r="J660" s="8" t="s">
        <v>1965</v>
      </c>
      <c r="K660" s="71" t="s">
        <v>9</v>
      </c>
      <c r="L660" s="8" t="s">
        <v>1184</v>
      </c>
      <c r="M660" s="8" t="s">
        <v>864</v>
      </c>
      <c r="N660" s="60" t="s">
        <v>98</v>
      </c>
      <c r="O660" s="49" t="s">
        <v>2</v>
      </c>
      <c r="P660" s="8">
        <v>4</v>
      </c>
      <c r="Q660" s="8" t="s">
        <v>2025</v>
      </c>
      <c r="R660" s="8" t="s">
        <v>1967</v>
      </c>
      <c r="S660" s="9" t="str">
        <f>IFERROR(HYPERLINK("#Main!A"&amp;MATCH(A660,Main!A:A,0),"Open"),HYPERLINK("#Main!A1","Open"))</f>
        <v>Open</v>
      </c>
      <c r="T660" s="9" t="str">
        <f>IFERROR(HYPERLINK("#Technical!A"&amp;MATCH(A660,Technical!A:A,0),"Open"),HYPERLINK("#Technical!A1","Open"))</f>
        <v>Open</v>
      </c>
      <c r="U660" s="9"/>
    </row>
    <row r="661" spans="1:21" ht="45" customHeight="1" x14ac:dyDescent="0.25">
      <c r="A661" s="58" t="s">
        <v>590</v>
      </c>
      <c r="B661" s="11">
        <v>18478</v>
      </c>
      <c r="C661" s="43" t="s">
        <v>1360</v>
      </c>
      <c r="D661" s="11" t="s">
        <v>1498</v>
      </c>
      <c r="E661" s="64" t="s">
        <v>68</v>
      </c>
      <c r="F661" s="11" t="s">
        <v>1963</v>
      </c>
      <c r="G661" s="10">
        <v>37</v>
      </c>
      <c r="H661" s="11" t="b">
        <v>0</v>
      </c>
      <c r="I661" s="11" t="s">
        <v>1964</v>
      </c>
      <c r="J661" s="11" t="s">
        <v>1965</v>
      </c>
      <c r="K661" s="72" t="s">
        <v>9</v>
      </c>
      <c r="L661" s="11" t="s">
        <v>1184</v>
      </c>
      <c r="M661" s="11" t="s">
        <v>864</v>
      </c>
      <c r="N661" s="60" t="s">
        <v>98</v>
      </c>
      <c r="O661" s="49" t="s">
        <v>2</v>
      </c>
      <c r="P661" s="11">
        <v>4</v>
      </c>
      <c r="Q661" s="11" t="s">
        <v>2026</v>
      </c>
      <c r="R661" s="11" t="s">
        <v>1967</v>
      </c>
      <c r="S661" t="str">
        <f>IFERROR(HYPERLINK("#Main!A"&amp;MATCH(A661,Main!A:A,0),"Open"),HYPERLINK("#Main!A1","Open"))</f>
        <v>Open</v>
      </c>
      <c r="T661" t="str">
        <f>IFERROR(HYPERLINK("#Technical!A"&amp;MATCH(A661,Technical!A:A,0),"Open"),HYPERLINK("#Technical!A1","Open"))</f>
        <v>Open</v>
      </c>
    </row>
    <row r="662" spans="1:21" ht="45" customHeight="1" x14ac:dyDescent="0.25">
      <c r="A662" s="59" t="s">
        <v>598</v>
      </c>
      <c r="B662" s="8">
        <v>19172</v>
      </c>
      <c r="C662" s="43" t="s">
        <v>1362</v>
      </c>
      <c r="D662" s="8" t="s">
        <v>1498</v>
      </c>
      <c r="E662" s="64" t="s">
        <v>68</v>
      </c>
      <c r="F662" s="8" t="s">
        <v>1963</v>
      </c>
      <c r="G662" s="36">
        <v>37</v>
      </c>
      <c r="H662" s="8" t="b">
        <v>0</v>
      </c>
      <c r="I662" s="8" t="s">
        <v>1964</v>
      </c>
      <c r="J662" s="8" t="s">
        <v>1965</v>
      </c>
      <c r="K662" s="71" t="s">
        <v>9</v>
      </c>
      <c r="L662" s="8" t="s">
        <v>1184</v>
      </c>
      <c r="M662" s="8" t="s">
        <v>864</v>
      </c>
      <c r="N662" s="60" t="s">
        <v>98</v>
      </c>
      <c r="O662" s="49" t="s">
        <v>2</v>
      </c>
      <c r="P662" s="8">
        <v>4</v>
      </c>
      <c r="Q662" s="8" t="s">
        <v>2027</v>
      </c>
      <c r="R662" s="8" t="s">
        <v>1967</v>
      </c>
      <c r="S662" s="9" t="str">
        <f>IFERROR(HYPERLINK("#Main!A"&amp;MATCH(A662,Main!A:A,0),"Open"),HYPERLINK("#Main!A1","Open"))</f>
        <v>Open</v>
      </c>
      <c r="T662" s="9" t="str">
        <f>IFERROR(HYPERLINK("#Technical!A"&amp;MATCH(A662,Technical!A:A,0),"Open"),HYPERLINK("#Technical!A1","Open"))</f>
        <v>Open</v>
      </c>
      <c r="U662" s="9"/>
    </row>
    <row r="663" spans="1:21" ht="45" customHeight="1" x14ac:dyDescent="0.25">
      <c r="A663" s="58" t="s">
        <v>606</v>
      </c>
      <c r="B663" s="11">
        <v>88</v>
      </c>
      <c r="C663" s="43" t="s">
        <v>1364</v>
      </c>
      <c r="D663" s="11" t="s">
        <v>1498</v>
      </c>
      <c r="E663" s="64" t="s">
        <v>68</v>
      </c>
      <c r="F663" s="11" t="s">
        <v>1963</v>
      </c>
      <c r="G663" s="10">
        <v>37</v>
      </c>
      <c r="H663" s="11" t="b">
        <v>0</v>
      </c>
      <c r="I663" s="11" t="s">
        <v>1964</v>
      </c>
      <c r="J663" s="11" t="s">
        <v>1965</v>
      </c>
      <c r="K663" s="72" t="s">
        <v>9</v>
      </c>
      <c r="L663" s="11" t="s">
        <v>1184</v>
      </c>
      <c r="M663" s="11" t="s">
        <v>864</v>
      </c>
      <c r="N663" s="60" t="s">
        <v>98</v>
      </c>
      <c r="O663" s="49" t="s">
        <v>2</v>
      </c>
      <c r="P663" s="11">
        <v>4</v>
      </c>
      <c r="Q663" s="11" t="s">
        <v>2028</v>
      </c>
      <c r="R663" s="11" t="s">
        <v>1967</v>
      </c>
      <c r="S663" t="str">
        <f>IFERROR(HYPERLINK("#Main!A"&amp;MATCH(A663,Main!A:A,0),"Open"),HYPERLINK("#Main!A1","Open"))</f>
        <v>Open</v>
      </c>
      <c r="T663" t="str">
        <f>IFERROR(HYPERLINK("#Technical!A"&amp;MATCH(A663,Technical!A:A,0),"Open"),HYPERLINK("#Technical!A1","Open"))</f>
        <v>Open</v>
      </c>
    </row>
    <row r="664" spans="1:21" ht="45" customHeight="1" x14ac:dyDescent="0.25">
      <c r="A664" s="59" t="s">
        <v>614</v>
      </c>
      <c r="B664" s="8">
        <v>16548</v>
      </c>
      <c r="C664" s="43" t="s">
        <v>1366</v>
      </c>
      <c r="D664" s="8" t="s">
        <v>1498</v>
      </c>
      <c r="E664" s="64" t="s">
        <v>68</v>
      </c>
      <c r="F664" s="8" t="s">
        <v>1963</v>
      </c>
      <c r="G664" s="36">
        <v>37</v>
      </c>
      <c r="H664" s="8" t="b">
        <v>0</v>
      </c>
      <c r="I664" s="8" t="s">
        <v>1964</v>
      </c>
      <c r="J664" s="8" t="s">
        <v>1965</v>
      </c>
      <c r="K664" s="71" t="s">
        <v>9</v>
      </c>
      <c r="L664" s="8" t="s">
        <v>1184</v>
      </c>
      <c r="M664" s="8" t="s">
        <v>864</v>
      </c>
      <c r="N664" s="60" t="s">
        <v>98</v>
      </c>
      <c r="O664" s="49" t="s">
        <v>2</v>
      </c>
      <c r="P664" s="8">
        <v>4</v>
      </c>
      <c r="Q664" s="8" t="s">
        <v>2029</v>
      </c>
      <c r="R664" s="8" t="s">
        <v>1967</v>
      </c>
      <c r="S664" s="9" t="str">
        <f>IFERROR(HYPERLINK("#Main!A"&amp;MATCH(A664,Main!A:A,0),"Open"),HYPERLINK("#Main!A1","Open"))</f>
        <v>Open</v>
      </c>
      <c r="T664" s="9" t="str">
        <f>IFERROR(HYPERLINK("#Technical!A"&amp;MATCH(A664,Technical!A:A,0),"Open"),HYPERLINK("#Technical!A1","Open"))</f>
        <v>Open</v>
      </c>
      <c r="U664" s="9"/>
    </row>
    <row r="665" spans="1:21" ht="45" customHeight="1" x14ac:dyDescent="0.25">
      <c r="A665" s="58" t="s">
        <v>622</v>
      </c>
      <c r="B665" s="11">
        <v>20341</v>
      </c>
      <c r="C665" s="43" t="s">
        <v>1241</v>
      </c>
      <c r="D665" s="11" t="s">
        <v>1498</v>
      </c>
      <c r="E665" s="64" t="s">
        <v>68</v>
      </c>
      <c r="F665" s="11" t="s">
        <v>1963</v>
      </c>
      <c r="G665" s="10">
        <v>37</v>
      </c>
      <c r="H665" s="11" t="b">
        <v>0</v>
      </c>
      <c r="I665" s="11" t="s">
        <v>1964</v>
      </c>
      <c r="J665" s="11" t="s">
        <v>1965</v>
      </c>
      <c r="K665" s="72" t="s">
        <v>9</v>
      </c>
      <c r="L665" s="11" t="s">
        <v>1184</v>
      </c>
      <c r="M665" s="11" t="s">
        <v>864</v>
      </c>
      <c r="N665" s="60" t="s">
        <v>98</v>
      </c>
      <c r="O665" s="49" t="s">
        <v>2</v>
      </c>
      <c r="P665" s="11">
        <v>4</v>
      </c>
      <c r="Q665" s="11" t="s">
        <v>2030</v>
      </c>
      <c r="R665" s="11" t="s">
        <v>1967</v>
      </c>
      <c r="S665" t="str">
        <f>IFERROR(HYPERLINK("#Main!A"&amp;MATCH(A665,Main!A:A,0),"Open"),HYPERLINK("#Main!A1","Open"))</f>
        <v>Open</v>
      </c>
      <c r="T665" t="str">
        <f>IFERROR(HYPERLINK("#Technical!A"&amp;MATCH(A665,Technical!A:A,0),"Open"),HYPERLINK("#Technical!A1","Open"))</f>
        <v>Open</v>
      </c>
    </row>
    <row r="666" spans="1:21" ht="45" customHeight="1" x14ac:dyDescent="0.25">
      <c r="A666" s="59" t="s">
        <v>627</v>
      </c>
      <c r="B666" s="8">
        <v>31820</v>
      </c>
      <c r="C666" s="43" t="s">
        <v>1369</v>
      </c>
      <c r="D666" s="8" t="s">
        <v>1498</v>
      </c>
      <c r="E666" s="64" t="s">
        <v>68</v>
      </c>
      <c r="F666" s="8" t="s">
        <v>1963</v>
      </c>
      <c r="G666" s="36">
        <v>37</v>
      </c>
      <c r="H666" s="8" t="b">
        <v>0</v>
      </c>
      <c r="I666" s="8" t="s">
        <v>1964</v>
      </c>
      <c r="J666" s="8" t="s">
        <v>1965</v>
      </c>
      <c r="K666" s="71" t="s">
        <v>9</v>
      </c>
      <c r="L666" s="8" t="s">
        <v>1184</v>
      </c>
      <c r="M666" s="8" t="s">
        <v>864</v>
      </c>
      <c r="N666" s="60" t="s">
        <v>98</v>
      </c>
      <c r="O666" s="49" t="s">
        <v>2</v>
      </c>
      <c r="P666" s="8">
        <v>4</v>
      </c>
      <c r="Q666" s="8" t="s">
        <v>2031</v>
      </c>
      <c r="R666" s="8" t="s">
        <v>1967</v>
      </c>
      <c r="S666" s="9" t="str">
        <f>IFERROR(HYPERLINK("#Main!A"&amp;MATCH(A666,Main!A:A,0),"Open"),HYPERLINK("#Main!A1","Open"))</f>
        <v>Open</v>
      </c>
      <c r="T666" s="9" t="str">
        <f>IFERROR(HYPERLINK("#Technical!A"&amp;MATCH(A666,Technical!A:A,0),"Open"),HYPERLINK("#Technical!A1","Open"))</f>
        <v>Open</v>
      </c>
      <c r="U666" s="9"/>
    </row>
    <row r="667" spans="1:21" ht="45" customHeight="1" x14ac:dyDescent="0.25">
      <c r="A667" s="58" t="s">
        <v>635</v>
      </c>
      <c r="B667" s="11">
        <v>5597</v>
      </c>
      <c r="C667" s="43" t="s">
        <v>1371</v>
      </c>
      <c r="D667" s="11" t="s">
        <v>1498</v>
      </c>
      <c r="E667" s="64" t="s">
        <v>68</v>
      </c>
      <c r="F667" s="11" t="s">
        <v>1963</v>
      </c>
      <c r="G667" s="10">
        <v>37</v>
      </c>
      <c r="H667" s="11" t="b">
        <v>0</v>
      </c>
      <c r="I667" s="11" t="s">
        <v>1964</v>
      </c>
      <c r="J667" s="11" t="s">
        <v>1965</v>
      </c>
      <c r="K667" s="72" t="s">
        <v>9</v>
      </c>
      <c r="L667" s="11" t="s">
        <v>1184</v>
      </c>
      <c r="M667" s="11" t="s">
        <v>864</v>
      </c>
      <c r="N667" s="60" t="s">
        <v>98</v>
      </c>
      <c r="O667" s="49" t="s">
        <v>2</v>
      </c>
      <c r="P667" s="11">
        <v>4</v>
      </c>
      <c r="Q667" s="11" t="s">
        <v>2032</v>
      </c>
      <c r="R667" s="11" t="s">
        <v>1967</v>
      </c>
      <c r="S667" t="str">
        <f>IFERROR(HYPERLINK("#Main!A"&amp;MATCH(A667,Main!A:A,0),"Open"),HYPERLINK("#Main!A1","Open"))</f>
        <v>Open</v>
      </c>
      <c r="T667" t="str">
        <f>IFERROR(HYPERLINK("#Technical!A"&amp;MATCH(A667,Technical!A:A,0),"Open"),HYPERLINK("#Technical!A1","Open"))</f>
        <v>Open</v>
      </c>
    </row>
    <row r="668" spans="1:21" ht="45" customHeight="1" x14ac:dyDescent="0.25">
      <c r="A668" s="59" t="s">
        <v>642</v>
      </c>
      <c r="B668" s="8">
        <v>33050</v>
      </c>
      <c r="C668" s="43" t="s">
        <v>1373</v>
      </c>
      <c r="D668" s="8" t="s">
        <v>1498</v>
      </c>
      <c r="E668" s="64" t="s">
        <v>68</v>
      </c>
      <c r="F668" s="8" t="s">
        <v>1963</v>
      </c>
      <c r="G668" s="36">
        <v>37</v>
      </c>
      <c r="H668" s="8" t="b">
        <v>0</v>
      </c>
      <c r="I668" s="8" t="s">
        <v>1964</v>
      </c>
      <c r="J668" s="8" t="s">
        <v>1965</v>
      </c>
      <c r="K668" s="71" t="s">
        <v>9</v>
      </c>
      <c r="L668" s="8" t="s">
        <v>1184</v>
      </c>
      <c r="M668" s="8" t="s">
        <v>864</v>
      </c>
      <c r="N668" s="60" t="s">
        <v>98</v>
      </c>
      <c r="O668" s="49" t="s">
        <v>2</v>
      </c>
      <c r="P668" s="8">
        <v>4</v>
      </c>
      <c r="Q668" s="8" t="s">
        <v>2033</v>
      </c>
      <c r="R668" s="8" t="s">
        <v>1967</v>
      </c>
      <c r="S668" s="9" t="str">
        <f>IFERROR(HYPERLINK("#Main!A"&amp;MATCH(A668,Main!A:A,0),"Open"),HYPERLINK("#Main!A1","Open"))</f>
        <v>Open</v>
      </c>
      <c r="T668" s="9" t="str">
        <f>IFERROR(HYPERLINK("#Technical!A"&amp;MATCH(A668,Technical!A:A,0),"Open"),HYPERLINK("#Technical!A1","Open"))</f>
        <v>Open</v>
      </c>
      <c r="U668" s="9"/>
    </row>
    <row r="669" spans="1:21" ht="45" customHeight="1" x14ac:dyDescent="0.25">
      <c r="A669" s="58" t="s">
        <v>650</v>
      </c>
      <c r="B669" s="11">
        <v>86</v>
      </c>
      <c r="C669" s="43" t="s">
        <v>1375</v>
      </c>
      <c r="D669" s="11" t="s">
        <v>1498</v>
      </c>
      <c r="E669" s="64" t="s">
        <v>68</v>
      </c>
      <c r="F669" s="11" t="s">
        <v>1963</v>
      </c>
      <c r="G669" s="10">
        <v>37</v>
      </c>
      <c r="H669" s="11" t="b">
        <v>0</v>
      </c>
      <c r="I669" s="11" t="s">
        <v>1964</v>
      </c>
      <c r="J669" s="11" t="s">
        <v>1965</v>
      </c>
      <c r="K669" s="72" t="s">
        <v>9</v>
      </c>
      <c r="L669" s="11" t="s">
        <v>1184</v>
      </c>
      <c r="M669" s="11" t="s">
        <v>864</v>
      </c>
      <c r="N669" s="60" t="s">
        <v>98</v>
      </c>
      <c r="O669" s="49" t="s">
        <v>2</v>
      </c>
      <c r="P669" s="11">
        <v>4</v>
      </c>
      <c r="Q669" s="11" t="s">
        <v>2034</v>
      </c>
      <c r="R669" s="11" t="s">
        <v>1967</v>
      </c>
      <c r="S669" t="str">
        <f>IFERROR(HYPERLINK("#Main!A"&amp;MATCH(A669,Main!A:A,0),"Open"),HYPERLINK("#Main!A1","Open"))</f>
        <v>Open</v>
      </c>
      <c r="T669" t="str">
        <f>IFERROR(HYPERLINK("#Technical!A"&amp;MATCH(A669,Technical!A:A,0),"Open"),HYPERLINK("#Technical!A1","Open"))</f>
        <v>Open</v>
      </c>
    </row>
    <row r="670" spans="1:21" ht="45" customHeight="1" x14ac:dyDescent="0.25">
      <c r="A670" s="59" t="s">
        <v>658</v>
      </c>
      <c r="B670" s="8">
        <v>2196</v>
      </c>
      <c r="C670" s="43" t="s">
        <v>1377</v>
      </c>
      <c r="D670" s="8" t="s">
        <v>1498</v>
      </c>
      <c r="E670" s="64" t="s">
        <v>68</v>
      </c>
      <c r="F670" s="8" t="s">
        <v>1963</v>
      </c>
      <c r="G670" s="36">
        <v>37</v>
      </c>
      <c r="H670" s="8" t="b">
        <v>0</v>
      </c>
      <c r="I670" s="8" t="s">
        <v>1964</v>
      </c>
      <c r="J670" s="8" t="s">
        <v>1965</v>
      </c>
      <c r="K670" s="71" t="s">
        <v>9</v>
      </c>
      <c r="L670" s="8" t="s">
        <v>1184</v>
      </c>
      <c r="M670" s="8" t="s">
        <v>864</v>
      </c>
      <c r="N670" s="60" t="s">
        <v>98</v>
      </c>
      <c r="O670" s="49" t="s">
        <v>2</v>
      </c>
      <c r="P670" s="8">
        <v>4</v>
      </c>
      <c r="Q670" s="8" t="s">
        <v>2035</v>
      </c>
      <c r="R670" s="8" t="s">
        <v>1967</v>
      </c>
      <c r="S670" s="9" t="str">
        <f>IFERROR(HYPERLINK("#Main!A"&amp;MATCH(A670,Main!A:A,0),"Open"),HYPERLINK("#Main!A1","Open"))</f>
        <v>Open</v>
      </c>
      <c r="T670" s="9" t="str">
        <f>IFERROR(HYPERLINK("#Technical!A"&amp;MATCH(A670,Technical!A:A,0),"Open"),HYPERLINK("#Technical!A1","Open"))</f>
        <v>Open</v>
      </c>
      <c r="U670" s="9"/>
    </row>
    <row r="671" spans="1:21" ht="45" customHeight="1" x14ac:dyDescent="0.25">
      <c r="A671" s="58" t="s">
        <v>666</v>
      </c>
      <c r="B671" s="11">
        <v>3</v>
      </c>
      <c r="C671" s="43" t="s">
        <v>1379</v>
      </c>
      <c r="D671" s="11" t="s">
        <v>1498</v>
      </c>
      <c r="E671" s="64" t="s">
        <v>68</v>
      </c>
      <c r="F671" s="11" t="s">
        <v>1963</v>
      </c>
      <c r="G671" s="10">
        <v>37</v>
      </c>
      <c r="H671" s="11" t="b">
        <v>0</v>
      </c>
      <c r="I671" s="11" t="s">
        <v>1964</v>
      </c>
      <c r="J671" s="11" t="s">
        <v>1965</v>
      </c>
      <c r="K671" s="72" t="s">
        <v>9</v>
      </c>
      <c r="L671" s="11" t="s">
        <v>1184</v>
      </c>
      <c r="M671" s="11" t="s">
        <v>864</v>
      </c>
      <c r="N671" s="60" t="s">
        <v>98</v>
      </c>
      <c r="O671" s="49" t="s">
        <v>2</v>
      </c>
      <c r="P671" s="11">
        <v>4</v>
      </c>
      <c r="Q671" s="11" t="s">
        <v>2036</v>
      </c>
      <c r="R671" s="11" t="s">
        <v>1967</v>
      </c>
      <c r="S671" t="str">
        <f>IFERROR(HYPERLINK("#Main!A"&amp;MATCH(A671,Main!A:A,0),"Open"),HYPERLINK("#Main!A1","Open"))</f>
        <v>Open</v>
      </c>
      <c r="T671" t="str">
        <f>IFERROR(HYPERLINK("#Technical!A"&amp;MATCH(A671,Technical!A:A,0),"Open"),HYPERLINK("#Technical!A1","Open"))</f>
        <v>Open</v>
      </c>
    </row>
    <row r="672" spans="1:21" ht="45" customHeight="1" x14ac:dyDescent="0.25">
      <c r="A672" s="59" t="s">
        <v>674</v>
      </c>
      <c r="B672" s="8">
        <v>9047</v>
      </c>
      <c r="C672" s="43" t="s">
        <v>1381</v>
      </c>
      <c r="D672" s="8" t="s">
        <v>1498</v>
      </c>
      <c r="E672" s="64" t="s">
        <v>68</v>
      </c>
      <c r="F672" s="8" t="s">
        <v>1963</v>
      </c>
      <c r="G672" s="36">
        <v>37</v>
      </c>
      <c r="H672" s="8" t="b">
        <v>0</v>
      </c>
      <c r="I672" s="8" t="s">
        <v>1964</v>
      </c>
      <c r="J672" s="8" t="s">
        <v>1965</v>
      </c>
      <c r="K672" s="71" t="s">
        <v>9</v>
      </c>
      <c r="L672" s="8" t="s">
        <v>1184</v>
      </c>
      <c r="M672" s="8" t="s">
        <v>864</v>
      </c>
      <c r="N672" s="60" t="s">
        <v>98</v>
      </c>
      <c r="O672" s="49" t="s">
        <v>2</v>
      </c>
      <c r="P672" s="8">
        <v>4</v>
      </c>
      <c r="Q672" s="8" t="s">
        <v>2037</v>
      </c>
      <c r="R672" s="8" t="s">
        <v>1967</v>
      </c>
      <c r="S672" s="9" t="str">
        <f>IFERROR(HYPERLINK("#Main!A"&amp;MATCH(A672,Main!A:A,0),"Open"),HYPERLINK("#Main!A1","Open"))</f>
        <v>Open</v>
      </c>
      <c r="T672" s="9" t="str">
        <f>IFERROR(HYPERLINK("#Technical!A"&amp;MATCH(A672,Technical!A:A,0),"Open"),HYPERLINK("#Technical!A1","Open"))</f>
        <v>Open</v>
      </c>
      <c r="U672" s="9"/>
    </row>
    <row r="673" spans="1:21" ht="45" customHeight="1" x14ac:dyDescent="0.25">
      <c r="A673" s="58" t="s">
        <v>682</v>
      </c>
      <c r="B673" s="11">
        <v>3686</v>
      </c>
      <c r="C673" s="43" t="s">
        <v>1383</v>
      </c>
      <c r="D673" s="11" t="s">
        <v>1498</v>
      </c>
      <c r="E673" s="64" t="s">
        <v>68</v>
      </c>
      <c r="F673" s="11" t="s">
        <v>1963</v>
      </c>
      <c r="G673" s="10">
        <v>37</v>
      </c>
      <c r="H673" s="11" t="b">
        <v>0</v>
      </c>
      <c r="I673" s="11" t="s">
        <v>1964</v>
      </c>
      <c r="J673" s="11" t="s">
        <v>1965</v>
      </c>
      <c r="K673" s="72" t="s">
        <v>9</v>
      </c>
      <c r="L673" s="11" t="s">
        <v>1184</v>
      </c>
      <c r="M673" s="11" t="s">
        <v>864</v>
      </c>
      <c r="N673" s="60" t="s">
        <v>98</v>
      </c>
      <c r="O673" s="49" t="s">
        <v>2</v>
      </c>
      <c r="P673" s="11">
        <v>4</v>
      </c>
      <c r="Q673" s="11" t="s">
        <v>2038</v>
      </c>
      <c r="R673" s="11" t="s">
        <v>1967</v>
      </c>
      <c r="S673" t="str">
        <f>IFERROR(HYPERLINK("#Main!A"&amp;MATCH(A673,Main!A:A,0),"Open"),HYPERLINK("#Main!A1","Open"))</f>
        <v>Open</v>
      </c>
      <c r="T673" t="str">
        <f>IFERROR(HYPERLINK("#Technical!A"&amp;MATCH(A673,Technical!A:A,0),"Open"),HYPERLINK("#Technical!A1","Open"))</f>
        <v>Open</v>
      </c>
    </row>
    <row r="674" spans="1:21" ht="45" customHeight="1" x14ac:dyDescent="0.25">
      <c r="A674" s="59" t="s">
        <v>690</v>
      </c>
      <c r="B674" s="8">
        <v>21962</v>
      </c>
      <c r="C674" s="43" t="s">
        <v>1385</v>
      </c>
      <c r="D674" s="8" t="s">
        <v>1498</v>
      </c>
      <c r="E674" s="64" t="s">
        <v>68</v>
      </c>
      <c r="F674" s="8" t="s">
        <v>1963</v>
      </c>
      <c r="G674" s="36">
        <v>37</v>
      </c>
      <c r="H674" s="8" t="b">
        <v>0</v>
      </c>
      <c r="I674" s="8" t="s">
        <v>1964</v>
      </c>
      <c r="J674" s="8" t="s">
        <v>1965</v>
      </c>
      <c r="K674" s="71" t="s">
        <v>9</v>
      </c>
      <c r="L674" s="8" t="s">
        <v>1184</v>
      </c>
      <c r="M674" s="8" t="s">
        <v>864</v>
      </c>
      <c r="N674" s="60" t="s">
        <v>98</v>
      </c>
      <c r="O674" s="49" t="s">
        <v>2</v>
      </c>
      <c r="P674" s="8">
        <v>4</v>
      </c>
      <c r="Q674" s="8" t="s">
        <v>2039</v>
      </c>
      <c r="R674" s="8" t="s">
        <v>1967</v>
      </c>
      <c r="S674" s="9" t="str">
        <f>IFERROR(HYPERLINK("#Main!A"&amp;MATCH(A674,Main!A:A,0),"Open"),HYPERLINK("#Main!A1","Open"))</f>
        <v>Open</v>
      </c>
      <c r="T674" s="9" t="str">
        <f>IFERROR(HYPERLINK("#Technical!A"&amp;MATCH(A674,Technical!A:A,0),"Open"),HYPERLINK("#Technical!A1","Open"))</f>
        <v>Open</v>
      </c>
      <c r="U674" s="9"/>
    </row>
    <row r="675" spans="1:21" ht="45" customHeight="1" x14ac:dyDescent="0.25">
      <c r="A675" s="58" t="s">
        <v>698</v>
      </c>
      <c r="B675" s="11">
        <v>3252</v>
      </c>
      <c r="C675" s="43" t="s">
        <v>1387</v>
      </c>
      <c r="D675" s="11" t="s">
        <v>1498</v>
      </c>
      <c r="E675" s="64" t="s">
        <v>68</v>
      </c>
      <c r="F675" s="11" t="s">
        <v>1963</v>
      </c>
      <c r="G675" s="10">
        <v>37</v>
      </c>
      <c r="H675" s="11" t="b">
        <v>0</v>
      </c>
      <c r="I675" s="11" t="s">
        <v>1964</v>
      </c>
      <c r="J675" s="11" t="s">
        <v>1965</v>
      </c>
      <c r="K675" s="72" t="s">
        <v>9</v>
      </c>
      <c r="L675" s="11" t="s">
        <v>1184</v>
      </c>
      <c r="M675" s="11" t="s">
        <v>864</v>
      </c>
      <c r="N675" s="60" t="s">
        <v>98</v>
      </c>
      <c r="O675" s="49" t="s">
        <v>2</v>
      </c>
      <c r="P675" s="11">
        <v>4</v>
      </c>
      <c r="Q675" s="11" t="s">
        <v>2040</v>
      </c>
      <c r="R675" s="11" t="s">
        <v>1967</v>
      </c>
      <c r="S675" t="str">
        <f>IFERROR(HYPERLINK("#Main!A"&amp;MATCH(A675,Main!A:A,0),"Open"),HYPERLINK("#Main!A1","Open"))</f>
        <v>Open</v>
      </c>
      <c r="T675" t="str">
        <f>IFERROR(HYPERLINK("#Technical!A"&amp;MATCH(A675,Technical!A:A,0),"Open"),HYPERLINK("#Technical!A1","Open"))</f>
        <v>Open</v>
      </c>
    </row>
    <row r="676" spans="1:21" ht="45" customHeight="1" x14ac:dyDescent="0.25">
      <c r="A676" s="59" t="s">
        <v>704</v>
      </c>
      <c r="B676" s="8">
        <v>3634</v>
      </c>
      <c r="C676" s="43" t="s">
        <v>1389</v>
      </c>
      <c r="D676" s="8" t="s">
        <v>1498</v>
      </c>
      <c r="E676" s="64" t="s">
        <v>68</v>
      </c>
      <c r="F676" s="8" t="s">
        <v>1963</v>
      </c>
      <c r="G676" s="36">
        <v>37</v>
      </c>
      <c r="H676" s="8" t="b">
        <v>0</v>
      </c>
      <c r="I676" s="8" t="s">
        <v>1964</v>
      </c>
      <c r="J676" s="8" t="s">
        <v>1965</v>
      </c>
      <c r="K676" s="71" t="s">
        <v>9</v>
      </c>
      <c r="L676" s="8" t="s">
        <v>1184</v>
      </c>
      <c r="M676" s="8" t="s">
        <v>864</v>
      </c>
      <c r="N676" s="60" t="s">
        <v>98</v>
      </c>
      <c r="O676" s="49" t="s">
        <v>2</v>
      </c>
      <c r="P676" s="8">
        <v>4</v>
      </c>
      <c r="Q676" s="8" t="s">
        <v>2041</v>
      </c>
      <c r="R676" s="8" t="s">
        <v>1967</v>
      </c>
      <c r="S676" s="9" t="str">
        <f>IFERROR(HYPERLINK("#Main!A"&amp;MATCH(A676,Main!A:A,0),"Open"),HYPERLINK("#Main!A1","Open"))</f>
        <v>Open</v>
      </c>
      <c r="T676" s="9" t="str">
        <f>IFERROR(HYPERLINK("#Technical!A"&amp;MATCH(A676,Technical!A:A,0),"Open"),HYPERLINK("#Technical!A1","Open"))</f>
        <v>Open</v>
      </c>
      <c r="U676" s="9"/>
    </row>
    <row r="677" spans="1:21" ht="45" customHeight="1" x14ac:dyDescent="0.25">
      <c r="A677" s="58" t="s">
        <v>712</v>
      </c>
      <c r="B677" s="11">
        <v>7781</v>
      </c>
      <c r="C677" s="43" t="s">
        <v>1391</v>
      </c>
      <c r="D677" s="11" t="s">
        <v>1498</v>
      </c>
      <c r="E677" s="64" t="s">
        <v>68</v>
      </c>
      <c r="F677" s="11" t="s">
        <v>1963</v>
      </c>
      <c r="G677" s="10">
        <v>37</v>
      </c>
      <c r="H677" s="11" t="b">
        <v>0</v>
      </c>
      <c r="I677" s="11" t="s">
        <v>1964</v>
      </c>
      <c r="J677" s="11" t="s">
        <v>1965</v>
      </c>
      <c r="K677" s="72" t="s">
        <v>9</v>
      </c>
      <c r="L677" s="11" t="s">
        <v>1184</v>
      </c>
      <c r="M677" s="11" t="s">
        <v>864</v>
      </c>
      <c r="N677" s="60" t="s">
        <v>98</v>
      </c>
      <c r="O677" s="49" t="s">
        <v>2</v>
      </c>
      <c r="P677" s="11">
        <v>4</v>
      </c>
      <c r="Q677" s="11" t="s">
        <v>2042</v>
      </c>
      <c r="R677" s="11" t="s">
        <v>1967</v>
      </c>
      <c r="S677" t="str">
        <f>IFERROR(HYPERLINK("#Main!A"&amp;MATCH(A677,Main!A:A,0),"Open"),HYPERLINK("#Main!A1","Open"))</f>
        <v>Open</v>
      </c>
      <c r="T677" t="str">
        <f>IFERROR(HYPERLINK("#Technical!A"&amp;MATCH(A677,Technical!A:A,0),"Open"),HYPERLINK("#Technical!A1","Open"))</f>
        <v>Open</v>
      </c>
    </row>
    <row r="678" spans="1:21" ht="45" customHeight="1" x14ac:dyDescent="0.25">
      <c r="A678" s="59" t="s">
        <v>720</v>
      </c>
      <c r="B678" s="8">
        <v>5490</v>
      </c>
      <c r="C678" s="43" t="s">
        <v>1393</v>
      </c>
      <c r="D678" s="8" t="s">
        <v>1498</v>
      </c>
      <c r="E678" s="64" t="s">
        <v>68</v>
      </c>
      <c r="F678" s="8" t="s">
        <v>1963</v>
      </c>
      <c r="G678" s="36">
        <v>37</v>
      </c>
      <c r="H678" s="8" t="b">
        <v>0</v>
      </c>
      <c r="I678" s="8" t="s">
        <v>1964</v>
      </c>
      <c r="J678" s="8" t="s">
        <v>1965</v>
      </c>
      <c r="K678" s="71" t="s">
        <v>9</v>
      </c>
      <c r="L678" s="8" t="s">
        <v>1184</v>
      </c>
      <c r="M678" s="8" t="s">
        <v>864</v>
      </c>
      <c r="N678" s="60" t="s">
        <v>98</v>
      </c>
      <c r="O678" s="49" t="s">
        <v>2</v>
      </c>
      <c r="P678" s="8">
        <v>4</v>
      </c>
      <c r="Q678" s="8" t="s">
        <v>2043</v>
      </c>
      <c r="R678" s="8" t="s">
        <v>1967</v>
      </c>
      <c r="S678" s="9" t="str">
        <f>IFERROR(HYPERLINK("#Main!A"&amp;MATCH(A678,Main!A:A,0),"Open"),HYPERLINK("#Main!A1","Open"))</f>
        <v>Open</v>
      </c>
      <c r="T678" s="9" t="str">
        <f>IFERROR(HYPERLINK("#Technical!A"&amp;MATCH(A678,Technical!A:A,0),"Open"),HYPERLINK("#Technical!A1","Open"))</f>
        <v>Open</v>
      </c>
      <c r="U678" s="9"/>
    </row>
    <row r="679" spans="1:21" ht="45" customHeight="1" x14ac:dyDescent="0.25">
      <c r="A679" s="58" t="s">
        <v>727</v>
      </c>
      <c r="B679" s="11">
        <v>27352</v>
      </c>
      <c r="C679" s="43" t="s">
        <v>1395</v>
      </c>
      <c r="D679" s="11" t="s">
        <v>1498</v>
      </c>
      <c r="E679" s="64" t="s">
        <v>68</v>
      </c>
      <c r="F679" s="11" t="s">
        <v>1963</v>
      </c>
      <c r="G679" s="10">
        <v>37</v>
      </c>
      <c r="H679" s="11" t="b">
        <v>0</v>
      </c>
      <c r="I679" s="11" t="s">
        <v>1964</v>
      </c>
      <c r="J679" s="11" t="s">
        <v>1965</v>
      </c>
      <c r="K679" s="72" t="s">
        <v>9</v>
      </c>
      <c r="L679" s="11" t="s">
        <v>1184</v>
      </c>
      <c r="M679" s="11" t="s">
        <v>864</v>
      </c>
      <c r="N679" s="60" t="s">
        <v>98</v>
      </c>
      <c r="O679" s="49" t="s">
        <v>2</v>
      </c>
      <c r="P679" s="11">
        <v>4</v>
      </c>
      <c r="Q679" s="11" t="s">
        <v>2044</v>
      </c>
      <c r="R679" s="11" t="s">
        <v>1967</v>
      </c>
      <c r="S679" t="str">
        <f>IFERROR(HYPERLINK("#Main!A"&amp;MATCH(A679,Main!A:A,0),"Open"),HYPERLINK("#Main!A1","Open"))</f>
        <v>Open</v>
      </c>
      <c r="T679" t="str">
        <f>IFERROR(HYPERLINK("#Technical!A"&amp;MATCH(A679,Technical!A:A,0),"Open"),HYPERLINK("#Technical!A1","Open"))</f>
        <v>Open</v>
      </c>
    </row>
    <row r="680" spans="1:21" ht="45" customHeight="1" x14ac:dyDescent="0.25">
      <c r="A680" s="59" t="s">
        <v>735</v>
      </c>
      <c r="B680" s="8">
        <v>21591</v>
      </c>
      <c r="C680" s="43" t="s">
        <v>1397</v>
      </c>
      <c r="D680" s="8" t="s">
        <v>1498</v>
      </c>
      <c r="E680" s="64" t="s">
        <v>68</v>
      </c>
      <c r="F680" s="8" t="s">
        <v>1963</v>
      </c>
      <c r="G680" s="36">
        <v>37</v>
      </c>
      <c r="H680" s="8" t="b">
        <v>0</v>
      </c>
      <c r="I680" s="8" t="s">
        <v>1964</v>
      </c>
      <c r="J680" s="8" t="s">
        <v>1965</v>
      </c>
      <c r="K680" s="71" t="s">
        <v>9</v>
      </c>
      <c r="L680" s="8" t="s">
        <v>1184</v>
      </c>
      <c r="M680" s="8" t="s">
        <v>864</v>
      </c>
      <c r="N680" s="60" t="s">
        <v>98</v>
      </c>
      <c r="O680" s="49" t="s">
        <v>2</v>
      </c>
      <c r="P680" s="8">
        <v>4</v>
      </c>
      <c r="Q680" s="8" t="s">
        <v>2045</v>
      </c>
      <c r="R680" s="8" t="s">
        <v>1967</v>
      </c>
      <c r="S680" s="9" t="str">
        <f>IFERROR(HYPERLINK("#Main!A"&amp;MATCH(A680,Main!A:A,0),"Open"),HYPERLINK("#Main!A1","Open"))</f>
        <v>Open</v>
      </c>
      <c r="T680" s="9" t="str">
        <f>IFERROR(HYPERLINK("#Technical!A"&amp;MATCH(A680,Technical!A:A,0),"Open"),HYPERLINK("#Technical!A1","Open"))</f>
        <v>Open</v>
      </c>
      <c r="U680" s="9"/>
    </row>
    <row r="681" spans="1:21" ht="45" customHeight="1" x14ac:dyDescent="0.25">
      <c r="A681" s="58" t="s">
        <v>743</v>
      </c>
      <c r="B681" s="11">
        <v>17195</v>
      </c>
      <c r="C681" s="43" t="s">
        <v>1399</v>
      </c>
      <c r="D681" s="11" t="s">
        <v>1498</v>
      </c>
      <c r="E681" s="64" t="s">
        <v>68</v>
      </c>
      <c r="F681" s="11" t="s">
        <v>1963</v>
      </c>
      <c r="G681" s="10">
        <v>37</v>
      </c>
      <c r="H681" s="11" t="b">
        <v>0</v>
      </c>
      <c r="I681" s="11" t="s">
        <v>1964</v>
      </c>
      <c r="J681" s="11" t="s">
        <v>1965</v>
      </c>
      <c r="K681" s="72" t="s">
        <v>9</v>
      </c>
      <c r="L681" s="11" t="s">
        <v>1184</v>
      </c>
      <c r="M681" s="11" t="s">
        <v>864</v>
      </c>
      <c r="N681" s="60" t="s">
        <v>98</v>
      </c>
      <c r="O681" s="49" t="s">
        <v>2</v>
      </c>
      <c r="P681" s="11">
        <v>4</v>
      </c>
      <c r="Q681" s="11" t="s">
        <v>2046</v>
      </c>
      <c r="R681" s="11" t="s">
        <v>1967</v>
      </c>
      <c r="S681" t="str">
        <f>IFERROR(HYPERLINK("#Main!A"&amp;MATCH(A681,Main!A:A,0),"Open"),HYPERLINK("#Main!A1","Open"))</f>
        <v>Open</v>
      </c>
      <c r="T681" t="str">
        <f>IFERROR(HYPERLINK("#Technical!A"&amp;MATCH(A681,Technical!A:A,0),"Open"),HYPERLINK("#Technical!A1","Open"))</f>
        <v>Open</v>
      </c>
    </row>
    <row r="682" spans="1:21" ht="45" customHeight="1" x14ac:dyDescent="0.25">
      <c r="A682" s="59" t="s">
        <v>750</v>
      </c>
      <c r="B682" s="8">
        <v>7916</v>
      </c>
      <c r="C682" s="43" t="s">
        <v>1401</v>
      </c>
      <c r="D682" s="8" t="s">
        <v>1498</v>
      </c>
      <c r="E682" s="64" t="s">
        <v>68</v>
      </c>
      <c r="F682" s="8" t="s">
        <v>1963</v>
      </c>
      <c r="G682" s="36">
        <v>37</v>
      </c>
      <c r="H682" s="8" t="b">
        <v>0</v>
      </c>
      <c r="I682" s="8" t="s">
        <v>1964</v>
      </c>
      <c r="J682" s="8" t="s">
        <v>1965</v>
      </c>
      <c r="K682" s="71" t="s">
        <v>9</v>
      </c>
      <c r="L682" s="8" t="s">
        <v>1184</v>
      </c>
      <c r="M682" s="8" t="s">
        <v>864</v>
      </c>
      <c r="N682" s="60" t="s">
        <v>98</v>
      </c>
      <c r="O682" s="49" t="s">
        <v>2</v>
      </c>
      <c r="P682" s="8">
        <v>4</v>
      </c>
      <c r="Q682" s="8" t="s">
        <v>2047</v>
      </c>
      <c r="R682" s="8" t="s">
        <v>1967</v>
      </c>
      <c r="S682" s="9" t="str">
        <f>IFERROR(HYPERLINK("#Main!A"&amp;MATCH(A682,Main!A:A,0),"Open"),HYPERLINK("#Main!A1","Open"))</f>
        <v>Open</v>
      </c>
      <c r="T682" s="9" t="str">
        <f>IFERROR(HYPERLINK("#Technical!A"&amp;MATCH(A682,Technical!A:A,0),"Open"),HYPERLINK("#Technical!A1","Open"))</f>
        <v>Open</v>
      </c>
      <c r="U682" s="9"/>
    </row>
    <row r="683" spans="1:21" ht="45" customHeight="1" x14ac:dyDescent="0.25">
      <c r="A683" s="58" t="s">
        <v>758</v>
      </c>
      <c r="B683" s="11">
        <v>17000</v>
      </c>
      <c r="C683" s="43" t="s">
        <v>1403</v>
      </c>
      <c r="D683" s="11" t="s">
        <v>1498</v>
      </c>
      <c r="E683" s="64" t="s">
        <v>68</v>
      </c>
      <c r="F683" s="11" t="s">
        <v>1963</v>
      </c>
      <c r="G683" s="10">
        <v>37</v>
      </c>
      <c r="H683" s="11" t="b">
        <v>0</v>
      </c>
      <c r="I683" s="11" t="s">
        <v>1964</v>
      </c>
      <c r="J683" s="11" t="s">
        <v>1965</v>
      </c>
      <c r="K683" s="72" t="s">
        <v>9</v>
      </c>
      <c r="L683" s="11" t="s">
        <v>1184</v>
      </c>
      <c r="M683" s="11" t="s">
        <v>864</v>
      </c>
      <c r="N683" s="60" t="s">
        <v>98</v>
      </c>
      <c r="O683" s="49" t="s">
        <v>2</v>
      </c>
      <c r="P683" s="11">
        <v>4</v>
      </c>
      <c r="Q683" s="11" t="s">
        <v>2048</v>
      </c>
      <c r="R683" s="11" t="s">
        <v>1967</v>
      </c>
      <c r="S683" t="str">
        <f>IFERROR(HYPERLINK("#Main!A"&amp;MATCH(A683,Main!A:A,0),"Open"),HYPERLINK("#Main!A1","Open"))</f>
        <v>Open</v>
      </c>
      <c r="T683" t="str">
        <f>IFERROR(HYPERLINK("#Technical!A"&amp;MATCH(A683,Technical!A:A,0),"Open"),HYPERLINK("#Technical!A1","Open"))</f>
        <v>Open</v>
      </c>
    </row>
    <row r="684" spans="1:21" ht="45" customHeight="1" x14ac:dyDescent="0.25">
      <c r="A684" s="59" t="s">
        <v>766</v>
      </c>
      <c r="B684" s="8">
        <v>17196</v>
      </c>
      <c r="C684" s="43" t="s">
        <v>1405</v>
      </c>
      <c r="D684" s="8" t="s">
        <v>1498</v>
      </c>
      <c r="E684" s="64" t="s">
        <v>68</v>
      </c>
      <c r="F684" s="8" t="s">
        <v>1963</v>
      </c>
      <c r="G684" s="36">
        <v>37</v>
      </c>
      <c r="H684" s="8" t="b">
        <v>0</v>
      </c>
      <c r="I684" s="8" t="s">
        <v>1964</v>
      </c>
      <c r="J684" s="8" t="s">
        <v>1965</v>
      </c>
      <c r="K684" s="71" t="s">
        <v>9</v>
      </c>
      <c r="L684" s="8" t="s">
        <v>1184</v>
      </c>
      <c r="M684" s="8" t="s">
        <v>864</v>
      </c>
      <c r="N684" s="60" t="s">
        <v>98</v>
      </c>
      <c r="O684" s="49" t="s">
        <v>2</v>
      </c>
      <c r="P684" s="8">
        <v>4</v>
      </c>
      <c r="Q684" s="8" t="s">
        <v>2049</v>
      </c>
      <c r="R684" s="8" t="s">
        <v>1967</v>
      </c>
      <c r="S684" s="9" t="str">
        <f>IFERROR(HYPERLINK("#Main!A"&amp;MATCH(A684,Main!A:A,0),"Open"),HYPERLINK("#Main!A1","Open"))</f>
        <v>Open</v>
      </c>
      <c r="T684" s="9" t="str">
        <f>IFERROR(HYPERLINK("#Technical!A"&amp;MATCH(A684,Technical!A:A,0),"Open"),HYPERLINK("#Technical!A1","Open"))</f>
        <v>Open</v>
      </c>
      <c r="U684" s="9"/>
    </row>
    <row r="685" spans="1:21" ht="45" customHeight="1" x14ac:dyDescent="0.25">
      <c r="A685" s="58" t="s">
        <v>774</v>
      </c>
      <c r="B685" s="11">
        <v>4909</v>
      </c>
      <c r="C685" s="43" t="s">
        <v>1407</v>
      </c>
      <c r="D685" s="11" t="s">
        <v>1498</v>
      </c>
      <c r="E685" s="64" t="s">
        <v>68</v>
      </c>
      <c r="F685" s="11" t="s">
        <v>1963</v>
      </c>
      <c r="G685" s="10">
        <v>37</v>
      </c>
      <c r="H685" s="11" t="b">
        <v>0</v>
      </c>
      <c r="I685" s="11" t="s">
        <v>1964</v>
      </c>
      <c r="J685" s="11" t="s">
        <v>1965</v>
      </c>
      <c r="K685" s="72" t="s">
        <v>9</v>
      </c>
      <c r="L685" s="11" t="s">
        <v>1184</v>
      </c>
      <c r="M685" s="11" t="s">
        <v>864</v>
      </c>
      <c r="N685" s="60" t="s">
        <v>98</v>
      </c>
      <c r="O685" s="49" t="s">
        <v>2</v>
      </c>
      <c r="P685" s="11">
        <v>4</v>
      </c>
      <c r="Q685" s="11" t="s">
        <v>2050</v>
      </c>
      <c r="R685" s="11" t="s">
        <v>1967</v>
      </c>
      <c r="S685" t="str">
        <f>IFERROR(HYPERLINK("#Main!A"&amp;MATCH(A685,Main!A:A,0),"Open"),HYPERLINK("#Main!A1","Open"))</f>
        <v>Open</v>
      </c>
      <c r="T685" t="str">
        <f>IFERROR(HYPERLINK("#Technical!A"&amp;MATCH(A685,Technical!A:A,0),"Open"),HYPERLINK("#Technical!A1","Open"))</f>
        <v>Open</v>
      </c>
    </row>
    <row r="686" spans="1:21" ht="45" customHeight="1" x14ac:dyDescent="0.25">
      <c r="A686" s="59" t="s">
        <v>782</v>
      </c>
      <c r="B686" s="8">
        <v>5290</v>
      </c>
      <c r="C686" s="43" t="s">
        <v>1409</v>
      </c>
      <c r="D686" s="8" t="s">
        <v>1498</v>
      </c>
      <c r="E686" s="64" t="s">
        <v>68</v>
      </c>
      <c r="F686" s="8" t="s">
        <v>1963</v>
      </c>
      <c r="G686" s="36">
        <v>37</v>
      </c>
      <c r="H686" s="8" t="b">
        <v>0</v>
      </c>
      <c r="I686" s="8" t="s">
        <v>1964</v>
      </c>
      <c r="J686" s="8" t="s">
        <v>1965</v>
      </c>
      <c r="K686" s="71" t="s">
        <v>9</v>
      </c>
      <c r="L686" s="8" t="s">
        <v>1184</v>
      </c>
      <c r="M686" s="8" t="s">
        <v>864</v>
      </c>
      <c r="N686" s="60" t="s">
        <v>98</v>
      </c>
      <c r="O686" s="49" t="s">
        <v>2</v>
      </c>
      <c r="P686" s="8">
        <v>4</v>
      </c>
      <c r="Q686" s="8" t="s">
        <v>2051</v>
      </c>
      <c r="R686" s="8" t="s">
        <v>1967</v>
      </c>
      <c r="S686" s="9" t="str">
        <f>IFERROR(HYPERLINK("#Main!A"&amp;MATCH(A686,Main!A:A,0),"Open"),HYPERLINK("#Main!A1","Open"))</f>
        <v>Open</v>
      </c>
      <c r="T686" s="9" t="str">
        <f>IFERROR(HYPERLINK("#Technical!A"&amp;MATCH(A686,Technical!A:A,0),"Open"),HYPERLINK("#Technical!A1","Open"))</f>
        <v>Open</v>
      </c>
      <c r="U686" s="9"/>
    </row>
    <row r="687" spans="1:21" ht="30" customHeight="1" x14ac:dyDescent="0.25">
      <c r="A687" s="58" t="s">
        <v>140</v>
      </c>
      <c r="B687" s="11">
        <v>8</v>
      </c>
      <c r="C687" s="43" t="s">
        <v>1243</v>
      </c>
      <c r="D687" s="11" t="s">
        <v>890</v>
      </c>
      <c r="E687" s="64" t="s">
        <v>68</v>
      </c>
      <c r="F687" s="11" t="s">
        <v>2052</v>
      </c>
      <c r="G687" s="10">
        <v>37</v>
      </c>
      <c r="H687" s="11">
        <v>66</v>
      </c>
      <c r="I687" s="11" t="s">
        <v>1589</v>
      </c>
      <c r="J687" s="11" t="s">
        <v>2053</v>
      </c>
      <c r="K687" s="72" t="s">
        <v>6</v>
      </c>
      <c r="L687" s="11" t="s">
        <v>890</v>
      </c>
      <c r="M687" s="11" t="s">
        <v>864</v>
      </c>
      <c r="N687" s="60" t="s">
        <v>98</v>
      </c>
      <c r="O687" s="49" t="s">
        <v>2</v>
      </c>
      <c r="P687" s="11">
        <v>4</v>
      </c>
      <c r="Q687" s="11" t="s">
        <v>2054</v>
      </c>
      <c r="R687" s="11" t="s">
        <v>2055</v>
      </c>
      <c r="S687" t="str">
        <f>IFERROR(HYPERLINK("#Main!A"&amp;MATCH(A687,Main!A:A,0),"Open"),HYPERLINK("#Main!A1","Open"))</f>
        <v>Open</v>
      </c>
      <c r="T687" t="str">
        <f>IFERROR(HYPERLINK("#Technical!A"&amp;MATCH(A687,Technical!A:A,0),"Open"),HYPERLINK("#Technical!A1","Open"))</f>
        <v>Open</v>
      </c>
    </row>
    <row r="688" spans="1:21" ht="30" customHeight="1" x14ac:dyDescent="0.25">
      <c r="A688" s="59" t="s">
        <v>148</v>
      </c>
      <c r="B688" s="8">
        <v>84</v>
      </c>
      <c r="C688" s="43" t="s">
        <v>1249</v>
      </c>
      <c r="D688" s="8" t="s">
        <v>890</v>
      </c>
      <c r="E688" s="64" t="s">
        <v>68</v>
      </c>
      <c r="F688" s="8" t="s">
        <v>2052</v>
      </c>
      <c r="G688" s="36">
        <v>37</v>
      </c>
      <c r="H688" s="8">
        <v>107</v>
      </c>
      <c r="I688" s="8" t="s">
        <v>1589</v>
      </c>
      <c r="J688" s="8" t="s">
        <v>2053</v>
      </c>
      <c r="K688" s="71" t="s">
        <v>6</v>
      </c>
      <c r="L688" s="8" t="s">
        <v>890</v>
      </c>
      <c r="M688" s="8" t="s">
        <v>864</v>
      </c>
      <c r="N688" s="60" t="s">
        <v>98</v>
      </c>
      <c r="O688" s="49" t="s">
        <v>2</v>
      </c>
      <c r="P688" s="8">
        <v>4</v>
      </c>
      <c r="Q688" s="8" t="s">
        <v>2056</v>
      </c>
      <c r="R688" s="8" t="s">
        <v>2055</v>
      </c>
      <c r="S688" s="9" t="str">
        <f>IFERROR(HYPERLINK("#Main!A"&amp;MATCH(A688,Main!A:A,0),"Open"),HYPERLINK("#Main!A1","Open"))</f>
        <v>Open</v>
      </c>
      <c r="T688" s="9" t="str">
        <f>IFERROR(HYPERLINK("#Technical!A"&amp;MATCH(A688,Technical!A:A,0),"Open"),HYPERLINK("#Technical!A1","Open"))</f>
        <v>Open</v>
      </c>
      <c r="U688" s="9"/>
    </row>
    <row r="689" spans="1:21" ht="30" customHeight="1" x14ac:dyDescent="0.25">
      <c r="A689" s="58" t="s">
        <v>156</v>
      </c>
      <c r="B689" s="11">
        <v>28165</v>
      </c>
      <c r="C689" s="43" t="s">
        <v>1251</v>
      </c>
      <c r="D689" s="11" t="s">
        <v>890</v>
      </c>
      <c r="E689" s="64" t="s">
        <v>68</v>
      </c>
      <c r="F689" s="11" t="s">
        <v>2052</v>
      </c>
      <c r="G689" s="10">
        <v>37</v>
      </c>
      <c r="H689" s="11">
        <v>81</v>
      </c>
      <c r="I689" s="11" t="s">
        <v>1589</v>
      </c>
      <c r="J689" s="11" t="s">
        <v>2053</v>
      </c>
      <c r="K689" s="72" t="s">
        <v>6</v>
      </c>
      <c r="L689" s="11" t="s">
        <v>890</v>
      </c>
      <c r="M689" s="11" t="s">
        <v>864</v>
      </c>
      <c r="N689" s="60" t="s">
        <v>98</v>
      </c>
      <c r="O689" s="49" t="s">
        <v>2</v>
      </c>
      <c r="P689" s="11">
        <v>4</v>
      </c>
      <c r="Q689" s="11" t="s">
        <v>2057</v>
      </c>
      <c r="R689" s="11" t="s">
        <v>2055</v>
      </c>
      <c r="S689" t="str">
        <f>IFERROR(HYPERLINK("#Main!A"&amp;MATCH(A689,Main!A:A,0),"Open"),HYPERLINK("#Main!A1","Open"))</f>
        <v>Open</v>
      </c>
      <c r="T689" t="str">
        <f>IFERROR(HYPERLINK("#Technical!A"&amp;MATCH(A689,Technical!A:A,0),"Open"),HYPERLINK("#Technical!A1","Open"))</f>
        <v>Open</v>
      </c>
    </row>
    <row r="690" spans="1:21" ht="30" customHeight="1" x14ac:dyDescent="0.25">
      <c r="A690" s="59" t="s">
        <v>172</v>
      </c>
      <c r="B690" s="8">
        <v>5619</v>
      </c>
      <c r="C690" s="43" t="s">
        <v>1255</v>
      </c>
      <c r="D690" s="8" t="s">
        <v>890</v>
      </c>
      <c r="E690" s="64" t="s">
        <v>68</v>
      </c>
      <c r="F690" s="8" t="s">
        <v>2052</v>
      </c>
      <c r="G690" s="36">
        <v>37</v>
      </c>
      <c r="H690" s="8">
        <v>66</v>
      </c>
      <c r="I690" s="8" t="s">
        <v>1589</v>
      </c>
      <c r="J690" s="8" t="s">
        <v>2053</v>
      </c>
      <c r="K690" s="71" t="s">
        <v>6</v>
      </c>
      <c r="L690" s="8" t="s">
        <v>890</v>
      </c>
      <c r="M690" s="8" t="s">
        <v>864</v>
      </c>
      <c r="N690" s="60" t="s">
        <v>98</v>
      </c>
      <c r="O690" s="49" t="s">
        <v>2</v>
      </c>
      <c r="P690" s="8">
        <v>4</v>
      </c>
      <c r="Q690" s="8" t="s">
        <v>2058</v>
      </c>
      <c r="R690" s="8" t="s">
        <v>2055</v>
      </c>
      <c r="S690" s="9" t="str">
        <f>IFERROR(HYPERLINK("#Main!A"&amp;MATCH(A690,Main!A:A,0),"Open"),HYPERLINK("#Main!A1","Open"))</f>
        <v>Open</v>
      </c>
      <c r="T690" s="9" t="str">
        <f>IFERROR(HYPERLINK("#Technical!A"&amp;MATCH(A690,Technical!A:A,0),"Open"),HYPERLINK("#Technical!A1","Open"))</f>
        <v>Open</v>
      </c>
      <c r="U690" s="9"/>
    </row>
    <row r="691" spans="1:21" ht="30" customHeight="1" x14ac:dyDescent="0.25">
      <c r="A691" s="58" t="s">
        <v>180</v>
      </c>
      <c r="B691" s="11">
        <v>4941</v>
      </c>
      <c r="C691" s="43" t="s">
        <v>1257</v>
      </c>
      <c r="D691" s="11" t="s">
        <v>890</v>
      </c>
      <c r="E691" s="64" t="s">
        <v>68</v>
      </c>
      <c r="F691" s="11" t="s">
        <v>2052</v>
      </c>
      <c r="G691" s="10">
        <v>37</v>
      </c>
      <c r="H691" s="11">
        <v>65</v>
      </c>
      <c r="I691" s="11" t="s">
        <v>1589</v>
      </c>
      <c r="J691" s="11" t="s">
        <v>2053</v>
      </c>
      <c r="K691" s="72" t="s">
        <v>6</v>
      </c>
      <c r="L691" s="11" t="s">
        <v>890</v>
      </c>
      <c r="M691" s="11" t="s">
        <v>864</v>
      </c>
      <c r="N691" s="60" t="s">
        <v>98</v>
      </c>
      <c r="O691" s="49" t="s">
        <v>2</v>
      </c>
      <c r="P691" s="11">
        <v>4</v>
      </c>
      <c r="Q691" s="11" t="s">
        <v>2059</v>
      </c>
      <c r="R691" s="11" t="s">
        <v>2055</v>
      </c>
      <c r="S691" t="str">
        <f>IFERROR(HYPERLINK("#Main!A"&amp;MATCH(A691,Main!A:A,0),"Open"),HYPERLINK("#Main!A1","Open"))</f>
        <v>Open</v>
      </c>
      <c r="T691" t="str">
        <f>IFERROR(HYPERLINK("#Technical!A"&amp;MATCH(A691,Technical!A:A,0),"Open"),HYPERLINK("#Technical!A1","Open"))</f>
        <v>Open</v>
      </c>
    </row>
    <row r="692" spans="1:21" ht="30" customHeight="1" x14ac:dyDescent="0.25">
      <c r="A692" s="59" t="s">
        <v>290</v>
      </c>
      <c r="B692" s="8">
        <v>30257</v>
      </c>
      <c r="C692" s="43" t="s">
        <v>1284</v>
      </c>
      <c r="D692" s="8" t="s">
        <v>890</v>
      </c>
      <c r="E692" s="64" t="s">
        <v>68</v>
      </c>
      <c r="F692" s="8" t="s">
        <v>2052</v>
      </c>
      <c r="G692" s="36">
        <v>37</v>
      </c>
      <c r="H692" s="8">
        <v>64</v>
      </c>
      <c r="I692" s="8" t="s">
        <v>1589</v>
      </c>
      <c r="J692" s="8" t="s">
        <v>2053</v>
      </c>
      <c r="K692" s="71" t="s">
        <v>6</v>
      </c>
      <c r="L692" s="8" t="s">
        <v>890</v>
      </c>
      <c r="M692" s="8" t="s">
        <v>864</v>
      </c>
      <c r="N692" s="60" t="s">
        <v>98</v>
      </c>
      <c r="O692" s="49" t="s">
        <v>2</v>
      </c>
      <c r="P692" s="8">
        <v>4</v>
      </c>
      <c r="Q692" s="8" t="s">
        <v>2060</v>
      </c>
      <c r="R692" s="8" t="s">
        <v>2055</v>
      </c>
      <c r="S692" s="9" t="str">
        <f>IFERROR(HYPERLINK("#Main!A"&amp;MATCH(A692,Main!A:A,0),"Open"),HYPERLINK("#Main!A1","Open"))</f>
        <v>Open</v>
      </c>
      <c r="T692" s="9" t="str">
        <f>IFERROR(HYPERLINK("#Technical!A"&amp;MATCH(A692,Technical!A:A,0),"Open"),HYPERLINK("#Technical!A1","Open"))</f>
        <v>Open</v>
      </c>
      <c r="U692" s="9"/>
    </row>
    <row r="693" spans="1:21" ht="30" customHeight="1" x14ac:dyDescent="0.25">
      <c r="A693" s="58" t="s">
        <v>298</v>
      </c>
      <c r="B693" s="11">
        <v>23710</v>
      </c>
      <c r="C693" s="43" t="s">
        <v>1286</v>
      </c>
      <c r="D693" s="11" t="s">
        <v>890</v>
      </c>
      <c r="E693" s="64" t="s">
        <v>68</v>
      </c>
      <c r="F693" s="11" t="s">
        <v>2061</v>
      </c>
      <c r="G693" s="10">
        <v>37</v>
      </c>
      <c r="H693" s="11">
        <v>19</v>
      </c>
      <c r="I693" s="11" t="s">
        <v>1589</v>
      </c>
      <c r="J693" s="11" t="s">
        <v>2062</v>
      </c>
      <c r="K693" s="72" t="s">
        <v>6</v>
      </c>
      <c r="L693" s="11" t="s">
        <v>890</v>
      </c>
      <c r="M693" s="11" t="s">
        <v>864</v>
      </c>
      <c r="N693" s="60" t="s">
        <v>98</v>
      </c>
      <c r="O693" s="49" t="s">
        <v>2</v>
      </c>
      <c r="P693" s="11">
        <v>4</v>
      </c>
      <c r="Q693" s="11" t="s">
        <v>2063</v>
      </c>
      <c r="R693" s="11" t="s">
        <v>2064</v>
      </c>
      <c r="S693" t="str">
        <f>IFERROR(HYPERLINK("#Main!A"&amp;MATCH(A693,Main!A:A,0),"Open"),HYPERLINK("#Main!A1","Open"))</f>
        <v>Open</v>
      </c>
      <c r="T693" t="str">
        <f>IFERROR(HYPERLINK("#Technical!A"&amp;MATCH(A693,Technical!A:A,0),"Open"),HYPERLINK("#Technical!A1","Open"))</f>
        <v>Open</v>
      </c>
    </row>
    <row r="694" spans="1:21" ht="30" customHeight="1" x14ac:dyDescent="0.25">
      <c r="A694" s="59" t="s">
        <v>306</v>
      </c>
      <c r="B694" s="8">
        <v>33280</v>
      </c>
      <c r="C694" s="43" t="s">
        <v>1288</v>
      </c>
      <c r="D694" s="8" t="s">
        <v>890</v>
      </c>
      <c r="E694" s="64" t="s">
        <v>68</v>
      </c>
      <c r="F694" s="8" t="s">
        <v>2052</v>
      </c>
      <c r="G694" s="36">
        <v>37</v>
      </c>
      <c r="H694" s="8">
        <v>82</v>
      </c>
      <c r="I694" s="8" t="s">
        <v>1589</v>
      </c>
      <c r="J694" s="8" t="s">
        <v>2053</v>
      </c>
      <c r="K694" s="71" t="s">
        <v>6</v>
      </c>
      <c r="L694" s="8" t="s">
        <v>890</v>
      </c>
      <c r="M694" s="8" t="s">
        <v>864</v>
      </c>
      <c r="N694" s="60" t="s">
        <v>98</v>
      </c>
      <c r="O694" s="49" t="s">
        <v>2</v>
      </c>
      <c r="P694" s="8">
        <v>4</v>
      </c>
      <c r="Q694" s="8" t="s">
        <v>2065</v>
      </c>
      <c r="R694" s="8" t="s">
        <v>2055</v>
      </c>
      <c r="S694" s="9" t="str">
        <f>IFERROR(HYPERLINK("#Main!A"&amp;MATCH(A694,Main!A:A,0),"Open"),HYPERLINK("#Main!A1","Open"))</f>
        <v>Open</v>
      </c>
      <c r="T694" s="9" t="str">
        <f>IFERROR(HYPERLINK("#Technical!A"&amp;MATCH(A694,Technical!A:A,0),"Open"),HYPERLINK("#Technical!A1","Open"))</f>
        <v>Open</v>
      </c>
      <c r="U694" s="9"/>
    </row>
    <row r="695" spans="1:21" ht="30" customHeight="1" x14ac:dyDescent="0.25">
      <c r="A695" s="58" t="s">
        <v>314</v>
      </c>
      <c r="B695" s="11">
        <v>22778</v>
      </c>
      <c r="C695" s="43" t="s">
        <v>1290</v>
      </c>
      <c r="D695" s="11" t="s">
        <v>890</v>
      </c>
      <c r="E695" s="64" t="s">
        <v>68</v>
      </c>
      <c r="F695" s="11" t="s">
        <v>2052</v>
      </c>
      <c r="G695" s="10">
        <v>37</v>
      </c>
      <c r="H695" s="11">
        <v>70</v>
      </c>
      <c r="I695" s="11" t="s">
        <v>1589</v>
      </c>
      <c r="J695" s="11" t="s">
        <v>2053</v>
      </c>
      <c r="K695" s="72" t="s">
        <v>6</v>
      </c>
      <c r="L695" s="11" t="s">
        <v>890</v>
      </c>
      <c r="M695" s="11" t="s">
        <v>864</v>
      </c>
      <c r="N695" s="60" t="s">
        <v>98</v>
      </c>
      <c r="O695" s="49" t="s">
        <v>2</v>
      </c>
      <c r="P695" s="11">
        <v>4</v>
      </c>
      <c r="Q695" s="11" t="s">
        <v>2066</v>
      </c>
      <c r="R695" s="11" t="s">
        <v>2055</v>
      </c>
      <c r="S695" t="str">
        <f>IFERROR(HYPERLINK("#Main!A"&amp;MATCH(A695,Main!A:A,0),"Open"),HYPERLINK("#Main!A1","Open"))</f>
        <v>Open</v>
      </c>
      <c r="T695" t="str">
        <f>IFERROR(HYPERLINK("#Technical!A"&amp;MATCH(A695,Technical!A:A,0),"Open"),HYPERLINK("#Technical!A1","Open"))</f>
        <v>Open</v>
      </c>
    </row>
    <row r="696" spans="1:21" ht="30" customHeight="1" x14ac:dyDescent="0.25">
      <c r="A696" s="59" t="s">
        <v>366</v>
      </c>
      <c r="B696" s="8">
        <v>33131</v>
      </c>
      <c r="C696" s="43" t="s">
        <v>1303</v>
      </c>
      <c r="D696" s="8" t="s">
        <v>890</v>
      </c>
      <c r="E696" s="64" t="s">
        <v>68</v>
      </c>
      <c r="F696" s="8" t="s">
        <v>2052</v>
      </c>
      <c r="G696" s="36">
        <v>37</v>
      </c>
      <c r="H696" s="8">
        <v>72</v>
      </c>
      <c r="I696" s="8" t="s">
        <v>1589</v>
      </c>
      <c r="J696" s="8" t="s">
        <v>2053</v>
      </c>
      <c r="K696" s="71" t="s">
        <v>6</v>
      </c>
      <c r="L696" s="8" t="s">
        <v>890</v>
      </c>
      <c r="M696" s="8" t="s">
        <v>864</v>
      </c>
      <c r="N696" s="60" t="s">
        <v>98</v>
      </c>
      <c r="O696" s="49" t="s">
        <v>2</v>
      </c>
      <c r="P696" s="8">
        <v>4</v>
      </c>
      <c r="Q696" s="8" t="s">
        <v>2067</v>
      </c>
      <c r="R696" s="8" t="s">
        <v>2055</v>
      </c>
      <c r="S696" s="9" t="str">
        <f>IFERROR(HYPERLINK("#Main!A"&amp;MATCH(A696,Main!A:A,0),"Open"),HYPERLINK("#Main!A1","Open"))</f>
        <v>Open</v>
      </c>
      <c r="T696" s="9" t="str">
        <f>IFERROR(HYPERLINK("#Technical!A"&amp;MATCH(A696,Technical!A:A,0),"Open"),HYPERLINK("#Technical!A1","Open"))</f>
        <v>Open</v>
      </c>
      <c r="U696" s="9"/>
    </row>
    <row r="697" spans="1:21" ht="45" customHeight="1" x14ac:dyDescent="0.25">
      <c r="A697" s="58" t="s">
        <v>377</v>
      </c>
      <c r="B697" s="11">
        <v>25857</v>
      </c>
      <c r="C697" s="43" t="s">
        <v>1306</v>
      </c>
      <c r="D697" s="11" t="s">
        <v>890</v>
      </c>
      <c r="E697" s="64" t="s">
        <v>68</v>
      </c>
      <c r="F697" s="11" t="s">
        <v>2052</v>
      </c>
      <c r="G697" s="10">
        <v>37</v>
      </c>
      <c r="H697" s="11">
        <v>68</v>
      </c>
      <c r="I697" s="11" t="s">
        <v>1589</v>
      </c>
      <c r="J697" s="11" t="s">
        <v>2053</v>
      </c>
      <c r="K697" s="72" t="s">
        <v>6</v>
      </c>
      <c r="L697" s="11" t="s">
        <v>890</v>
      </c>
      <c r="M697" s="11" t="s">
        <v>864</v>
      </c>
      <c r="N697" s="60" t="s">
        <v>98</v>
      </c>
      <c r="O697" s="49" t="s">
        <v>2</v>
      </c>
      <c r="P697" s="11">
        <v>4</v>
      </c>
      <c r="Q697" s="11" t="s">
        <v>2068</v>
      </c>
      <c r="R697" s="11" t="s">
        <v>2055</v>
      </c>
      <c r="S697" t="str">
        <f>IFERROR(HYPERLINK("#Main!A"&amp;MATCH(A697,Main!A:A,0),"Open"),HYPERLINK("#Main!A1","Open"))</f>
        <v>Open</v>
      </c>
      <c r="T697" t="str">
        <f>IFERROR(HYPERLINK("#Technical!A"&amp;MATCH(A697,Technical!A:A,0),"Open"),HYPERLINK("#Technical!A1","Open"))</f>
        <v>Open</v>
      </c>
    </row>
    <row r="698" spans="1:21" ht="30" customHeight="1" x14ac:dyDescent="0.25">
      <c r="A698" s="59" t="s">
        <v>401</v>
      </c>
      <c r="B698" s="8">
        <v>24882</v>
      </c>
      <c r="C698" s="43" t="s">
        <v>1312</v>
      </c>
      <c r="D698" s="8" t="s">
        <v>890</v>
      </c>
      <c r="E698" s="64" t="s">
        <v>68</v>
      </c>
      <c r="F698" s="8" t="s">
        <v>2061</v>
      </c>
      <c r="G698" s="36">
        <v>37</v>
      </c>
      <c r="H698" s="8">
        <v>26</v>
      </c>
      <c r="I698" s="8" t="s">
        <v>1589</v>
      </c>
      <c r="J698" s="8" t="s">
        <v>2062</v>
      </c>
      <c r="K698" s="71" t="s">
        <v>6</v>
      </c>
      <c r="L698" s="8" t="s">
        <v>890</v>
      </c>
      <c r="M698" s="8" t="s">
        <v>864</v>
      </c>
      <c r="N698" s="60" t="s">
        <v>98</v>
      </c>
      <c r="O698" s="49" t="s">
        <v>2</v>
      </c>
      <c r="P698" s="8">
        <v>4</v>
      </c>
      <c r="Q698" s="8" t="s">
        <v>2069</v>
      </c>
      <c r="R698" s="8" t="s">
        <v>2064</v>
      </c>
      <c r="S698" s="9" t="str">
        <f>IFERROR(HYPERLINK("#Main!A"&amp;MATCH(A698,Main!A:A,0),"Open"),HYPERLINK("#Main!A1","Open"))</f>
        <v>Open</v>
      </c>
      <c r="T698" s="9" t="str">
        <f>IFERROR(HYPERLINK("#Technical!A"&amp;MATCH(A698,Technical!A:A,0),"Open"),HYPERLINK("#Technical!A1","Open"))</f>
        <v>Open</v>
      </c>
      <c r="U698" s="9"/>
    </row>
    <row r="699" spans="1:21" ht="45" customHeight="1" x14ac:dyDescent="0.25">
      <c r="A699" s="58" t="s">
        <v>409</v>
      </c>
      <c r="B699" s="11">
        <v>22595</v>
      </c>
      <c r="C699" s="43" t="s">
        <v>1314</v>
      </c>
      <c r="D699" s="11" t="s">
        <v>890</v>
      </c>
      <c r="E699" s="64" t="s">
        <v>68</v>
      </c>
      <c r="F699" s="11" t="s">
        <v>2052</v>
      </c>
      <c r="G699" s="10">
        <v>37</v>
      </c>
      <c r="H699" s="11">
        <v>65</v>
      </c>
      <c r="I699" s="11" t="s">
        <v>1589</v>
      </c>
      <c r="J699" s="11" t="s">
        <v>2053</v>
      </c>
      <c r="K699" s="72" t="s">
        <v>6</v>
      </c>
      <c r="L699" s="11" t="s">
        <v>890</v>
      </c>
      <c r="M699" s="11" t="s">
        <v>864</v>
      </c>
      <c r="N699" s="60" t="s">
        <v>98</v>
      </c>
      <c r="O699" s="49" t="s">
        <v>2</v>
      </c>
      <c r="P699" s="11">
        <v>4</v>
      </c>
      <c r="Q699" s="11" t="s">
        <v>2070</v>
      </c>
      <c r="R699" s="11" t="s">
        <v>2055</v>
      </c>
      <c r="S699" t="str">
        <f>IFERROR(HYPERLINK("#Main!A"&amp;MATCH(A699,Main!A:A,0),"Open"),HYPERLINK("#Main!A1","Open"))</f>
        <v>Open</v>
      </c>
      <c r="T699" t="str">
        <f>IFERROR(HYPERLINK("#Technical!A"&amp;MATCH(A699,Technical!A:A,0),"Open"),HYPERLINK("#Technical!A1","Open"))</f>
        <v>Open</v>
      </c>
    </row>
    <row r="700" spans="1:21" ht="30" customHeight="1" x14ac:dyDescent="0.25">
      <c r="A700" s="59" t="s">
        <v>449</v>
      </c>
      <c r="B700" s="8">
        <v>6822</v>
      </c>
      <c r="C700" s="43" t="s">
        <v>1324</v>
      </c>
      <c r="D700" s="8" t="s">
        <v>890</v>
      </c>
      <c r="E700" s="64" t="s">
        <v>68</v>
      </c>
      <c r="F700" s="8" t="s">
        <v>2052</v>
      </c>
      <c r="G700" s="36">
        <v>37</v>
      </c>
      <c r="H700" s="8">
        <v>61</v>
      </c>
      <c r="I700" s="8" t="s">
        <v>1589</v>
      </c>
      <c r="J700" s="8" t="s">
        <v>2053</v>
      </c>
      <c r="K700" s="71" t="s">
        <v>6</v>
      </c>
      <c r="L700" s="8" t="s">
        <v>890</v>
      </c>
      <c r="M700" s="8" t="s">
        <v>864</v>
      </c>
      <c r="N700" s="60" t="s">
        <v>98</v>
      </c>
      <c r="O700" s="49" t="s">
        <v>2</v>
      </c>
      <c r="P700" s="8">
        <v>4</v>
      </c>
      <c r="Q700" s="8" t="s">
        <v>2071</v>
      </c>
      <c r="R700" s="8" t="s">
        <v>2055</v>
      </c>
      <c r="S700" s="9" t="str">
        <f>IFERROR(HYPERLINK("#Main!A"&amp;MATCH(A700,Main!A:A,0),"Open"),HYPERLINK("#Main!A1","Open"))</f>
        <v>Open</v>
      </c>
      <c r="T700" s="9" t="str">
        <f>IFERROR(HYPERLINK("#Technical!A"&amp;MATCH(A700,Technical!A:A,0),"Open"),HYPERLINK("#Technical!A1","Open"))</f>
        <v>Open</v>
      </c>
      <c r="U700" s="9"/>
    </row>
    <row r="701" spans="1:21" ht="30" customHeight="1" x14ac:dyDescent="0.25">
      <c r="A701" s="58" t="s">
        <v>519</v>
      </c>
      <c r="B701" s="11">
        <v>28742</v>
      </c>
      <c r="C701" s="43" t="s">
        <v>1342</v>
      </c>
      <c r="D701" s="11" t="s">
        <v>890</v>
      </c>
      <c r="E701" s="64" t="s">
        <v>68</v>
      </c>
      <c r="F701" s="11" t="s">
        <v>2052</v>
      </c>
      <c r="G701" s="10">
        <v>37</v>
      </c>
      <c r="H701" s="11">
        <v>74</v>
      </c>
      <c r="I701" s="11" t="s">
        <v>1589</v>
      </c>
      <c r="J701" s="11" t="s">
        <v>2053</v>
      </c>
      <c r="K701" s="72" t="s">
        <v>6</v>
      </c>
      <c r="L701" s="11" t="s">
        <v>890</v>
      </c>
      <c r="M701" s="11" t="s">
        <v>864</v>
      </c>
      <c r="N701" s="60" t="s">
        <v>98</v>
      </c>
      <c r="O701" s="49" t="s">
        <v>2</v>
      </c>
      <c r="P701" s="11">
        <v>4</v>
      </c>
      <c r="Q701" s="11" t="s">
        <v>2072</v>
      </c>
      <c r="R701" s="11" t="s">
        <v>2055</v>
      </c>
      <c r="S701" t="str">
        <f>IFERROR(HYPERLINK("#Main!A"&amp;MATCH(A701,Main!A:A,0),"Open"),HYPERLINK("#Main!A1","Open"))</f>
        <v>Open</v>
      </c>
      <c r="T701" t="str">
        <f>IFERROR(HYPERLINK("#Technical!A"&amp;MATCH(A701,Technical!A:A,0),"Open"),HYPERLINK("#Technical!A1","Open"))</f>
        <v>Open</v>
      </c>
    </row>
    <row r="702" spans="1:21" ht="30" customHeight="1" x14ac:dyDescent="0.25">
      <c r="A702" s="59" t="s">
        <v>527</v>
      </c>
      <c r="B702" s="8">
        <v>20001</v>
      </c>
      <c r="C702" s="43" t="s">
        <v>1344</v>
      </c>
      <c r="D702" s="8" t="s">
        <v>890</v>
      </c>
      <c r="E702" s="64" t="s">
        <v>68</v>
      </c>
      <c r="F702" s="8" t="s">
        <v>2052</v>
      </c>
      <c r="G702" s="36">
        <v>37</v>
      </c>
      <c r="H702" s="8">
        <v>82</v>
      </c>
      <c r="I702" s="8" t="s">
        <v>1589</v>
      </c>
      <c r="J702" s="8" t="s">
        <v>2053</v>
      </c>
      <c r="K702" s="71" t="s">
        <v>6</v>
      </c>
      <c r="L702" s="8" t="s">
        <v>890</v>
      </c>
      <c r="M702" s="8" t="s">
        <v>864</v>
      </c>
      <c r="N702" s="60" t="s">
        <v>98</v>
      </c>
      <c r="O702" s="49" t="s">
        <v>2</v>
      </c>
      <c r="P702" s="8">
        <v>4</v>
      </c>
      <c r="Q702" s="8" t="s">
        <v>2073</v>
      </c>
      <c r="R702" s="8" t="s">
        <v>2055</v>
      </c>
      <c r="S702" s="9" t="str">
        <f>IFERROR(HYPERLINK("#Main!A"&amp;MATCH(A702,Main!A:A,0),"Open"),HYPERLINK("#Main!A1","Open"))</f>
        <v>Open</v>
      </c>
      <c r="T702" s="9" t="str">
        <f>IFERROR(HYPERLINK("#Technical!A"&amp;MATCH(A702,Technical!A:A,0),"Open"),HYPERLINK("#Technical!A1","Open"))</f>
        <v>Open</v>
      </c>
      <c r="U702" s="9"/>
    </row>
    <row r="703" spans="1:21" ht="30" customHeight="1" x14ac:dyDescent="0.25">
      <c r="A703" s="58" t="s">
        <v>535</v>
      </c>
      <c r="B703" s="11">
        <v>19980</v>
      </c>
      <c r="C703" s="43" t="s">
        <v>1346</v>
      </c>
      <c r="D703" s="11" t="s">
        <v>890</v>
      </c>
      <c r="E703" s="64" t="s">
        <v>68</v>
      </c>
      <c r="F703" s="11" t="s">
        <v>2052</v>
      </c>
      <c r="G703" s="10">
        <v>37</v>
      </c>
      <c r="H703" s="11">
        <v>75</v>
      </c>
      <c r="I703" s="11" t="s">
        <v>1589</v>
      </c>
      <c r="J703" s="11" t="s">
        <v>2053</v>
      </c>
      <c r="K703" s="72" t="s">
        <v>6</v>
      </c>
      <c r="L703" s="11" t="s">
        <v>890</v>
      </c>
      <c r="M703" s="11" t="s">
        <v>864</v>
      </c>
      <c r="N703" s="60" t="s">
        <v>98</v>
      </c>
      <c r="O703" s="49" t="s">
        <v>2</v>
      </c>
      <c r="P703" s="11">
        <v>4</v>
      </c>
      <c r="Q703" s="11" t="s">
        <v>2074</v>
      </c>
      <c r="R703" s="11" t="s">
        <v>2055</v>
      </c>
      <c r="S703" t="str">
        <f>IFERROR(HYPERLINK("#Main!A"&amp;MATCH(A703,Main!A:A,0),"Open"),HYPERLINK("#Main!A1","Open"))</f>
        <v>Open</v>
      </c>
      <c r="T703" t="str">
        <f>IFERROR(HYPERLINK("#Technical!A"&amp;MATCH(A703,Technical!A:A,0),"Open"),HYPERLINK("#Technical!A1","Open"))</f>
        <v>Open</v>
      </c>
    </row>
    <row r="704" spans="1:21" ht="30" customHeight="1" x14ac:dyDescent="0.25">
      <c r="A704" s="59" t="s">
        <v>543</v>
      </c>
      <c r="B704" s="8">
        <v>10823</v>
      </c>
      <c r="C704" s="43" t="s">
        <v>1348</v>
      </c>
      <c r="D704" s="8" t="s">
        <v>890</v>
      </c>
      <c r="E704" s="64" t="s">
        <v>68</v>
      </c>
      <c r="F704" s="8" t="s">
        <v>2052</v>
      </c>
      <c r="G704" s="36">
        <v>37</v>
      </c>
      <c r="H704" s="8">
        <v>73</v>
      </c>
      <c r="I704" s="8" t="s">
        <v>1589</v>
      </c>
      <c r="J704" s="8" t="s">
        <v>2053</v>
      </c>
      <c r="K704" s="71" t="s">
        <v>6</v>
      </c>
      <c r="L704" s="8" t="s">
        <v>890</v>
      </c>
      <c r="M704" s="8" t="s">
        <v>864</v>
      </c>
      <c r="N704" s="60" t="s">
        <v>98</v>
      </c>
      <c r="O704" s="49" t="s">
        <v>2</v>
      </c>
      <c r="P704" s="8">
        <v>4</v>
      </c>
      <c r="Q704" s="8" t="s">
        <v>2075</v>
      </c>
      <c r="R704" s="8" t="s">
        <v>2055</v>
      </c>
      <c r="S704" s="9" t="str">
        <f>IFERROR(HYPERLINK("#Main!A"&amp;MATCH(A704,Main!A:A,0),"Open"),HYPERLINK("#Main!A1","Open"))</f>
        <v>Open</v>
      </c>
      <c r="T704" s="9" t="str">
        <f>IFERROR(HYPERLINK("#Technical!A"&amp;MATCH(A704,Technical!A:A,0),"Open"),HYPERLINK("#Technical!A1","Open"))</f>
        <v>Open</v>
      </c>
      <c r="U704" s="9"/>
    </row>
    <row r="705" spans="1:21" ht="30" customHeight="1" x14ac:dyDescent="0.25">
      <c r="A705" s="58" t="s">
        <v>551</v>
      </c>
      <c r="B705" s="11">
        <v>9075</v>
      </c>
      <c r="C705" s="43" t="s">
        <v>1350</v>
      </c>
      <c r="D705" s="11" t="s">
        <v>890</v>
      </c>
      <c r="E705" s="64" t="s">
        <v>68</v>
      </c>
      <c r="F705" s="11" t="s">
        <v>2052</v>
      </c>
      <c r="G705" s="10">
        <v>37</v>
      </c>
      <c r="H705" s="11">
        <v>63</v>
      </c>
      <c r="I705" s="11" t="s">
        <v>1589</v>
      </c>
      <c r="J705" s="11" t="s">
        <v>2053</v>
      </c>
      <c r="K705" s="72" t="s">
        <v>6</v>
      </c>
      <c r="L705" s="11" t="s">
        <v>890</v>
      </c>
      <c r="M705" s="11" t="s">
        <v>864</v>
      </c>
      <c r="N705" s="60" t="s">
        <v>98</v>
      </c>
      <c r="O705" s="49" t="s">
        <v>2</v>
      </c>
      <c r="P705" s="11">
        <v>4</v>
      </c>
      <c r="Q705" s="11" t="s">
        <v>2076</v>
      </c>
      <c r="R705" s="11" t="s">
        <v>2055</v>
      </c>
      <c r="S705" t="str">
        <f>IFERROR(HYPERLINK("#Main!A"&amp;MATCH(A705,Main!A:A,0),"Open"),HYPERLINK("#Main!A1","Open"))</f>
        <v>Open</v>
      </c>
      <c r="T705" t="str">
        <f>IFERROR(HYPERLINK("#Technical!A"&amp;MATCH(A705,Technical!A:A,0),"Open"),HYPERLINK("#Technical!A1","Open"))</f>
        <v>Open</v>
      </c>
    </row>
    <row r="706" spans="1:21" ht="30" customHeight="1" x14ac:dyDescent="0.25">
      <c r="A706" s="59" t="s">
        <v>559</v>
      </c>
      <c r="B706" s="8">
        <v>17908</v>
      </c>
      <c r="C706" s="43" t="s">
        <v>1352</v>
      </c>
      <c r="D706" s="8" t="s">
        <v>890</v>
      </c>
      <c r="E706" s="64" t="s">
        <v>68</v>
      </c>
      <c r="F706" s="8" t="s">
        <v>2061</v>
      </c>
      <c r="G706" s="36">
        <v>37</v>
      </c>
      <c r="H706" s="8">
        <v>38</v>
      </c>
      <c r="I706" s="8" t="s">
        <v>1589</v>
      </c>
      <c r="J706" s="8" t="s">
        <v>2062</v>
      </c>
      <c r="K706" s="71" t="s">
        <v>6</v>
      </c>
      <c r="L706" s="8" t="s">
        <v>890</v>
      </c>
      <c r="M706" s="8" t="s">
        <v>864</v>
      </c>
      <c r="N706" s="60" t="s">
        <v>98</v>
      </c>
      <c r="O706" s="49" t="s">
        <v>2</v>
      </c>
      <c r="P706" s="8">
        <v>4</v>
      </c>
      <c r="Q706" s="8" t="s">
        <v>2077</v>
      </c>
      <c r="R706" s="8" t="s">
        <v>2064</v>
      </c>
      <c r="S706" s="9" t="str">
        <f>IFERROR(HYPERLINK("#Main!A"&amp;MATCH(A706,Main!A:A,0),"Open"),HYPERLINK("#Main!A1","Open"))</f>
        <v>Open</v>
      </c>
      <c r="T706" s="9" t="str">
        <f>IFERROR(HYPERLINK("#Technical!A"&amp;MATCH(A706,Technical!A:A,0),"Open"),HYPERLINK("#Technical!A1","Open"))</f>
        <v>Open</v>
      </c>
      <c r="U706" s="9"/>
    </row>
    <row r="707" spans="1:21" ht="30" customHeight="1" x14ac:dyDescent="0.25">
      <c r="A707" s="58" t="s">
        <v>566</v>
      </c>
      <c r="B707" s="11">
        <v>24640</v>
      </c>
      <c r="C707" s="43" t="s">
        <v>1354</v>
      </c>
      <c r="D707" s="11" t="s">
        <v>890</v>
      </c>
      <c r="E707" s="64" t="s">
        <v>68</v>
      </c>
      <c r="F707" s="11" t="s">
        <v>2061</v>
      </c>
      <c r="G707" s="10">
        <v>37</v>
      </c>
      <c r="H707" s="11">
        <v>31</v>
      </c>
      <c r="I707" s="11" t="s">
        <v>1589</v>
      </c>
      <c r="J707" s="11" t="s">
        <v>2062</v>
      </c>
      <c r="K707" s="72" t="s">
        <v>6</v>
      </c>
      <c r="L707" s="11" t="s">
        <v>890</v>
      </c>
      <c r="M707" s="11" t="s">
        <v>864</v>
      </c>
      <c r="N707" s="60" t="s">
        <v>98</v>
      </c>
      <c r="O707" s="49" t="s">
        <v>2</v>
      </c>
      <c r="P707" s="11">
        <v>4</v>
      </c>
      <c r="Q707" s="11" t="s">
        <v>2078</v>
      </c>
      <c r="R707" s="11" t="s">
        <v>2064</v>
      </c>
      <c r="S707" t="str">
        <f>IFERROR(HYPERLINK("#Main!A"&amp;MATCH(A707,Main!A:A,0),"Open"),HYPERLINK("#Main!A1","Open"))</f>
        <v>Open</v>
      </c>
      <c r="T707" t="str">
        <f>IFERROR(HYPERLINK("#Technical!A"&amp;MATCH(A707,Technical!A:A,0),"Open"),HYPERLINK("#Technical!A1","Open"))</f>
        <v>Open</v>
      </c>
    </row>
    <row r="708" spans="1:21" ht="30" customHeight="1" x14ac:dyDescent="0.25">
      <c r="A708" s="59" t="s">
        <v>574</v>
      </c>
      <c r="B708" s="8">
        <v>16472</v>
      </c>
      <c r="C708" s="43" t="s">
        <v>1356</v>
      </c>
      <c r="D708" s="8" t="s">
        <v>890</v>
      </c>
      <c r="E708" s="64" t="s">
        <v>68</v>
      </c>
      <c r="F708" s="8" t="s">
        <v>2052</v>
      </c>
      <c r="G708" s="36">
        <v>37</v>
      </c>
      <c r="H708" s="8">
        <v>63</v>
      </c>
      <c r="I708" s="8" t="s">
        <v>1589</v>
      </c>
      <c r="J708" s="8" t="s">
        <v>2053</v>
      </c>
      <c r="K708" s="71" t="s">
        <v>6</v>
      </c>
      <c r="L708" s="8" t="s">
        <v>890</v>
      </c>
      <c r="M708" s="8" t="s">
        <v>864</v>
      </c>
      <c r="N708" s="60" t="s">
        <v>98</v>
      </c>
      <c r="O708" s="49" t="s">
        <v>2</v>
      </c>
      <c r="P708" s="8">
        <v>4</v>
      </c>
      <c r="Q708" s="8" t="s">
        <v>2079</v>
      </c>
      <c r="R708" s="8" t="s">
        <v>2055</v>
      </c>
      <c r="S708" s="9" t="str">
        <f>IFERROR(HYPERLINK("#Main!A"&amp;MATCH(A708,Main!A:A,0),"Open"),HYPERLINK("#Main!A1","Open"))</f>
        <v>Open</v>
      </c>
      <c r="T708" s="9" t="str">
        <f>IFERROR(HYPERLINK("#Technical!A"&amp;MATCH(A708,Technical!A:A,0),"Open"),HYPERLINK("#Technical!A1","Open"))</f>
        <v>Open</v>
      </c>
      <c r="U708" s="9"/>
    </row>
    <row r="709" spans="1:21" ht="30" customHeight="1" x14ac:dyDescent="0.25">
      <c r="A709" s="58" t="s">
        <v>635</v>
      </c>
      <c r="B709" s="11">
        <v>5597</v>
      </c>
      <c r="C709" s="43" t="s">
        <v>1371</v>
      </c>
      <c r="D709" s="11" t="s">
        <v>890</v>
      </c>
      <c r="E709" s="64" t="s">
        <v>68</v>
      </c>
      <c r="F709" s="11" t="s">
        <v>2052</v>
      </c>
      <c r="G709" s="10">
        <v>37</v>
      </c>
      <c r="H709" s="11">
        <v>66</v>
      </c>
      <c r="I709" s="11" t="s">
        <v>1589</v>
      </c>
      <c r="J709" s="11" t="s">
        <v>2053</v>
      </c>
      <c r="K709" s="72" t="s">
        <v>6</v>
      </c>
      <c r="L709" s="11" t="s">
        <v>890</v>
      </c>
      <c r="M709" s="11" t="s">
        <v>864</v>
      </c>
      <c r="N709" s="60" t="s">
        <v>98</v>
      </c>
      <c r="O709" s="49" t="s">
        <v>2</v>
      </c>
      <c r="P709" s="11">
        <v>4</v>
      </c>
      <c r="Q709" s="11" t="s">
        <v>2080</v>
      </c>
      <c r="R709" s="11" t="s">
        <v>2055</v>
      </c>
      <c r="S709" t="str">
        <f>IFERROR(HYPERLINK("#Main!A"&amp;MATCH(A709,Main!A:A,0),"Open"),HYPERLINK("#Main!A1","Open"))</f>
        <v>Open</v>
      </c>
      <c r="T709" t="str">
        <f>IFERROR(HYPERLINK("#Technical!A"&amp;MATCH(A709,Technical!A:A,0),"Open"),HYPERLINK("#Technical!A1","Open"))</f>
        <v>Open</v>
      </c>
    </row>
    <row r="710" spans="1:21" ht="30" customHeight="1" x14ac:dyDescent="0.25">
      <c r="A710" s="59" t="s">
        <v>642</v>
      </c>
      <c r="B710" s="8">
        <v>33050</v>
      </c>
      <c r="C710" s="43" t="s">
        <v>1373</v>
      </c>
      <c r="D710" s="8" t="s">
        <v>890</v>
      </c>
      <c r="E710" s="64" t="s">
        <v>68</v>
      </c>
      <c r="F710" s="8" t="s">
        <v>2052</v>
      </c>
      <c r="G710" s="36">
        <v>37</v>
      </c>
      <c r="H710" s="8">
        <v>66</v>
      </c>
      <c r="I710" s="8" t="s">
        <v>1589</v>
      </c>
      <c r="J710" s="8" t="s">
        <v>2053</v>
      </c>
      <c r="K710" s="71" t="s">
        <v>6</v>
      </c>
      <c r="L710" s="8" t="s">
        <v>890</v>
      </c>
      <c r="M710" s="8" t="s">
        <v>864</v>
      </c>
      <c r="N710" s="60" t="s">
        <v>98</v>
      </c>
      <c r="O710" s="49" t="s">
        <v>2</v>
      </c>
      <c r="P710" s="8">
        <v>4</v>
      </c>
      <c r="Q710" s="8" t="s">
        <v>2081</v>
      </c>
      <c r="R710" s="8" t="s">
        <v>2055</v>
      </c>
      <c r="S710" s="9" t="str">
        <f>IFERROR(HYPERLINK("#Main!A"&amp;MATCH(A710,Main!A:A,0),"Open"),HYPERLINK("#Main!A1","Open"))</f>
        <v>Open</v>
      </c>
      <c r="T710" s="9" t="str">
        <f>IFERROR(HYPERLINK("#Technical!A"&amp;MATCH(A710,Technical!A:A,0),"Open"),HYPERLINK("#Technical!A1","Open"))</f>
        <v>Open</v>
      </c>
      <c r="U710" s="9"/>
    </row>
    <row r="711" spans="1:21" ht="30" customHeight="1" x14ac:dyDescent="0.25">
      <c r="A711" s="58" t="s">
        <v>690</v>
      </c>
      <c r="B711" s="11">
        <v>21962</v>
      </c>
      <c r="C711" s="43" t="s">
        <v>1385</v>
      </c>
      <c r="D711" s="11" t="s">
        <v>890</v>
      </c>
      <c r="E711" s="64" t="s">
        <v>68</v>
      </c>
      <c r="F711" s="11" t="s">
        <v>2061</v>
      </c>
      <c r="G711" s="10">
        <v>37</v>
      </c>
      <c r="H711" s="11">
        <v>34</v>
      </c>
      <c r="I711" s="11" t="s">
        <v>1589</v>
      </c>
      <c r="J711" s="11" t="s">
        <v>2062</v>
      </c>
      <c r="K711" s="72" t="s">
        <v>6</v>
      </c>
      <c r="L711" s="11" t="s">
        <v>890</v>
      </c>
      <c r="M711" s="11" t="s">
        <v>864</v>
      </c>
      <c r="N711" s="60" t="s">
        <v>98</v>
      </c>
      <c r="O711" s="49" t="s">
        <v>2</v>
      </c>
      <c r="P711" s="11">
        <v>4</v>
      </c>
      <c r="Q711" s="11" t="s">
        <v>2082</v>
      </c>
      <c r="R711" s="11" t="s">
        <v>2064</v>
      </c>
      <c r="S711" t="str">
        <f>IFERROR(HYPERLINK("#Main!A"&amp;MATCH(A711,Main!A:A,0),"Open"),HYPERLINK("#Main!A1","Open"))</f>
        <v>Open</v>
      </c>
      <c r="T711" t="str">
        <f>IFERROR(HYPERLINK("#Technical!A"&amp;MATCH(A711,Technical!A:A,0),"Open"),HYPERLINK("#Technical!A1","Open"))</f>
        <v>Open</v>
      </c>
    </row>
    <row r="712" spans="1:21" ht="30" customHeight="1" x14ac:dyDescent="0.25">
      <c r="A712" s="59" t="s">
        <v>735</v>
      </c>
      <c r="B712" s="8">
        <v>21591</v>
      </c>
      <c r="C712" s="43" t="s">
        <v>1397</v>
      </c>
      <c r="D712" s="8" t="s">
        <v>890</v>
      </c>
      <c r="E712" s="64" t="s">
        <v>68</v>
      </c>
      <c r="F712" s="8" t="s">
        <v>2052</v>
      </c>
      <c r="G712" s="36">
        <v>37</v>
      </c>
      <c r="H712" s="8">
        <v>84</v>
      </c>
      <c r="I712" s="8" t="s">
        <v>1589</v>
      </c>
      <c r="J712" s="8" t="s">
        <v>2053</v>
      </c>
      <c r="K712" s="71" t="s">
        <v>6</v>
      </c>
      <c r="L712" s="8" t="s">
        <v>890</v>
      </c>
      <c r="M712" s="8" t="s">
        <v>864</v>
      </c>
      <c r="N712" s="60" t="s">
        <v>98</v>
      </c>
      <c r="O712" s="49" t="s">
        <v>2</v>
      </c>
      <c r="P712" s="8">
        <v>4</v>
      </c>
      <c r="Q712" s="8" t="s">
        <v>2083</v>
      </c>
      <c r="R712" s="8" t="s">
        <v>2055</v>
      </c>
      <c r="S712" s="9" t="str">
        <f>IFERROR(HYPERLINK("#Main!A"&amp;MATCH(A712,Main!A:A,0),"Open"),HYPERLINK("#Main!A1","Open"))</f>
        <v>Open</v>
      </c>
      <c r="T712" s="9" t="str">
        <f>IFERROR(HYPERLINK("#Technical!A"&amp;MATCH(A712,Technical!A:A,0),"Open"),HYPERLINK("#Technical!A1","Open"))</f>
        <v>Open</v>
      </c>
      <c r="U712" s="9"/>
    </row>
    <row r="713" spans="1:21" ht="30" customHeight="1" x14ac:dyDescent="0.25">
      <c r="A713" s="58" t="s">
        <v>743</v>
      </c>
      <c r="B713" s="11">
        <v>17195</v>
      </c>
      <c r="C713" s="43" t="s">
        <v>1399</v>
      </c>
      <c r="D713" s="11" t="s">
        <v>890</v>
      </c>
      <c r="E713" s="64" t="s">
        <v>68</v>
      </c>
      <c r="F713" s="11" t="s">
        <v>2052</v>
      </c>
      <c r="G713" s="10">
        <v>37</v>
      </c>
      <c r="H713" s="11">
        <v>78</v>
      </c>
      <c r="I713" s="11" t="s">
        <v>1589</v>
      </c>
      <c r="J713" s="11" t="s">
        <v>2053</v>
      </c>
      <c r="K713" s="72" t="s">
        <v>6</v>
      </c>
      <c r="L713" s="11" t="s">
        <v>890</v>
      </c>
      <c r="M713" s="11" t="s">
        <v>864</v>
      </c>
      <c r="N713" s="60" t="s">
        <v>98</v>
      </c>
      <c r="O713" s="49" t="s">
        <v>2</v>
      </c>
      <c r="P713" s="11">
        <v>4</v>
      </c>
      <c r="Q713" s="11" t="s">
        <v>2084</v>
      </c>
      <c r="R713" s="11" t="s">
        <v>2055</v>
      </c>
      <c r="S713" t="str">
        <f>IFERROR(HYPERLINK("#Main!A"&amp;MATCH(A713,Main!A:A,0),"Open"),HYPERLINK("#Main!A1","Open"))</f>
        <v>Open</v>
      </c>
      <c r="T713" t="str">
        <f>IFERROR(HYPERLINK("#Technical!A"&amp;MATCH(A713,Technical!A:A,0),"Open"),HYPERLINK("#Technical!A1","Open"))</f>
        <v>Open</v>
      </c>
    </row>
    <row r="714" spans="1:21" ht="30" customHeight="1" x14ac:dyDescent="0.25">
      <c r="A714" s="59" t="s">
        <v>758</v>
      </c>
      <c r="B714" s="8">
        <v>17000</v>
      </c>
      <c r="C714" s="43" t="s">
        <v>1403</v>
      </c>
      <c r="D714" s="8" t="s">
        <v>890</v>
      </c>
      <c r="E714" s="64" t="s">
        <v>68</v>
      </c>
      <c r="F714" s="8" t="s">
        <v>2052</v>
      </c>
      <c r="G714" s="36">
        <v>37</v>
      </c>
      <c r="H714" s="8">
        <v>67</v>
      </c>
      <c r="I714" s="8" t="s">
        <v>1589</v>
      </c>
      <c r="J714" s="8" t="s">
        <v>2053</v>
      </c>
      <c r="K714" s="71" t="s">
        <v>6</v>
      </c>
      <c r="L714" s="8" t="s">
        <v>890</v>
      </c>
      <c r="M714" s="8" t="s">
        <v>864</v>
      </c>
      <c r="N714" s="60" t="s">
        <v>98</v>
      </c>
      <c r="O714" s="49" t="s">
        <v>2</v>
      </c>
      <c r="P714" s="8">
        <v>4</v>
      </c>
      <c r="Q714" s="8" t="s">
        <v>2085</v>
      </c>
      <c r="R714" s="8" t="s">
        <v>2055</v>
      </c>
      <c r="S714" s="9" t="str">
        <f>IFERROR(HYPERLINK("#Main!A"&amp;MATCH(A714,Main!A:A,0),"Open"),HYPERLINK("#Main!A1","Open"))</f>
        <v>Open</v>
      </c>
      <c r="T714" s="9" t="str">
        <f>IFERROR(HYPERLINK("#Technical!A"&amp;MATCH(A714,Technical!A:A,0),"Open"),HYPERLINK("#Technical!A1","Open"))</f>
        <v>Open</v>
      </c>
      <c r="U714" s="9"/>
    </row>
    <row r="715" spans="1:21" ht="30" customHeight="1" x14ac:dyDescent="0.25">
      <c r="A715" s="58" t="s">
        <v>766</v>
      </c>
      <c r="B715" s="11">
        <v>17196</v>
      </c>
      <c r="C715" s="43" t="s">
        <v>1405</v>
      </c>
      <c r="D715" s="11" t="s">
        <v>890</v>
      </c>
      <c r="E715" s="64" t="s">
        <v>68</v>
      </c>
      <c r="F715" s="11" t="s">
        <v>2052</v>
      </c>
      <c r="G715" s="10">
        <v>37</v>
      </c>
      <c r="H715" s="11">
        <v>67</v>
      </c>
      <c r="I715" s="11" t="s">
        <v>1589</v>
      </c>
      <c r="J715" s="11" t="s">
        <v>2053</v>
      </c>
      <c r="K715" s="72" t="s">
        <v>6</v>
      </c>
      <c r="L715" s="11" t="s">
        <v>890</v>
      </c>
      <c r="M715" s="11" t="s">
        <v>864</v>
      </c>
      <c r="N715" s="60" t="s">
        <v>98</v>
      </c>
      <c r="O715" s="49" t="s">
        <v>2</v>
      </c>
      <c r="P715" s="11">
        <v>4</v>
      </c>
      <c r="Q715" s="11" t="s">
        <v>2086</v>
      </c>
      <c r="R715" s="11" t="s">
        <v>2055</v>
      </c>
      <c r="S715" t="str">
        <f>IFERROR(HYPERLINK("#Main!A"&amp;MATCH(A715,Main!A:A,0),"Open"),HYPERLINK("#Main!A1","Open"))</f>
        <v>Open</v>
      </c>
      <c r="T715" t="str">
        <f>IFERROR(HYPERLINK("#Technical!A"&amp;MATCH(A715,Technical!A:A,0),"Open"),HYPERLINK("#Technical!A1","Open"))</f>
        <v>Open</v>
      </c>
    </row>
  </sheetData>
  <autoFilter ref="A1:U715" xr:uid="{00000000-0009-0000-0000-00000D000000}"/>
  <conditionalFormatting sqref="G2:G715">
    <cfRule type="cellIs" dxfId="10" priority="1" operator="greaterThanOrEqual">
      <formula>85</formula>
    </cfRule>
    <cfRule type="cellIs" dxfId="9" priority="2" operator="between">
      <formula>65</formula>
      <formula>84</formula>
    </cfRule>
  </conditionalFormatting>
  <conditionalFormatting sqref="M2:M715">
    <cfRule type="expression" dxfId="8" priority="3" stopIfTrue="1">
      <formula>LOWER(M2)="yes"</formula>
    </cfRule>
    <cfRule type="expression" dxfId="7" priority="4" stopIfTrue="1">
      <formula>LOWER(M2)="no"</formula>
    </cfRule>
  </conditionalFormatting>
  <conditionalFormatting sqref="O2:O715">
    <cfRule type="expression" dxfId="6" priority="5" stopIfTrue="1">
      <formula>LOWER(O2)="done"</formula>
    </cfRule>
    <cfRule type="expression" dxfId="5" priority="6" stopIfTrue="1">
      <formula>OR(LOWER(O2)="to do",LOWER(O2)="in progress",LOWER(O2)="in review")</formula>
    </cfRule>
  </conditionalFormatting>
  <dataValidations count="24">
    <dataValidation type="list" allowBlank="1" sqref="O2:O715" xr:uid="{00000000-0002-0000-0D00-000000000000}">
      <formula1>"To Do,In Progress,Fixed"</formula1>
    </dataValidation>
    <dataValidation type="custom" allowBlank="1" showInputMessage="1" promptTitle="URL" prompt="URL. Use this URL to inspect the page directly or jump to related tabs." sqref="A1" xr:uid="{00000000-0002-0000-0D00-000001000000}">
      <formula1>TRUE</formula1>
    </dataValidation>
    <dataValidation type="custom" allowBlank="1" showInputMessage="1" promptTitle="WordPress Post ID" prompt="WordPress Post ID. Review this metric to identify risk, then use linked tabs for details and remediation." sqref="B1" xr:uid="{00000000-0002-0000-0D00-000002000000}">
      <formula1>TRUE</formula1>
    </dataValidation>
    <dataValidation type="custom" allowBlank="1" showInputMessage="1" promptTitle="Direct Edit Link" prompt="Link quality and crawl-path metric. Fix: repair broken links and improve internal linking relevance." sqref="C1" xr:uid="{00000000-0002-0000-0D00-000003000000}">
      <formula1>TRUE</formula1>
    </dataValidation>
    <dataValidation type="custom" allowBlank="1" showInputMessage="1" promptTitle="AIOSEO Panel" prompt="AIOSEO Panel. Review this metric to identify risk, then use linked tabs for details and remediation." sqref="D1" xr:uid="{00000000-0002-0000-0D00-000004000000}">
      <formula1>TRUE</formula1>
    </dataValidation>
    <dataValidation type="custom" allowBlank="1" showInputMessage="1" promptTitle="Severity" prompt="Issue impact level. Fix: Resolve Critical first, then Warning, then improvement opportunities." sqref="E1" xr:uid="{00000000-0002-0000-0D00-000005000000}">
      <formula1>TRUE</formula1>
    </dataValidation>
    <dataValidation type="custom" allowBlank="1" showInputMessage="1" promptTitle="Issue" prompt="Issue. Review this metric to identify risk, then use linked tabs for details and remediation." sqref="F1" xr:uid="{00000000-0002-0000-0D00-000006000000}">
      <formula1>TRUE</formula1>
    </dataValidation>
    <dataValidation type="custom" allowBlank="1" showInputMessage="1" promptTitle="Priority Score" prompt="Execution priority score combining impact and effort. Fix: Start from highest scores." sqref="G1" xr:uid="{00000000-0002-0000-0D00-000007000000}">
      <formula1>TRUE</formula1>
    </dataValidation>
    <dataValidation type="custom" allowBlank="1" showInputMessage="1" promptTitle="Current Value" prompt="Current Value. Review this metric to identify risk, then use linked tabs for details and remediation." sqref="H1" xr:uid="{00000000-0002-0000-0D00-000008000000}">
      <formula1>TRUE</formula1>
    </dataValidation>
    <dataValidation type="custom" allowBlank="1" showInputMessage="1" promptTitle="Recommended Target" prompt="Recommended Target. Review this metric to identify risk, then use linked tabs for details and remediation." sqref="I1" xr:uid="{00000000-0002-0000-0D00-000009000000}">
      <formula1>TRUE</formula1>
    </dataValidation>
    <dataValidation type="custom" allowBlank="1" showInputMessage="1" promptTitle="How to Fix in AIOSEO" prompt="How to Fix in AIOSEO. Review this metric to identify risk, then use linked tabs for details and remediation." sqref="J1" xr:uid="{00000000-0002-0000-0D00-00000A000000}">
      <formula1>TRUE</formula1>
    </dataValidation>
    <dataValidation type="custom" allowBlank="1" showInputMessage="1" promptTitle="Reference Tab" prompt="Summary grouping/navigation field. Use with hyperlinks to jump into detailed tabs." sqref="K1" xr:uid="{00000000-0002-0000-0D00-00000B000000}">
      <formula1>TRUE</formula1>
    </dataValidation>
    <dataValidation type="custom" allowBlank="1" showInputMessage="1" promptTitle="Reference Field" prompt="Reference Field. Review this metric to identify risk, then use linked tabs for details and remediation." sqref="L1" xr:uid="{00000000-0002-0000-0D00-00000C000000}">
      <formula1>TRUE</formula1>
    </dataValidation>
    <dataValidation type="custom" allowBlank="1" showInputMessage="1" promptTitle="Action Needed" prompt="Action Needed. Review this metric to identify risk, then use linked tabs for details and remediation." sqref="M1" xr:uid="{00000000-0002-0000-0D00-00000D000000}">
      <formula1>TRUE</formula1>
    </dataValidation>
    <dataValidation type="custom" allowBlank="1" showInputMessage="1" promptTitle="Owner" prompt="Workflow management field for planning and tracking remediation progress." sqref="N1" xr:uid="{00000000-0002-0000-0D00-00000E000000}">
      <formula1>TRUE</formula1>
    </dataValidation>
    <dataValidation type="custom" allowBlank="1" showInputMessage="1" promptTitle="Status" prompt="Workflow management field for planning and tracking remediation progress." sqref="O1" xr:uid="{00000000-0002-0000-0D00-00000F000000}">
      <formula1>TRUE</formula1>
    </dataValidation>
    <dataValidation type="custom" allowBlank="1" showInputMessage="1" promptTitle="Est. Hours" prompt="Est. Hours. Review this metric to identify risk, then use linked tabs for details and remediation." sqref="P1" xr:uid="{00000000-0002-0000-0D00-000010000000}">
      <formula1>TRUE</formula1>
    </dataValidation>
    <dataValidation type="custom" allowBlank="1" showInputMessage="1" promptTitle="Stable Issue ID" prompt="Stable Issue ID. Review this metric to identify risk, then use linked tabs for details and remediation." sqref="Q1" xr:uid="{00000000-0002-0000-0D00-000011000000}">
      <formula1>TRUE</formula1>
    </dataValidation>
    <dataValidation type="custom" allowBlank="1" showInputMessage="1" promptTitle="Why It Matters" prompt="Why It Matters. Review this metric to identify risk, then use linked tabs for details and remediation." sqref="R1" xr:uid="{00000000-0002-0000-0D00-000012000000}">
      <formula1>TRUE</formula1>
    </dataValidation>
    <dataValidation type="custom" allowBlank="1" showInputMessage="1" promptTitle="Open in Main" prompt="Navigation helper. Click to jump directly to the related record in another tab." sqref="S1" xr:uid="{00000000-0002-0000-0D00-000013000000}">
      <formula1>TRUE</formula1>
    </dataValidation>
    <dataValidation type="custom" allowBlank="1" showInputMessage="1" promptTitle="Open in Technical" prompt="Open in Technical. Review this metric to identify risk, then use linked tabs for details and remediation." sqref="T1" xr:uid="{00000000-0002-0000-0D00-000014000000}">
      <formula1>TRUE</formula1>
    </dataValidation>
    <dataValidation type="custom" allowBlank="1" showInputMessage="1" promptTitle="BACK TO DASHBOARD" prompt="BACK TO DASHBOARD. Review this metric to identify risk, then use linked tabs for details and remediation." sqref="U1" xr:uid="{00000000-0002-0000-0D00-000015000000}">
      <formula1>TRUE</formula1>
    </dataValidation>
    <dataValidation type="custom" allowBlank="1" showInputMessage="1" promptTitle="Priority Score" prompt="Issue priority score for execution order. Fix: Start with the highest values to reduce risk fastest." sqref="G1" xr:uid="{00000000-0002-0000-0D00-000016000000}">
      <formula1>TRUE</formula1>
    </dataValidation>
    <dataValidation type="custom" allowBlank="1" showInputMessage="1" promptTitle="Severity" prompt="Impact level of the issue. Fix: Resolve Critical first, then Warning, then Observation opportunities." sqref="E1" xr:uid="{00000000-0002-0000-0D00-000017000000}">
      <formula1>TRUE</formula1>
    </dataValidation>
  </dataValidations>
  <hyperlinks>
    <hyperlink ref="U1" location="Dashboard!A1" display="BACK TO DASHBOARD" xr:uid="{00000000-0004-0000-0D00-000000000000}"/>
    <hyperlink ref="A2" r:id="rId1" xr:uid="{00000000-0004-0000-0D00-000001000000}"/>
    <hyperlink ref="K2" location="Technical!A1" display="Technical" xr:uid="{00000000-0004-0000-0D00-000002000000}"/>
    <hyperlink ref="A3" r:id="rId2" xr:uid="{00000000-0004-0000-0D00-000003000000}"/>
    <hyperlink ref="K3" location="Technical!A1" display="Technical" xr:uid="{00000000-0004-0000-0D00-000004000000}"/>
    <hyperlink ref="A4" r:id="rId3" xr:uid="{00000000-0004-0000-0D00-000005000000}"/>
    <hyperlink ref="C4" r:id="rId4" xr:uid="{00000000-0004-0000-0D00-000006000000}"/>
    <hyperlink ref="K4" location="Main!A1" display="Main" xr:uid="{00000000-0004-0000-0D00-000007000000}"/>
    <hyperlink ref="A5" r:id="rId5" xr:uid="{00000000-0004-0000-0D00-000008000000}"/>
    <hyperlink ref="K5" location="Main!A1" display="Main" xr:uid="{00000000-0004-0000-0D00-000009000000}"/>
    <hyperlink ref="A6" r:id="rId6" xr:uid="{00000000-0004-0000-0D00-00000A000000}"/>
    <hyperlink ref="K6" location="Main!A1" display="Main" xr:uid="{00000000-0004-0000-0D00-00000B000000}"/>
    <hyperlink ref="A7" r:id="rId7" xr:uid="{00000000-0004-0000-0D00-00000C000000}"/>
    <hyperlink ref="C7" r:id="rId8" xr:uid="{00000000-0004-0000-0D00-00000D000000}"/>
    <hyperlink ref="K7" location="Main!A1" display="Main" xr:uid="{00000000-0004-0000-0D00-00000E000000}"/>
    <hyperlink ref="A8" r:id="rId9" xr:uid="{00000000-0004-0000-0D00-00000F000000}"/>
    <hyperlink ref="C8" r:id="rId10" xr:uid="{00000000-0004-0000-0D00-000010000000}"/>
    <hyperlink ref="K8" location="Main!A1" display="Main" xr:uid="{00000000-0004-0000-0D00-000011000000}"/>
    <hyperlink ref="A9" r:id="rId11" xr:uid="{00000000-0004-0000-0D00-000012000000}"/>
    <hyperlink ref="C9" r:id="rId12" xr:uid="{00000000-0004-0000-0D00-000013000000}"/>
    <hyperlink ref="K9" location="AEO!A1" display="AEO" xr:uid="{00000000-0004-0000-0D00-000014000000}"/>
    <hyperlink ref="A10" r:id="rId13" xr:uid="{00000000-0004-0000-0D00-000015000000}"/>
    <hyperlink ref="C10" r:id="rId14" xr:uid="{00000000-0004-0000-0D00-000016000000}"/>
    <hyperlink ref="K10" location="AEO!A1" display="AEO" xr:uid="{00000000-0004-0000-0D00-000017000000}"/>
    <hyperlink ref="A11" r:id="rId15" xr:uid="{00000000-0004-0000-0D00-000018000000}"/>
    <hyperlink ref="C11" r:id="rId16" xr:uid="{00000000-0004-0000-0D00-000019000000}"/>
    <hyperlink ref="K11" location="AEO!A1" display="AEO" xr:uid="{00000000-0004-0000-0D00-00001A000000}"/>
    <hyperlink ref="A12" r:id="rId17" xr:uid="{00000000-0004-0000-0D00-00001B000000}"/>
    <hyperlink ref="C12" r:id="rId18" xr:uid="{00000000-0004-0000-0D00-00001C000000}"/>
    <hyperlink ref="K12" location="AEO!A1" display="AEO" xr:uid="{00000000-0004-0000-0D00-00001D000000}"/>
    <hyperlink ref="A13" r:id="rId19" xr:uid="{00000000-0004-0000-0D00-00001E000000}"/>
    <hyperlink ref="C13" r:id="rId20" xr:uid="{00000000-0004-0000-0D00-00001F000000}"/>
    <hyperlink ref="K13" location="AEO!A1" display="AEO" xr:uid="{00000000-0004-0000-0D00-000020000000}"/>
    <hyperlink ref="A14" r:id="rId21" xr:uid="{00000000-0004-0000-0D00-000021000000}"/>
    <hyperlink ref="C14" r:id="rId22" xr:uid="{00000000-0004-0000-0D00-000022000000}"/>
    <hyperlink ref="K14" location="AEO!A1" display="AEO" xr:uid="{00000000-0004-0000-0D00-000023000000}"/>
    <hyperlink ref="A15" r:id="rId23" xr:uid="{00000000-0004-0000-0D00-000024000000}"/>
    <hyperlink ref="C15" r:id="rId24" xr:uid="{00000000-0004-0000-0D00-000025000000}"/>
    <hyperlink ref="K15" location="AEO!A1" display="AEO" xr:uid="{00000000-0004-0000-0D00-000026000000}"/>
    <hyperlink ref="A16" r:id="rId25" xr:uid="{00000000-0004-0000-0D00-000027000000}"/>
    <hyperlink ref="C16" r:id="rId26" xr:uid="{00000000-0004-0000-0D00-000028000000}"/>
    <hyperlink ref="K16" location="AEO!A1" display="AEO" xr:uid="{00000000-0004-0000-0D00-000029000000}"/>
    <hyperlink ref="A17" r:id="rId27" xr:uid="{00000000-0004-0000-0D00-00002A000000}"/>
    <hyperlink ref="C17" r:id="rId28" xr:uid="{00000000-0004-0000-0D00-00002B000000}"/>
    <hyperlink ref="K17" location="AEO!A1" display="AEO" xr:uid="{00000000-0004-0000-0D00-00002C000000}"/>
    <hyperlink ref="A18" r:id="rId29" xr:uid="{00000000-0004-0000-0D00-00002D000000}"/>
    <hyperlink ref="C18" r:id="rId30" xr:uid="{00000000-0004-0000-0D00-00002E000000}"/>
    <hyperlink ref="K18" location="AEO!A1" display="AEO" xr:uid="{00000000-0004-0000-0D00-00002F000000}"/>
    <hyperlink ref="A19" r:id="rId31" xr:uid="{00000000-0004-0000-0D00-000030000000}"/>
    <hyperlink ref="C19" r:id="rId32" xr:uid="{00000000-0004-0000-0D00-000031000000}"/>
    <hyperlink ref="K19" location="AEO!A1" display="AEO" xr:uid="{00000000-0004-0000-0D00-000032000000}"/>
    <hyperlink ref="A20" r:id="rId33" xr:uid="{00000000-0004-0000-0D00-000033000000}"/>
    <hyperlink ref="C20" r:id="rId34" xr:uid="{00000000-0004-0000-0D00-000034000000}"/>
    <hyperlink ref="K20" location="AEO!A1" display="AEO" xr:uid="{00000000-0004-0000-0D00-000035000000}"/>
    <hyperlink ref="A21" r:id="rId35" xr:uid="{00000000-0004-0000-0D00-000036000000}"/>
    <hyperlink ref="C21" r:id="rId36" xr:uid="{00000000-0004-0000-0D00-000037000000}"/>
    <hyperlink ref="K21" location="AEO!A1" display="AEO" xr:uid="{00000000-0004-0000-0D00-000038000000}"/>
    <hyperlink ref="A22" r:id="rId37" xr:uid="{00000000-0004-0000-0D00-000039000000}"/>
    <hyperlink ref="C22" r:id="rId38" xr:uid="{00000000-0004-0000-0D00-00003A000000}"/>
    <hyperlink ref="K22" location="AEO!A1" display="AEO" xr:uid="{00000000-0004-0000-0D00-00003B000000}"/>
    <hyperlink ref="A23" r:id="rId39" xr:uid="{00000000-0004-0000-0D00-00003C000000}"/>
    <hyperlink ref="C23" r:id="rId40" xr:uid="{00000000-0004-0000-0D00-00003D000000}"/>
    <hyperlink ref="K23" location="AEO!A1" display="AEO" xr:uid="{00000000-0004-0000-0D00-00003E000000}"/>
    <hyperlink ref="A24" r:id="rId41" xr:uid="{00000000-0004-0000-0D00-00003F000000}"/>
    <hyperlink ref="C24" r:id="rId42" xr:uid="{00000000-0004-0000-0D00-000040000000}"/>
    <hyperlink ref="K24" location="AEO!A1" display="AEO" xr:uid="{00000000-0004-0000-0D00-000041000000}"/>
    <hyperlink ref="A25" r:id="rId43" xr:uid="{00000000-0004-0000-0D00-000042000000}"/>
    <hyperlink ref="C25" r:id="rId44" xr:uid="{00000000-0004-0000-0D00-000043000000}"/>
    <hyperlink ref="K25" location="AEO!A1" display="AEO" xr:uid="{00000000-0004-0000-0D00-000044000000}"/>
    <hyperlink ref="A26" r:id="rId45" xr:uid="{00000000-0004-0000-0D00-000045000000}"/>
    <hyperlink ref="C26" r:id="rId46" xr:uid="{00000000-0004-0000-0D00-000046000000}"/>
    <hyperlink ref="K26" location="AEO!A1" display="AEO" xr:uid="{00000000-0004-0000-0D00-000047000000}"/>
    <hyperlink ref="A27" r:id="rId47" xr:uid="{00000000-0004-0000-0D00-000048000000}"/>
    <hyperlink ref="C27" r:id="rId48" xr:uid="{00000000-0004-0000-0D00-000049000000}"/>
    <hyperlink ref="K27" location="AEO!A1" display="AEO" xr:uid="{00000000-0004-0000-0D00-00004A000000}"/>
    <hyperlink ref="A28" r:id="rId49" xr:uid="{00000000-0004-0000-0D00-00004B000000}"/>
    <hyperlink ref="C28" r:id="rId50" xr:uid="{00000000-0004-0000-0D00-00004C000000}"/>
    <hyperlink ref="K28" location="AEO!A1" display="AEO" xr:uid="{00000000-0004-0000-0D00-00004D000000}"/>
    <hyperlink ref="A29" r:id="rId51" xr:uid="{00000000-0004-0000-0D00-00004E000000}"/>
    <hyperlink ref="C29" r:id="rId52" xr:uid="{00000000-0004-0000-0D00-00004F000000}"/>
    <hyperlink ref="K29" location="AEO!A1" display="AEO" xr:uid="{00000000-0004-0000-0D00-000050000000}"/>
    <hyperlink ref="A30" r:id="rId53" xr:uid="{00000000-0004-0000-0D00-000051000000}"/>
    <hyperlink ref="C30" r:id="rId54" xr:uid="{00000000-0004-0000-0D00-000052000000}"/>
    <hyperlink ref="K30" location="AEO!A1" display="AEO" xr:uid="{00000000-0004-0000-0D00-000053000000}"/>
    <hyperlink ref="A31" r:id="rId55" xr:uid="{00000000-0004-0000-0D00-000054000000}"/>
    <hyperlink ref="C31" r:id="rId56" xr:uid="{00000000-0004-0000-0D00-000055000000}"/>
    <hyperlink ref="K31" location="AEO!A1" display="AEO" xr:uid="{00000000-0004-0000-0D00-000056000000}"/>
    <hyperlink ref="A32" r:id="rId57" xr:uid="{00000000-0004-0000-0D00-000057000000}"/>
    <hyperlink ref="C32" r:id="rId58" xr:uid="{00000000-0004-0000-0D00-000058000000}"/>
    <hyperlink ref="K32" location="AEO!A1" display="AEO" xr:uid="{00000000-0004-0000-0D00-000059000000}"/>
    <hyperlink ref="A33" r:id="rId59" xr:uid="{00000000-0004-0000-0D00-00005A000000}"/>
    <hyperlink ref="C33" r:id="rId60" xr:uid="{00000000-0004-0000-0D00-00005B000000}"/>
    <hyperlink ref="K33" location="AEO!A1" display="AEO" xr:uid="{00000000-0004-0000-0D00-00005C000000}"/>
    <hyperlink ref="A34" r:id="rId61" xr:uid="{00000000-0004-0000-0D00-00005D000000}"/>
    <hyperlink ref="K34" location="AEO!A1" display="AEO" xr:uid="{00000000-0004-0000-0D00-00005E000000}"/>
    <hyperlink ref="A35" r:id="rId62" xr:uid="{00000000-0004-0000-0D00-00005F000000}"/>
    <hyperlink ref="C35" r:id="rId63" xr:uid="{00000000-0004-0000-0D00-000060000000}"/>
    <hyperlink ref="K35" location="AEO!A1" display="AEO" xr:uid="{00000000-0004-0000-0D00-000061000000}"/>
    <hyperlink ref="A36" r:id="rId64" xr:uid="{00000000-0004-0000-0D00-000062000000}"/>
    <hyperlink ref="C36" r:id="rId65" xr:uid="{00000000-0004-0000-0D00-000063000000}"/>
    <hyperlink ref="K36" location="AEO!A1" display="AEO" xr:uid="{00000000-0004-0000-0D00-000064000000}"/>
    <hyperlink ref="A37" r:id="rId66" xr:uid="{00000000-0004-0000-0D00-000065000000}"/>
    <hyperlink ref="C37" r:id="rId67" xr:uid="{00000000-0004-0000-0D00-000066000000}"/>
    <hyperlink ref="K37" location="AEO!A1" display="AEO" xr:uid="{00000000-0004-0000-0D00-000067000000}"/>
    <hyperlink ref="A38" r:id="rId68" xr:uid="{00000000-0004-0000-0D00-000068000000}"/>
    <hyperlink ref="C38" r:id="rId69" xr:uid="{00000000-0004-0000-0D00-000069000000}"/>
    <hyperlink ref="K38" location="AEO!A1" display="AEO" xr:uid="{00000000-0004-0000-0D00-00006A000000}"/>
    <hyperlink ref="A39" r:id="rId70" xr:uid="{00000000-0004-0000-0D00-00006B000000}"/>
    <hyperlink ref="C39" r:id="rId71" xr:uid="{00000000-0004-0000-0D00-00006C000000}"/>
    <hyperlink ref="K39" location="AEO!A1" display="AEO" xr:uid="{00000000-0004-0000-0D00-00006D000000}"/>
    <hyperlink ref="A40" r:id="rId72" xr:uid="{00000000-0004-0000-0D00-00006E000000}"/>
    <hyperlink ref="C40" r:id="rId73" xr:uid="{00000000-0004-0000-0D00-00006F000000}"/>
    <hyperlink ref="K40" location="AEO!A1" display="AEO" xr:uid="{00000000-0004-0000-0D00-000070000000}"/>
    <hyperlink ref="A41" r:id="rId74" xr:uid="{00000000-0004-0000-0D00-000071000000}"/>
    <hyperlink ref="C41" r:id="rId75" xr:uid="{00000000-0004-0000-0D00-000072000000}"/>
    <hyperlink ref="K41" location="AEO!A1" display="AEO" xr:uid="{00000000-0004-0000-0D00-000073000000}"/>
    <hyperlink ref="A42" r:id="rId76" xr:uid="{00000000-0004-0000-0D00-000074000000}"/>
    <hyperlink ref="C42" r:id="rId77" xr:uid="{00000000-0004-0000-0D00-000075000000}"/>
    <hyperlink ref="K42" location="AEO!A1" display="AEO" xr:uid="{00000000-0004-0000-0D00-000076000000}"/>
    <hyperlink ref="A43" r:id="rId78" xr:uid="{00000000-0004-0000-0D00-000077000000}"/>
    <hyperlink ref="C43" r:id="rId79" xr:uid="{00000000-0004-0000-0D00-000078000000}"/>
    <hyperlink ref="K43" location="AEO!A1" display="AEO" xr:uid="{00000000-0004-0000-0D00-000079000000}"/>
    <hyperlink ref="A44" r:id="rId80" xr:uid="{00000000-0004-0000-0D00-00007A000000}"/>
    <hyperlink ref="C44" r:id="rId81" xr:uid="{00000000-0004-0000-0D00-00007B000000}"/>
    <hyperlink ref="K44" location="AEO!A1" display="AEO" xr:uid="{00000000-0004-0000-0D00-00007C000000}"/>
    <hyperlink ref="A45" r:id="rId82" xr:uid="{00000000-0004-0000-0D00-00007D000000}"/>
    <hyperlink ref="C45" r:id="rId83" xr:uid="{00000000-0004-0000-0D00-00007E000000}"/>
    <hyperlink ref="K45" location="AEO!A1" display="AEO" xr:uid="{00000000-0004-0000-0D00-00007F000000}"/>
    <hyperlink ref="A46" r:id="rId84" xr:uid="{00000000-0004-0000-0D00-000080000000}"/>
    <hyperlink ref="C46" r:id="rId85" xr:uid="{00000000-0004-0000-0D00-000081000000}"/>
    <hyperlink ref="K46" location="AEO!A1" display="AEO" xr:uid="{00000000-0004-0000-0D00-000082000000}"/>
    <hyperlink ref="A47" r:id="rId86" xr:uid="{00000000-0004-0000-0D00-000083000000}"/>
    <hyperlink ref="K47" location="AEO!A1" display="AEO" xr:uid="{00000000-0004-0000-0D00-000084000000}"/>
    <hyperlink ref="A48" r:id="rId87" xr:uid="{00000000-0004-0000-0D00-000085000000}"/>
    <hyperlink ref="C48" r:id="rId88" xr:uid="{00000000-0004-0000-0D00-000086000000}"/>
    <hyperlink ref="K48" location="AEO!A1" display="AEO" xr:uid="{00000000-0004-0000-0D00-000087000000}"/>
    <hyperlink ref="A49" r:id="rId89" xr:uid="{00000000-0004-0000-0D00-000088000000}"/>
    <hyperlink ref="C49" r:id="rId90" xr:uid="{00000000-0004-0000-0D00-000089000000}"/>
    <hyperlink ref="K49" location="AEO!A1" display="AEO" xr:uid="{00000000-0004-0000-0D00-00008A000000}"/>
    <hyperlink ref="A50" r:id="rId91" xr:uid="{00000000-0004-0000-0D00-00008B000000}"/>
    <hyperlink ref="C50" r:id="rId92" xr:uid="{00000000-0004-0000-0D00-00008C000000}"/>
    <hyperlink ref="K50" location="AEO!A1" display="AEO" xr:uid="{00000000-0004-0000-0D00-00008D000000}"/>
    <hyperlink ref="A51" r:id="rId93" xr:uid="{00000000-0004-0000-0D00-00008E000000}"/>
    <hyperlink ref="C51" r:id="rId94" xr:uid="{00000000-0004-0000-0D00-00008F000000}"/>
    <hyperlink ref="K51" location="AEO!A1" display="AEO" xr:uid="{00000000-0004-0000-0D00-000090000000}"/>
    <hyperlink ref="A52" r:id="rId95" xr:uid="{00000000-0004-0000-0D00-000091000000}"/>
    <hyperlink ref="C52" r:id="rId96" xr:uid="{00000000-0004-0000-0D00-000092000000}"/>
    <hyperlink ref="K52" location="AEO!A1" display="AEO" xr:uid="{00000000-0004-0000-0D00-000093000000}"/>
    <hyperlink ref="A53" r:id="rId97" xr:uid="{00000000-0004-0000-0D00-000094000000}"/>
    <hyperlink ref="C53" r:id="rId98" xr:uid="{00000000-0004-0000-0D00-000095000000}"/>
    <hyperlink ref="K53" location="AEO!A1" display="AEO" xr:uid="{00000000-0004-0000-0D00-000096000000}"/>
    <hyperlink ref="A54" r:id="rId99" xr:uid="{00000000-0004-0000-0D00-000097000000}"/>
    <hyperlink ref="C54" r:id="rId100" xr:uid="{00000000-0004-0000-0D00-000098000000}"/>
    <hyperlink ref="K54" location="AEO!A1" display="AEO" xr:uid="{00000000-0004-0000-0D00-000099000000}"/>
    <hyperlink ref="A55" r:id="rId101" xr:uid="{00000000-0004-0000-0D00-00009A000000}"/>
    <hyperlink ref="C55" r:id="rId102" xr:uid="{00000000-0004-0000-0D00-00009B000000}"/>
    <hyperlink ref="K55" location="AEO!A1" display="AEO" xr:uid="{00000000-0004-0000-0D00-00009C000000}"/>
    <hyperlink ref="A56" r:id="rId103" xr:uid="{00000000-0004-0000-0D00-00009D000000}"/>
    <hyperlink ref="C56" r:id="rId104" xr:uid="{00000000-0004-0000-0D00-00009E000000}"/>
    <hyperlink ref="K56" location="AEO!A1" display="AEO" xr:uid="{00000000-0004-0000-0D00-00009F000000}"/>
    <hyperlink ref="A57" r:id="rId105" xr:uid="{00000000-0004-0000-0D00-0000A0000000}"/>
    <hyperlink ref="C57" r:id="rId106" xr:uid="{00000000-0004-0000-0D00-0000A1000000}"/>
    <hyperlink ref="K57" location="AEO!A1" display="AEO" xr:uid="{00000000-0004-0000-0D00-0000A2000000}"/>
    <hyperlink ref="A58" r:id="rId107" xr:uid="{00000000-0004-0000-0D00-0000A3000000}"/>
    <hyperlink ref="C58" r:id="rId108" xr:uid="{00000000-0004-0000-0D00-0000A4000000}"/>
    <hyperlink ref="K58" location="AEO!A1" display="AEO" xr:uid="{00000000-0004-0000-0D00-0000A5000000}"/>
    <hyperlink ref="A59" r:id="rId109" xr:uid="{00000000-0004-0000-0D00-0000A6000000}"/>
    <hyperlink ref="C59" r:id="rId110" xr:uid="{00000000-0004-0000-0D00-0000A7000000}"/>
    <hyperlink ref="K59" location="AEO!A1" display="AEO" xr:uid="{00000000-0004-0000-0D00-0000A8000000}"/>
    <hyperlink ref="A60" r:id="rId111" xr:uid="{00000000-0004-0000-0D00-0000A9000000}"/>
    <hyperlink ref="C60" r:id="rId112" xr:uid="{00000000-0004-0000-0D00-0000AA000000}"/>
    <hyperlink ref="K60" location="AEO!A1" display="AEO" xr:uid="{00000000-0004-0000-0D00-0000AB000000}"/>
    <hyperlink ref="A61" r:id="rId113" xr:uid="{00000000-0004-0000-0D00-0000AC000000}"/>
    <hyperlink ref="C61" r:id="rId114" xr:uid="{00000000-0004-0000-0D00-0000AD000000}"/>
    <hyperlink ref="K61" location="AEO!A1" display="AEO" xr:uid="{00000000-0004-0000-0D00-0000AE000000}"/>
    <hyperlink ref="A62" r:id="rId115" xr:uid="{00000000-0004-0000-0D00-0000AF000000}"/>
    <hyperlink ref="C62" r:id="rId116" xr:uid="{00000000-0004-0000-0D00-0000B0000000}"/>
    <hyperlink ref="K62" location="AEO!A1" display="AEO" xr:uid="{00000000-0004-0000-0D00-0000B1000000}"/>
    <hyperlink ref="A63" r:id="rId117" xr:uid="{00000000-0004-0000-0D00-0000B2000000}"/>
    <hyperlink ref="C63" r:id="rId118" xr:uid="{00000000-0004-0000-0D00-0000B3000000}"/>
    <hyperlink ref="K63" location="AEO!A1" display="AEO" xr:uid="{00000000-0004-0000-0D00-0000B4000000}"/>
    <hyperlink ref="A64" r:id="rId119" xr:uid="{00000000-0004-0000-0D00-0000B5000000}"/>
    <hyperlink ref="C64" r:id="rId120" xr:uid="{00000000-0004-0000-0D00-0000B6000000}"/>
    <hyperlink ref="K64" location="AEO!A1" display="AEO" xr:uid="{00000000-0004-0000-0D00-0000B7000000}"/>
    <hyperlink ref="A65" r:id="rId121" xr:uid="{00000000-0004-0000-0D00-0000B8000000}"/>
    <hyperlink ref="C65" r:id="rId122" xr:uid="{00000000-0004-0000-0D00-0000B9000000}"/>
    <hyperlink ref="K65" location="AEO!A1" display="AEO" xr:uid="{00000000-0004-0000-0D00-0000BA000000}"/>
    <hyperlink ref="A66" r:id="rId123" xr:uid="{00000000-0004-0000-0D00-0000BB000000}"/>
    <hyperlink ref="C66" r:id="rId124" xr:uid="{00000000-0004-0000-0D00-0000BC000000}"/>
    <hyperlink ref="K66" location="AEO!A1" display="AEO" xr:uid="{00000000-0004-0000-0D00-0000BD000000}"/>
    <hyperlink ref="A67" r:id="rId125" xr:uid="{00000000-0004-0000-0D00-0000BE000000}"/>
    <hyperlink ref="C67" r:id="rId126" xr:uid="{00000000-0004-0000-0D00-0000BF000000}"/>
    <hyperlink ref="K67" location="AEO!A1" display="AEO" xr:uid="{00000000-0004-0000-0D00-0000C0000000}"/>
    <hyperlink ref="A68" r:id="rId127" xr:uid="{00000000-0004-0000-0D00-0000C1000000}"/>
    <hyperlink ref="C68" r:id="rId128" xr:uid="{00000000-0004-0000-0D00-0000C2000000}"/>
    <hyperlink ref="K68" location="AEO!A1" display="AEO" xr:uid="{00000000-0004-0000-0D00-0000C3000000}"/>
    <hyperlink ref="A69" r:id="rId129" xr:uid="{00000000-0004-0000-0D00-0000C4000000}"/>
    <hyperlink ref="C69" r:id="rId130" xr:uid="{00000000-0004-0000-0D00-0000C5000000}"/>
    <hyperlink ref="K69" location="AEO!A1" display="AEO" xr:uid="{00000000-0004-0000-0D00-0000C6000000}"/>
    <hyperlink ref="A70" r:id="rId131" xr:uid="{00000000-0004-0000-0D00-0000C7000000}"/>
    <hyperlink ref="C70" r:id="rId132" xr:uid="{00000000-0004-0000-0D00-0000C8000000}"/>
    <hyperlink ref="K70" location="AEO!A1" display="AEO" xr:uid="{00000000-0004-0000-0D00-0000C9000000}"/>
    <hyperlink ref="A71" r:id="rId133" xr:uid="{00000000-0004-0000-0D00-0000CA000000}"/>
    <hyperlink ref="C71" r:id="rId134" xr:uid="{00000000-0004-0000-0D00-0000CB000000}"/>
    <hyperlink ref="K71" location="AEO!A1" display="AEO" xr:uid="{00000000-0004-0000-0D00-0000CC000000}"/>
    <hyperlink ref="A72" r:id="rId135" xr:uid="{00000000-0004-0000-0D00-0000CD000000}"/>
    <hyperlink ref="C72" r:id="rId136" xr:uid="{00000000-0004-0000-0D00-0000CE000000}"/>
    <hyperlink ref="K72" location="AEO!A1" display="AEO" xr:uid="{00000000-0004-0000-0D00-0000CF000000}"/>
    <hyperlink ref="A73" r:id="rId137" xr:uid="{00000000-0004-0000-0D00-0000D0000000}"/>
    <hyperlink ref="C73" r:id="rId138" xr:uid="{00000000-0004-0000-0D00-0000D1000000}"/>
    <hyperlink ref="K73" location="AEO!A1" display="AEO" xr:uid="{00000000-0004-0000-0D00-0000D2000000}"/>
    <hyperlink ref="A74" r:id="rId139" xr:uid="{00000000-0004-0000-0D00-0000D3000000}"/>
    <hyperlink ref="C74" r:id="rId140" xr:uid="{00000000-0004-0000-0D00-0000D4000000}"/>
    <hyperlink ref="K74" location="AEO!A1" display="AEO" xr:uid="{00000000-0004-0000-0D00-0000D5000000}"/>
    <hyperlink ref="A75" r:id="rId141" xr:uid="{00000000-0004-0000-0D00-0000D6000000}"/>
    <hyperlink ref="C75" r:id="rId142" xr:uid="{00000000-0004-0000-0D00-0000D7000000}"/>
    <hyperlink ref="K75" location="AEO!A1" display="AEO" xr:uid="{00000000-0004-0000-0D00-0000D8000000}"/>
    <hyperlink ref="A76" r:id="rId143" xr:uid="{00000000-0004-0000-0D00-0000D9000000}"/>
    <hyperlink ref="C76" r:id="rId144" xr:uid="{00000000-0004-0000-0D00-0000DA000000}"/>
    <hyperlink ref="K76" location="AEO!A1" display="AEO" xr:uid="{00000000-0004-0000-0D00-0000DB000000}"/>
    <hyperlink ref="A77" r:id="rId145" xr:uid="{00000000-0004-0000-0D00-0000DC000000}"/>
    <hyperlink ref="C77" r:id="rId146" xr:uid="{00000000-0004-0000-0D00-0000DD000000}"/>
    <hyperlink ref="K77" location="AEO!A1" display="AEO" xr:uid="{00000000-0004-0000-0D00-0000DE000000}"/>
    <hyperlink ref="A78" r:id="rId147" xr:uid="{00000000-0004-0000-0D00-0000DF000000}"/>
    <hyperlink ref="C78" r:id="rId148" xr:uid="{00000000-0004-0000-0D00-0000E0000000}"/>
    <hyperlink ref="K78" location="AEO!A1" display="AEO" xr:uid="{00000000-0004-0000-0D00-0000E1000000}"/>
    <hyperlink ref="A79" r:id="rId149" xr:uid="{00000000-0004-0000-0D00-0000E2000000}"/>
    <hyperlink ref="C79" r:id="rId150" xr:uid="{00000000-0004-0000-0D00-0000E3000000}"/>
    <hyperlink ref="K79" location="AEO!A1" display="AEO" xr:uid="{00000000-0004-0000-0D00-0000E4000000}"/>
    <hyperlink ref="A80" r:id="rId151" xr:uid="{00000000-0004-0000-0D00-0000E5000000}"/>
    <hyperlink ref="C80" r:id="rId152" xr:uid="{00000000-0004-0000-0D00-0000E6000000}"/>
    <hyperlink ref="K80" location="AEO!A1" display="AEO" xr:uid="{00000000-0004-0000-0D00-0000E7000000}"/>
    <hyperlink ref="A81" r:id="rId153" xr:uid="{00000000-0004-0000-0D00-0000E8000000}"/>
    <hyperlink ref="C81" r:id="rId154" xr:uid="{00000000-0004-0000-0D00-0000E9000000}"/>
    <hyperlink ref="K81" location="AEO!A1" display="AEO" xr:uid="{00000000-0004-0000-0D00-0000EA000000}"/>
    <hyperlink ref="A82" r:id="rId155" xr:uid="{00000000-0004-0000-0D00-0000EB000000}"/>
    <hyperlink ref="C82" r:id="rId156" xr:uid="{00000000-0004-0000-0D00-0000EC000000}"/>
    <hyperlink ref="K82" location="AEO!A1" display="AEO" xr:uid="{00000000-0004-0000-0D00-0000ED000000}"/>
    <hyperlink ref="A83" r:id="rId157" xr:uid="{00000000-0004-0000-0D00-0000EE000000}"/>
    <hyperlink ref="C83" r:id="rId158" xr:uid="{00000000-0004-0000-0D00-0000EF000000}"/>
    <hyperlink ref="K83" location="AEO!A1" display="AEO" xr:uid="{00000000-0004-0000-0D00-0000F0000000}"/>
    <hyperlink ref="A84" r:id="rId159" xr:uid="{00000000-0004-0000-0D00-0000F1000000}"/>
    <hyperlink ref="C84" r:id="rId160" xr:uid="{00000000-0004-0000-0D00-0000F2000000}"/>
    <hyperlink ref="K84" location="AEO!A1" display="AEO" xr:uid="{00000000-0004-0000-0D00-0000F3000000}"/>
    <hyperlink ref="A85" r:id="rId161" xr:uid="{00000000-0004-0000-0D00-0000F4000000}"/>
    <hyperlink ref="C85" r:id="rId162" xr:uid="{00000000-0004-0000-0D00-0000F5000000}"/>
    <hyperlink ref="K85" location="AEO!A1" display="AEO" xr:uid="{00000000-0004-0000-0D00-0000F6000000}"/>
    <hyperlink ref="A86" r:id="rId163" xr:uid="{00000000-0004-0000-0D00-0000F7000000}"/>
    <hyperlink ref="C86" r:id="rId164" xr:uid="{00000000-0004-0000-0D00-0000F8000000}"/>
    <hyperlink ref="K86" location="AEO!A1" display="AEO" xr:uid="{00000000-0004-0000-0D00-0000F9000000}"/>
    <hyperlink ref="A87" r:id="rId165" xr:uid="{00000000-0004-0000-0D00-0000FA000000}"/>
    <hyperlink ref="C87" r:id="rId166" xr:uid="{00000000-0004-0000-0D00-0000FB000000}"/>
    <hyperlink ref="K87" location="AEO!A1" display="AEO" xr:uid="{00000000-0004-0000-0D00-0000FC000000}"/>
    <hyperlink ref="A88" r:id="rId167" xr:uid="{00000000-0004-0000-0D00-0000FD000000}"/>
    <hyperlink ref="C88" r:id="rId168" xr:uid="{00000000-0004-0000-0D00-0000FE000000}"/>
    <hyperlink ref="K88" location="AEO!A1" display="AEO" xr:uid="{00000000-0004-0000-0D00-0000FF000000}"/>
    <hyperlink ref="A89" r:id="rId169" xr:uid="{00000000-0004-0000-0D00-000000010000}"/>
    <hyperlink ref="C89" r:id="rId170" xr:uid="{00000000-0004-0000-0D00-000001010000}"/>
    <hyperlink ref="K89" location="AEO!A1" display="AEO" xr:uid="{00000000-0004-0000-0D00-000002010000}"/>
    <hyperlink ref="A90" r:id="rId171" xr:uid="{00000000-0004-0000-0D00-000003010000}"/>
    <hyperlink ref="C90" r:id="rId172" xr:uid="{00000000-0004-0000-0D00-000004010000}"/>
    <hyperlink ref="K90" location="AEO!A1" display="AEO" xr:uid="{00000000-0004-0000-0D00-000005010000}"/>
    <hyperlink ref="A91" r:id="rId173" xr:uid="{00000000-0004-0000-0D00-000006010000}"/>
    <hyperlink ref="C91" r:id="rId174" xr:uid="{00000000-0004-0000-0D00-000007010000}"/>
    <hyperlink ref="K91" location="AEO!A1" display="AEO" xr:uid="{00000000-0004-0000-0D00-000008010000}"/>
    <hyperlink ref="A92" r:id="rId175" xr:uid="{00000000-0004-0000-0D00-000009010000}"/>
    <hyperlink ref="C92" r:id="rId176" xr:uid="{00000000-0004-0000-0D00-00000A010000}"/>
    <hyperlink ref="K92" location="AEO!A1" display="AEO" xr:uid="{00000000-0004-0000-0D00-00000B010000}"/>
    <hyperlink ref="A93" r:id="rId177" xr:uid="{00000000-0004-0000-0D00-00000C010000}"/>
    <hyperlink ref="C93" r:id="rId178" xr:uid="{00000000-0004-0000-0D00-00000D010000}"/>
    <hyperlink ref="K93" location="AEO!A1" display="AEO" xr:uid="{00000000-0004-0000-0D00-00000E010000}"/>
    <hyperlink ref="A94" r:id="rId179" xr:uid="{00000000-0004-0000-0D00-00000F010000}"/>
    <hyperlink ref="C94" r:id="rId180" xr:uid="{00000000-0004-0000-0D00-000010010000}"/>
    <hyperlink ref="K94" location="Content!A1" display="Content" xr:uid="{00000000-0004-0000-0D00-000011010000}"/>
    <hyperlink ref="A95" r:id="rId181" xr:uid="{00000000-0004-0000-0D00-000012010000}"/>
    <hyperlink ref="C95" r:id="rId182" xr:uid="{00000000-0004-0000-0D00-000013010000}"/>
    <hyperlink ref="K95" location="Content!A1" display="Content" xr:uid="{00000000-0004-0000-0D00-000014010000}"/>
    <hyperlink ref="A96" r:id="rId183" xr:uid="{00000000-0004-0000-0D00-000015010000}"/>
    <hyperlink ref="C96" r:id="rId184" xr:uid="{00000000-0004-0000-0D00-000016010000}"/>
    <hyperlink ref="K96" location="Content!A1" display="Content" xr:uid="{00000000-0004-0000-0D00-000017010000}"/>
    <hyperlink ref="A97" r:id="rId185" xr:uid="{00000000-0004-0000-0D00-000018010000}"/>
    <hyperlink ref="C97" r:id="rId186" xr:uid="{00000000-0004-0000-0D00-000019010000}"/>
    <hyperlink ref="K97" location="Content!A1" display="Content" xr:uid="{00000000-0004-0000-0D00-00001A010000}"/>
    <hyperlink ref="A98" r:id="rId187" xr:uid="{00000000-0004-0000-0D00-00001B010000}"/>
    <hyperlink ref="C98" r:id="rId188" xr:uid="{00000000-0004-0000-0D00-00001C010000}"/>
    <hyperlink ref="K98" location="Content!A1" display="Content" xr:uid="{00000000-0004-0000-0D00-00001D010000}"/>
    <hyperlink ref="A99" r:id="rId189" xr:uid="{00000000-0004-0000-0D00-00001E010000}"/>
    <hyperlink ref="C99" r:id="rId190" xr:uid="{00000000-0004-0000-0D00-00001F010000}"/>
    <hyperlink ref="K99" location="Content!A1" display="Content" xr:uid="{00000000-0004-0000-0D00-000020010000}"/>
    <hyperlink ref="A100" r:id="rId191" xr:uid="{00000000-0004-0000-0D00-000021010000}"/>
    <hyperlink ref="C100" r:id="rId192" xr:uid="{00000000-0004-0000-0D00-000022010000}"/>
    <hyperlink ref="K100" location="Content!A1" display="Content" xr:uid="{00000000-0004-0000-0D00-000023010000}"/>
    <hyperlink ref="A101" r:id="rId193" xr:uid="{00000000-0004-0000-0D00-000024010000}"/>
    <hyperlink ref="C101" r:id="rId194" xr:uid="{00000000-0004-0000-0D00-000025010000}"/>
    <hyperlink ref="K101" location="Content!A1" display="Content" xr:uid="{00000000-0004-0000-0D00-000026010000}"/>
    <hyperlink ref="A102" r:id="rId195" xr:uid="{00000000-0004-0000-0D00-000027010000}"/>
    <hyperlink ref="C102" r:id="rId196" xr:uid="{00000000-0004-0000-0D00-000028010000}"/>
    <hyperlink ref="K102" location="Content!A1" display="Content" xr:uid="{00000000-0004-0000-0D00-000029010000}"/>
    <hyperlink ref="A103" r:id="rId197" xr:uid="{00000000-0004-0000-0D00-00002A010000}"/>
    <hyperlink ref="C103" r:id="rId198" xr:uid="{00000000-0004-0000-0D00-00002B010000}"/>
    <hyperlink ref="K103" location="Content!A1" display="Content" xr:uid="{00000000-0004-0000-0D00-00002C010000}"/>
    <hyperlink ref="A104" r:id="rId199" xr:uid="{00000000-0004-0000-0D00-00002D010000}"/>
    <hyperlink ref="C104" r:id="rId200" xr:uid="{00000000-0004-0000-0D00-00002E010000}"/>
    <hyperlink ref="K104" location="Content!A1" display="Content" xr:uid="{00000000-0004-0000-0D00-00002F010000}"/>
    <hyperlink ref="A105" r:id="rId201" xr:uid="{00000000-0004-0000-0D00-000030010000}"/>
    <hyperlink ref="C105" r:id="rId202" xr:uid="{00000000-0004-0000-0D00-000031010000}"/>
    <hyperlink ref="K105" location="Content!A1" display="Content" xr:uid="{00000000-0004-0000-0D00-000032010000}"/>
    <hyperlink ref="A106" r:id="rId203" xr:uid="{00000000-0004-0000-0D00-000033010000}"/>
    <hyperlink ref="C106" r:id="rId204" xr:uid="{00000000-0004-0000-0D00-000034010000}"/>
    <hyperlink ref="K106" location="Content!A1" display="Content" xr:uid="{00000000-0004-0000-0D00-000035010000}"/>
    <hyperlink ref="A107" r:id="rId205" xr:uid="{00000000-0004-0000-0D00-000036010000}"/>
    <hyperlink ref="C107" r:id="rId206" xr:uid="{00000000-0004-0000-0D00-000037010000}"/>
    <hyperlink ref="K107" location="Content!A1" display="Content" xr:uid="{00000000-0004-0000-0D00-000038010000}"/>
    <hyperlink ref="A108" r:id="rId207" xr:uid="{00000000-0004-0000-0D00-000039010000}"/>
    <hyperlink ref="C108" r:id="rId208" xr:uid="{00000000-0004-0000-0D00-00003A010000}"/>
    <hyperlink ref="K108" location="Content!A1" display="Content" xr:uid="{00000000-0004-0000-0D00-00003B010000}"/>
    <hyperlink ref="A109" r:id="rId209" xr:uid="{00000000-0004-0000-0D00-00003C010000}"/>
    <hyperlink ref="C109" r:id="rId210" xr:uid="{00000000-0004-0000-0D00-00003D010000}"/>
    <hyperlink ref="K109" location="Content!A1" display="Content" xr:uid="{00000000-0004-0000-0D00-00003E010000}"/>
    <hyperlink ref="A110" r:id="rId211" xr:uid="{00000000-0004-0000-0D00-00003F010000}"/>
    <hyperlink ref="C110" r:id="rId212" xr:uid="{00000000-0004-0000-0D00-000040010000}"/>
    <hyperlink ref="K110" location="Content!A1" display="Content" xr:uid="{00000000-0004-0000-0D00-000041010000}"/>
    <hyperlink ref="A111" r:id="rId213" xr:uid="{00000000-0004-0000-0D00-000042010000}"/>
    <hyperlink ref="C111" r:id="rId214" xr:uid="{00000000-0004-0000-0D00-000043010000}"/>
    <hyperlink ref="K111" location="Content!A1" display="Content" xr:uid="{00000000-0004-0000-0D00-000044010000}"/>
    <hyperlink ref="A112" r:id="rId215" xr:uid="{00000000-0004-0000-0D00-000045010000}"/>
    <hyperlink ref="C112" r:id="rId216" xr:uid="{00000000-0004-0000-0D00-000046010000}"/>
    <hyperlink ref="K112" location="Content!A1" display="Content" xr:uid="{00000000-0004-0000-0D00-000047010000}"/>
    <hyperlink ref="A113" r:id="rId217" xr:uid="{00000000-0004-0000-0D00-000048010000}"/>
    <hyperlink ref="K113" location="Content!A1" display="Content" xr:uid="{00000000-0004-0000-0D00-000049010000}"/>
    <hyperlink ref="A114" r:id="rId218" xr:uid="{00000000-0004-0000-0D00-00004A010000}"/>
    <hyperlink ref="C114" r:id="rId219" xr:uid="{00000000-0004-0000-0D00-00004B010000}"/>
    <hyperlink ref="K114" location="Content!A1" display="Content" xr:uid="{00000000-0004-0000-0D00-00004C010000}"/>
    <hyperlink ref="A115" r:id="rId220" xr:uid="{00000000-0004-0000-0D00-00004D010000}"/>
    <hyperlink ref="C115" r:id="rId221" xr:uid="{00000000-0004-0000-0D00-00004E010000}"/>
    <hyperlink ref="K115" location="Content!A1" display="Content" xr:uid="{00000000-0004-0000-0D00-00004F010000}"/>
    <hyperlink ref="A116" r:id="rId222" xr:uid="{00000000-0004-0000-0D00-000050010000}"/>
    <hyperlink ref="C116" r:id="rId223" xr:uid="{00000000-0004-0000-0D00-000051010000}"/>
    <hyperlink ref="K116" location="Content!A1" display="Content" xr:uid="{00000000-0004-0000-0D00-000052010000}"/>
    <hyperlink ref="A117" r:id="rId224" xr:uid="{00000000-0004-0000-0D00-000053010000}"/>
    <hyperlink ref="C117" r:id="rId225" xr:uid="{00000000-0004-0000-0D00-000054010000}"/>
    <hyperlink ref="K117" location="Content!A1" display="Content" xr:uid="{00000000-0004-0000-0D00-000055010000}"/>
    <hyperlink ref="A118" r:id="rId226" xr:uid="{00000000-0004-0000-0D00-000056010000}"/>
    <hyperlink ref="C118" r:id="rId227" xr:uid="{00000000-0004-0000-0D00-000057010000}"/>
    <hyperlink ref="K118" location="Content!A1" display="Content" xr:uid="{00000000-0004-0000-0D00-000058010000}"/>
    <hyperlink ref="A119" r:id="rId228" xr:uid="{00000000-0004-0000-0D00-000059010000}"/>
    <hyperlink ref="C119" r:id="rId229" xr:uid="{00000000-0004-0000-0D00-00005A010000}"/>
    <hyperlink ref="K119" location="Content!A1" display="Content" xr:uid="{00000000-0004-0000-0D00-00005B010000}"/>
    <hyperlink ref="A120" r:id="rId230" xr:uid="{00000000-0004-0000-0D00-00005C010000}"/>
    <hyperlink ref="K120" location="Content!A1" display="Content" xr:uid="{00000000-0004-0000-0D00-00005D010000}"/>
    <hyperlink ref="A121" r:id="rId231" xr:uid="{00000000-0004-0000-0D00-00005E010000}"/>
    <hyperlink ref="C121" r:id="rId232" xr:uid="{00000000-0004-0000-0D00-00005F010000}"/>
    <hyperlink ref="K121" location="Content!A1" display="Content" xr:uid="{00000000-0004-0000-0D00-000060010000}"/>
    <hyperlink ref="A122" r:id="rId233" xr:uid="{00000000-0004-0000-0D00-000061010000}"/>
    <hyperlink ref="C122" r:id="rId234" xr:uid="{00000000-0004-0000-0D00-000062010000}"/>
    <hyperlink ref="K122" location="Content!A1" display="Content" xr:uid="{00000000-0004-0000-0D00-000063010000}"/>
    <hyperlink ref="A123" r:id="rId235" xr:uid="{00000000-0004-0000-0D00-000064010000}"/>
    <hyperlink ref="C123" r:id="rId236" xr:uid="{00000000-0004-0000-0D00-000065010000}"/>
    <hyperlink ref="K123" location="Content!A1" display="Content" xr:uid="{00000000-0004-0000-0D00-000066010000}"/>
    <hyperlink ref="A124" r:id="rId237" xr:uid="{00000000-0004-0000-0D00-000067010000}"/>
    <hyperlink ref="C124" r:id="rId238" xr:uid="{00000000-0004-0000-0D00-000068010000}"/>
    <hyperlink ref="K124" location="Content!A1" display="Content" xr:uid="{00000000-0004-0000-0D00-000069010000}"/>
    <hyperlink ref="A125" r:id="rId239" xr:uid="{00000000-0004-0000-0D00-00006A010000}"/>
    <hyperlink ref="C125" r:id="rId240" xr:uid="{00000000-0004-0000-0D00-00006B010000}"/>
    <hyperlink ref="K125" location="Content!A1" display="Content" xr:uid="{00000000-0004-0000-0D00-00006C010000}"/>
    <hyperlink ref="A126" r:id="rId241" xr:uid="{00000000-0004-0000-0D00-00006D010000}"/>
    <hyperlink ref="C126" r:id="rId242" xr:uid="{00000000-0004-0000-0D00-00006E010000}"/>
    <hyperlink ref="K126" location="Content!A1" display="Content" xr:uid="{00000000-0004-0000-0D00-00006F010000}"/>
    <hyperlink ref="A127" r:id="rId243" xr:uid="{00000000-0004-0000-0D00-000070010000}"/>
    <hyperlink ref="C127" r:id="rId244" xr:uid="{00000000-0004-0000-0D00-000071010000}"/>
    <hyperlink ref="K127" location="Content!A1" display="Content" xr:uid="{00000000-0004-0000-0D00-000072010000}"/>
    <hyperlink ref="A128" r:id="rId245" xr:uid="{00000000-0004-0000-0D00-000073010000}"/>
    <hyperlink ref="C128" r:id="rId246" xr:uid="{00000000-0004-0000-0D00-000074010000}"/>
    <hyperlink ref="K128" location="Content!A1" display="Content" xr:uid="{00000000-0004-0000-0D00-000075010000}"/>
    <hyperlink ref="A129" r:id="rId247" xr:uid="{00000000-0004-0000-0D00-000076010000}"/>
    <hyperlink ref="C129" r:id="rId248" xr:uid="{00000000-0004-0000-0D00-000077010000}"/>
    <hyperlink ref="K129" location="Content!A1" display="Content" xr:uid="{00000000-0004-0000-0D00-000078010000}"/>
    <hyperlink ref="A130" r:id="rId249" xr:uid="{00000000-0004-0000-0D00-000079010000}"/>
    <hyperlink ref="C130" r:id="rId250" xr:uid="{00000000-0004-0000-0D00-00007A010000}"/>
    <hyperlink ref="K130" location="Content!A1" display="Content" xr:uid="{00000000-0004-0000-0D00-00007B010000}"/>
    <hyperlink ref="A131" r:id="rId251" xr:uid="{00000000-0004-0000-0D00-00007C010000}"/>
    <hyperlink ref="C131" r:id="rId252" xr:uid="{00000000-0004-0000-0D00-00007D010000}"/>
    <hyperlink ref="K131" location="Content!A1" display="Content" xr:uid="{00000000-0004-0000-0D00-00007E010000}"/>
    <hyperlink ref="A132" r:id="rId253" xr:uid="{00000000-0004-0000-0D00-00007F010000}"/>
    <hyperlink ref="C132" r:id="rId254" xr:uid="{00000000-0004-0000-0D00-000080010000}"/>
    <hyperlink ref="K132" location="Content!A1" display="Content" xr:uid="{00000000-0004-0000-0D00-000081010000}"/>
    <hyperlink ref="A133" r:id="rId255" xr:uid="{00000000-0004-0000-0D00-000082010000}"/>
    <hyperlink ref="C133" r:id="rId256" xr:uid="{00000000-0004-0000-0D00-000083010000}"/>
    <hyperlink ref="K133" location="Content!A1" display="Content" xr:uid="{00000000-0004-0000-0D00-000084010000}"/>
    <hyperlink ref="A134" r:id="rId257" xr:uid="{00000000-0004-0000-0D00-000085010000}"/>
    <hyperlink ref="C134" r:id="rId258" xr:uid="{00000000-0004-0000-0D00-000086010000}"/>
    <hyperlink ref="K134" location="Content!A1" display="Content" xr:uid="{00000000-0004-0000-0D00-000087010000}"/>
    <hyperlink ref="A135" r:id="rId259" xr:uid="{00000000-0004-0000-0D00-000088010000}"/>
    <hyperlink ref="C135" r:id="rId260" xr:uid="{00000000-0004-0000-0D00-000089010000}"/>
    <hyperlink ref="K135" location="Content!A1" display="Content" xr:uid="{00000000-0004-0000-0D00-00008A010000}"/>
    <hyperlink ref="A136" r:id="rId261" xr:uid="{00000000-0004-0000-0D00-00008B010000}"/>
    <hyperlink ref="C136" r:id="rId262" xr:uid="{00000000-0004-0000-0D00-00008C010000}"/>
    <hyperlink ref="K136" location="Content!A1" display="Content" xr:uid="{00000000-0004-0000-0D00-00008D010000}"/>
    <hyperlink ref="A137" r:id="rId263" xr:uid="{00000000-0004-0000-0D00-00008E010000}"/>
    <hyperlink ref="C137" r:id="rId264" xr:uid="{00000000-0004-0000-0D00-00008F010000}"/>
    <hyperlink ref="K137" location="Content!A1" display="Content" xr:uid="{00000000-0004-0000-0D00-000090010000}"/>
    <hyperlink ref="A138" r:id="rId265" xr:uid="{00000000-0004-0000-0D00-000091010000}"/>
    <hyperlink ref="C138" r:id="rId266" xr:uid="{00000000-0004-0000-0D00-000092010000}"/>
    <hyperlink ref="K138" location="Content!A1" display="Content" xr:uid="{00000000-0004-0000-0D00-000093010000}"/>
    <hyperlink ref="A139" r:id="rId267" xr:uid="{00000000-0004-0000-0D00-000094010000}"/>
    <hyperlink ref="C139" r:id="rId268" xr:uid="{00000000-0004-0000-0D00-000095010000}"/>
    <hyperlink ref="K139" location="Content!A1" display="Content" xr:uid="{00000000-0004-0000-0D00-000096010000}"/>
    <hyperlink ref="A140" r:id="rId269" xr:uid="{00000000-0004-0000-0D00-000097010000}"/>
    <hyperlink ref="C140" r:id="rId270" xr:uid="{00000000-0004-0000-0D00-000098010000}"/>
    <hyperlink ref="K140" location="Content!A1" display="Content" xr:uid="{00000000-0004-0000-0D00-000099010000}"/>
    <hyperlink ref="A141" r:id="rId271" xr:uid="{00000000-0004-0000-0D00-00009A010000}"/>
    <hyperlink ref="C141" r:id="rId272" xr:uid="{00000000-0004-0000-0D00-00009B010000}"/>
    <hyperlink ref="K141" location="Content!A1" display="Content" xr:uid="{00000000-0004-0000-0D00-00009C010000}"/>
    <hyperlink ref="A142" r:id="rId273" xr:uid="{00000000-0004-0000-0D00-00009D010000}"/>
    <hyperlink ref="C142" r:id="rId274" xr:uid="{00000000-0004-0000-0D00-00009E010000}"/>
    <hyperlink ref="K142" location="Content!A1" display="Content" xr:uid="{00000000-0004-0000-0D00-00009F010000}"/>
    <hyperlink ref="A143" r:id="rId275" xr:uid="{00000000-0004-0000-0D00-0000A0010000}"/>
    <hyperlink ref="C143" r:id="rId276" xr:uid="{00000000-0004-0000-0D00-0000A1010000}"/>
    <hyperlink ref="K143" location="Content!A1" display="Content" xr:uid="{00000000-0004-0000-0D00-0000A2010000}"/>
    <hyperlink ref="A144" r:id="rId277" xr:uid="{00000000-0004-0000-0D00-0000A3010000}"/>
    <hyperlink ref="C144" r:id="rId278" xr:uid="{00000000-0004-0000-0D00-0000A4010000}"/>
    <hyperlink ref="K144" location="Content!A1" display="Content" xr:uid="{00000000-0004-0000-0D00-0000A5010000}"/>
    <hyperlink ref="A145" r:id="rId279" xr:uid="{00000000-0004-0000-0D00-0000A6010000}"/>
    <hyperlink ref="C145" r:id="rId280" xr:uid="{00000000-0004-0000-0D00-0000A7010000}"/>
    <hyperlink ref="K145" location="Content!A1" display="Content" xr:uid="{00000000-0004-0000-0D00-0000A8010000}"/>
    <hyperlink ref="A146" r:id="rId281" xr:uid="{00000000-0004-0000-0D00-0000A9010000}"/>
    <hyperlink ref="C146" r:id="rId282" xr:uid="{00000000-0004-0000-0D00-0000AA010000}"/>
    <hyperlink ref="K146" location="Content!A1" display="Content" xr:uid="{00000000-0004-0000-0D00-0000AB010000}"/>
    <hyperlink ref="A147" r:id="rId283" xr:uid="{00000000-0004-0000-0D00-0000AC010000}"/>
    <hyperlink ref="C147" r:id="rId284" xr:uid="{00000000-0004-0000-0D00-0000AD010000}"/>
    <hyperlink ref="K147" location="Content!A1" display="Content" xr:uid="{00000000-0004-0000-0D00-0000AE010000}"/>
    <hyperlink ref="A148" r:id="rId285" xr:uid="{00000000-0004-0000-0D00-0000AF010000}"/>
    <hyperlink ref="C148" r:id="rId286" xr:uid="{00000000-0004-0000-0D00-0000B0010000}"/>
    <hyperlink ref="K148" location="Content!A1" display="Content" xr:uid="{00000000-0004-0000-0D00-0000B1010000}"/>
    <hyperlink ref="A149" r:id="rId287" xr:uid="{00000000-0004-0000-0D00-0000B2010000}"/>
    <hyperlink ref="C149" r:id="rId288" xr:uid="{00000000-0004-0000-0D00-0000B3010000}"/>
    <hyperlink ref="K149" location="Content!A1" display="Content" xr:uid="{00000000-0004-0000-0D00-0000B4010000}"/>
    <hyperlink ref="A150" r:id="rId289" xr:uid="{00000000-0004-0000-0D00-0000B5010000}"/>
    <hyperlink ref="C150" r:id="rId290" xr:uid="{00000000-0004-0000-0D00-0000B6010000}"/>
    <hyperlink ref="K150" location="Content!A1" display="Content" xr:uid="{00000000-0004-0000-0D00-0000B7010000}"/>
    <hyperlink ref="A151" r:id="rId291" xr:uid="{00000000-0004-0000-0D00-0000B8010000}"/>
    <hyperlink ref="C151" r:id="rId292" xr:uid="{00000000-0004-0000-0D00-0000B9010000}"/>
    <hyperlink ref="K151" location="Content!A1" display="Content" xr:uid="{00000000-0004-0000-0D00-0000BA010000}"/>
    <hyperlink ref="A152" r:id="rId293" xr:uid="{00000000-0004-0000-0D00-0000BB010000}"/>
    <hyperlink ref="C152" r:id="rId294" xr:uid="{00000000-0004-0000-0D00-0000BC010000}"/>
    <hyperlink ref="K152" location="Content!A1" display="Content" xr:uid="{00000000-0004-0000-0D00-0000BD010000}"/>
    <hyperlink ref="A153" r:id="rId295" xr:uid="{00000000-0004-0000-0D00-0000BE010000}"/>
    <hyperlink ref="C153" r:id="rId296" xr:uid="{00000000-0004-0000-0D00-0000BF010000}"/>
    <hyperlink ref="K153" location="Content!A1" display="Content" xr:uid="{00000000-0004-0000-0D00-0000C0010000}"/>
    <hyperlink ref="A154" r:id="rId297" xr:uid="{00000000-0004-0000-0D00-0000C1010000}"/>
    <hyperlink ref="C154" r:id="rId298" xr:uid="{00000000-0004-0000-0D00-0000C2010000}"/>
    <hyperlink ref="K154" location="Content!A1" display="Content" xr:uid="{00000000-0004-0000-0D00-0000C3010000}"/>
    <hyperlink ref="A155" r:id="rId299" xr:uid="{00000000-0004-0000-0D00-0000C4010000}"/>
    <hyperlink ref="C155" r:id="rId300" xr:uid="{00000000-0004-0000-0D00-0000C5010000}"/>
    <hyperlink ref="K155" location="Content!A1" display="Content" xr:uid="{00000000-0004-0000-0D00-0000C6010000}"/>
    <hyperlink ref="A156" r:id="rId301" xr:uid="{00000000-0004-0000-0D00-0000C7010000}"/>
    <hyperlink ref="C156" r:id="rId302" xr:uid="{00000000-0004-0000-0D00-0000C8010000}"/>
    <hyperlink ref="K156" location="Content!A1" display="Content" xr:uid="{00000000-0004-0000-0D00-0000C9010000}"/>
    <hyperlink ref="A157" r:id="rId303" xr:uid="{00000000-0004-0000-0D00-0000CA010000}"/>
    <hyperlink ref="C157" r:id="rId304" xr:uid="{00000000-0004-0000-0D00-0000CB010000}"/>
    <hyperlink ref="K157" location="Content!A1" display="Content" xr:uid="{00000000-0004-0000-0D00-0000CC010000}"/>
    <hyperlink ref="A158" r:id="rId305" xr:uid="{00000000-0004-0000-0D00-0000CD010000}"/>
    <hyperlink ref="C158" r:id="rId306" xr:uid="{00000000-0004-0000-0D00-0000CE010000}"/>
    <hyperlink ref="K158" location="Content!A1" display="Content" xr:uid="{00000000-0004-0000-0D00-0000CF010000}"/>
    <hyperlink ref="A159" r:id="rId307" xr:uid="{00000000-0004-0000-0D00-0000D0010000}"/>
    <hyperlink ref="C159" r:id="rId308" xr:uid="{00000000-0004-0000-0D00-0000D1010000}"/>
    <hyperlink ref="K159" location="Content!A1" display="Content" xr:uid="{00000000-0004-0000-0D00-0000D2010000}"/>
    <hyperlink ref="A160" r:id="rId309" xr:uid="{00000000-0004-0000-0D00-0000D3010000}"/>
    <hyperlink ref="C160" r:id="rId310" xr:uid="{00000000-0004-0000-0D00-0000D4010000}"/>
    <hyperlink ref="K160" location="Content!A1" display="Content" xr:uid="{00000000-0004-0000-0D00-0000D5010000}"/>
    <hyperlink ref="A161" r:id="rId311" xr:uid="{00000000-0004-0000-0D00-0000D6010000}"/>
    <hyperlink ref="C161" r:id="rId312" xr:uid="{00000000-0004-0000-0D00-0000D7010000}"/>
    <hyperlink ref="K161" location="Content!A1" display="Content" xr:uid="{00000000-0004-0000-0D00-0000D8010000}"/>
    <hyperlink ref="A162" r:id="rId313" xr:uid="{00000000-0004-0000-0D00-0000D9010000}"/>
    <hyperlink ref="C162" r:id="rId314" xr:uid="{00000000-0004-0000-0D00-0000DA010000}"/>
    <hyperlink ref="K162" location="Content!A1" display="Content" xr:uid="{00000000-0004-0000-0D00-0000DB010000}"/>
    <hyperlink ref="A163" r:id="rId315" xr:uid="{00000000-0004-0000-0D00-0000DC010000}"/>
    <hyperlink ref="C163" r:id="rId316" xr:uid="{00000000-0004-0000-0D00-0000DD010000}"/>
    <hyperlink ref="K163" location="Content!A1" display="Content" xr:uid="{00000000-0004-0000-0D00-0000DE010000}"/>
    <hyperlink ref="A164" r:id="rId317" xr:uid="{00000000-0004-0000-0D00-0000DF010000}"/>
    <hyperlink ref="C164" r:id="rId318" xr:uid="{00000000-0004-0000-0D00-0000E0010000}"/>
    <hyperlink ref="K164" location="Content!A1" display="Content" xr:uid="{00000000-0004-0000-0D00-0000E1010000}"/>
    <hyperlink ref="A165" r:id="rId319" xr:uid="{00000000-0004-0000-0D00-0000E2010000}"/>
    <hyperlink ref="C165" r:id="rId320" xr:uid="{00000000-0004-0000-0D00-0000E3010000}"/>
    <hyperlink ref="K165" location="Content!A1" display="Content" xr:uid="{00000000-0004-0000-0D00-0000E4010000}"/>
    <hyperlink ref="A166" r:id="rId321" xr:uid="{00000000-0004-0000-0D00-0000E5010000}"/>
    <hyperlink ref="C166" r:id="rId322" xr:uid="{00000000-0004-0000-0D00-0000E6010000}"/>
    <hyperlink ref="K166" location="Content!A1" display="Content" xr:uid="{00000000-0004-0000-0D00-0000E7010000}"/>
    <hyperlink ref="A167" r:id="rId323" xr:uid="{00000000-0004-0000-0D00-0000E8010000}"/>
    <hyperlink ref="C167" r:id="rId324" xr:uid="{00000000-0004-0000-0D00-0000E9010000}"/>
    <hyperlink ref="K167" location="Content!A1" display="Content" xr:uid="{00000000-0004-0000-0D00-0000EA010000}"/>
    <hyperlink ref="A168" r:id="rId325" xr:uid="{00000000-0004-0000-0D00-0000EB010000}"/>
    <hyperlink ref="C168" r:id="rId326" xr:uid="{00000000-0004-0000-0D00-0000EC010000}"/>
    <hyperlink ref="K168" location="Content!A1" display="Content" xr:uid="{00000000-0004-0000-0D00-0000ED010000}"/>
    <hyperlink ref="A169" r:id="rId327" xr:uid="{00000000-0004-0000-0D00-0000EE010000}"/>
    <hyperlink ref="C169" r:id="rId328" xr:uid="{00000000-0004-0000-0D00-0000EF010000}"/>
    <hyperlink ref="K169" location="Content!A1" display="Content" xr:uid="{00000000-0004-0000-0D00-0000F0010000}"/>
    <hyperlink ref="A170" r:id="rId329" xr:uid="{00000000-0004-0000-0D00-0000F1010000}"/>
    <hyperlink ref="C170" r:id="rId330" xr:uid="{00000000-0004-0000-0D00-0000F2010000}"/>
    <hyperlink ref="K170" location="Content!A1" display="Content" xr:uid="{00000000-0004-0000-0D00-0000F3010000}"/>
    <hyperlink ref="A171" r:id="rId331" xr:uid="{00000000-0004-0000-0D00-0000F4010000}"/>
    <hyperlink ref="C171" r:id="rId332" xr:uid="{00000000-0004-0000-0D00-0000F5010000}"/>
    <hyperlink ref="K171" location="Content!A1" display="Content" xr:uid="{00000000-0004-0000-0D00-0000F6010000}"/>
    <hyperlink ref="A172" r:id="rId333" xr:uid="{00000000-0004-0000-0D00-0000F7010000}"/>
    <hyperlink ref="C172" r:id="rId334" xr:uid="{00000000-0004-0000-0D00-0000F8010000}"/>
    <hyperlink ref="K172" location="Schema &amp; Metadata!A1" display="Schema &amp; Metadata" xr:uid="{00000000-0004-0000-0D00-0000F9010000}"/>
    <hyperlink ref="A173" r:id="rId335" xr:uid="{00000000-0004-0000-0D00-0000FA010000}"/>
    <hyperlink ref="C173" r:id="rId336" xr:uid="{00000000-0004-0000-0D00-0000FB010000}"/>
    <hyperlink ref="K173" location="Schema &amp; Metadata!A1" display="Schema &amp; Metadata" xr:uid="{00000000-0004-0000-0D00-0000FC010000}"/>
    <hyperlink ref="A174" r:id="rId337" xr:uid="{00000000-0004-0000-0D00-0000FD010000}"/>
    <hyperlink ref="C174" r:id="rId338" xr:uid="{00000000-0004-0000-0D00-0000FE010000}"/>
    <hyperlink ref="K174" location="Schema &amp; Metadata!A1" display="Schema &amp; Metadata" xr:uid="{00000000-0004-0000-0D00-0000FF010000}"/>
    <hyperlink ref="A175" r:id="rId339" xr:uid="{00000000-0004-0000-0D00-000000020000}"/>
    <hyperlink ref="C175" r:id="rId340" xr:uid="{00000000-0004-0000-0D00-000001020000}"/>
    <hyperlink ref="K175" location="Schema &amp; Metadata!A1" display="Schema &amp; Metadata" xr:uid="{00000000-0004-0000-0D00-000002020000}"/>
    <hyperlink ref="A176" r:id="rId341" xr:uid="{00000000-0004-0000-0D00-000003020000}"/>
    <hyperlink ref="C176" r:id="rId342" xr:uid="{00000000-0004-0000-0D00-000004020000}"/>
    <hyperlink ref="K176" location="Schema &amp; Metadata!A1" display="Schema &amp; Metadata" xr:uid="{00000000-0004-0000-0D00-000005020000}"/>
    <hyperlink ref="A177" r:id="rId343" xr:uid="{00000000-0004-0000-0D00-000006020000}"/>
    <hyperlink ref="C177" r:id="rId344" xr:uid="{00000000-0004-0000-0D00-000007020000}"/>
    <hyperlink ref="K177" location="Schema &amp; Metadata!A1" display="Schema &amp; Metadata" xr:uid="{00000000-0004-0000-0D00-000008020000}"/>
    <hyperlink ref="A178" r:id="rId345" xr:uid="{00000000-0004-0000-0D00-000009020000}"/>
    <hyperlink ref="C178" r:id="rId346" xr:uid="{00000000-0004-0000-0D00-00000A020000}"/>
    <hyperlink ref="K178" location="Schema &amp; Metadata!A1" display="Schema &amp; Metadata" xr:uid="{00000000-0004-0000-0D00-00000B020000}"/>
    <hyperlink ref="A179" r:id="rId347" xr:uid="{00000000-0004-0000-0D00-00000C020000}"/>
    <hyperlink ref="C179" r:id="rId348" xr:uid="{00000000-0004-0000-0D00-00000D020000}"/>
    <hyperlink ref="K179" location="Schema &amp; Metadata!A1" display="Schema &amp; Metadata" xr:uid="{00000000-0004-0000-0D00-00000E020000}"/>
    <hyperlink ref="A180" r:id="rId349" xr:uid="{00000000-0004-0000-0D00-00000F020000}"/>
    <hyperlink ref="C180" r:id="rId350" xr:uid="{00000000-0004-0000-0D00-000010020000}"/>
    <hyperlink ref="K180" location="Schema &amp; Metadata!A1" display="Schema &amp; Metadata" xr:uid="{00000000-0004-0000-0D00-000011020000}"/>
    <hyperlink ref="A181" r:id="rId351" xr:uid="{00000000-0004-0000-0D00-000012020000}"/>
    <hyperlink ref="C181" r:id="rId352" xr:uid="{00000000-0004-0000-0D00-000013020000}"/>
    <hyperlink ref="K181" location="Schema &amp; Metadata!A1" display="Schema &amp; Metadata" xr:uid="{00000000-0004-0000-0D00-000014020000}"/>
    <hyperlink ref="A182" r:id="rId353" xr:uid="{00000000-0004-0000-0D00-000015020000}"/>
    <hyperlink ref="C182" r:id="rId354" xr:uid="{00000000-0004-0000-0D00-000016020000}"/>
    <hyperlink ref="K182" location="Schema &amp; Metadata!A1" display="Schema &amp; Metadata" xr:uid="{00000000-0004-0000-0D00-000017020000}"/>
    <hyperlink ref="A183" r:id="rId355" xr:uid="{00000000-0004-0000-0D00-000018020000}"/>
    <hyperlink ref="C183" r:id="rId356" xr:uid="{00000000-0004-0000-0D00-000019020000}"/>
    <hyperlink ref="K183" location="Schema &amp; Metadata!A1" display="Schema &amp; Metadata" xr:uid="{00000000-0004-0000-0D00-00001A020000}"/>
    <hyperlink ref="A184" r:id="rId357" xr:uid="{00000000-0004-0000-0D00-00001B020000}"/>
    <hyperlink ref="C184" r:id="rId358" xr:uid="{00000000-0004-0000-0D00-00001C020000}"/>
    <hyperlink ref="K184" location="Schema &amp; Metadata!A1" display="Schema &amp; Metadata" xr:uid="{00000000-0004-0000-0D00-00001D020000}"/>
    <hyperlink ref="A185" r:id="rId359" xr:uid="{00000000-0004-0000-0D00-00001E020000}"/>
    <hyperlink ref="C185" r:id="rId360" xr:uid="{00000000-0004-0000-0D00-00001F020000}"/>
    <hyperlink ref="K185" location="Schema &amp; Metadata!A1" display="Schema &amp; Metadata" xr:uid="{00000000-0004-0000-0D00-000020020000}"/>
    <hyperlink ref="A186" r:id="rId361" xr:uid="{00000000-0004-0000-0D00-000021020000}"/>
    <hyperlink ref="C186" r:id="rId362" xr:uid="{00000000-0004-0000-0D00-000022020000}"/>
    <hyperlink ref="K186" location="Schema &amp; Metadata!A1" display="Schema &amp; Metadata" xr:uid="{00000000-0004-0000-0D00-000023020000}"/>
    <hyperlink ref="A187" r:id="rId363" xr:uid="{00000000-0004-0000-0D00-000024020000}"/>
    <hyperlink ref="C187" r:id="rId364" xr:uid="{00000000-0004-0000-0D00-000025020000}"/>
    <hyperlink ref="K187" location="Schema &amp; Metadata!A1" display="Schema &amp; Metadata" xr:uid="{00000000-0004-0000-0D00-000026020000}"/>
    <hyperlink ref="A188" r:id="rId365" xr:uid="{00000000-0004-0000-0D00-000027020000}"/>
    <hyperlink ref="C188" r:id="rId366" xr:uid="{00000000-0004-0000-0D00-000028020000}"/>
    <hyperlink ref="K188" location="Schema &amp; Metadata!A1" display="Schema &amp; Metadata" xr:uid="{00000000-0004-0000-0D00-000029020000}"/>
    <hyperlink ref="A189" r:id="rId367" xr:uid="{00000000-0004-0000-0D00-00002A020000}"/>
    <hyperlink ref="C189" r:id="rId368" xr:uid="{00000000-0004-0000-0D00-00002B020000}"/>
    <hyperlink ref="K189" location="Schema &amp; Metadata!A1" display="Schema &amp; Metadata" xr:uid="{00000000-0004-0000-0D00-00002C020000}"/>
    <hyperlink ref="A190" r:id="rId369" xr:uid="{00000000-0004-0000-0D00-00002D020000}"/>
    <hyperlink ref="C190" r:id="rId370" xr:uid="{00000000-0004-0000-0D00-00002E020000}"/>
    <hyperlink ref="K190" location="Schema &amp; Metadata!A1" display="Schema &amp; Metadata" xr:uid="{00000000-0004-0000-0D00-00002F020000}"/>
    <hyperlink ref="A191" r:id="rId371" xr:uid="{00000000-0004-0000-0D00-000030020000}"/>
    <hyperlink ref="C191" r:id="rId372" xr:uid="{00000000-0004-0000-0D00-000031020000}"/>
    <hyperlink ref="K191" location="Schema &amp; Metadata!A1" display="Schema &amp; Metadata" xr:uid="{00000000-0004-0000-0D00-000032020000}"/>
    <hyperlink ref="A192" r:id="rId373" xr:uid="{00000000-0004-0000-0D00-000033020000}"/>
    <hyperlink ref="C192" r:id="rId374" xr:uid="{00000000-0004-0000-0D00-000034020000}"/>
    <hyperlink ref="K192" location="Schema &amp; Metadata!A1" display="Schema &amp; Metadata" xr:uid="{00000000-0004-0000-0D00-000035020000}"/>
    <hyperlink ref="A193" r:id="rId375" xr:uid="{00000000-0004-0000-0D00-000036020000}"/>
    <hyperlink ref="C193" r:id="rId376" xr:uid="{00000000-0004-0000-0D00-000037020000}"/>
    <hyperlink ref="K193" location="Schema &amp; Metadata!A1" display="Schema &amp; Metadata" xr:uid="{00000000-0004-0000-0D00-000038020000}"/>
    <hyperlink ref="A194" r:id="rId377" xr:uid="{00000000-0004-0000-0D00-000039020000}"/>
    <hyperlink ref="C194" r:id="rId378" xr:uid="{00000000-0004-0000-0D00-00003A020000}"/>
    <hyperlink ref="K194" location="Schema &amp; Metadata!A1" display="Schema &amp; Metadata" xr:uid="{00000000-0004-0000-0D00-00003B020000}"/>
    <hyperlink ref="A195" r:id="rId379" xr:uid="{00000000-0004-0000-0D00-00003C020000}"/>
    <hyperlink ref="C195" r:id="rId380" xr:uid="{00000000-0004-0000-0D00-00003D020000}"/>
    <hyperlink ref="K195" location="Schema &amp; Metadata!A1" display="Schema &amp; Metadata" xr:uid="{00000000-0004-0000-0D00-00003E020000}"/>
    <hyperlink ref="A196" r:id="rId381" xr:uid="{00000000-0004-0000-0D00-00003F020000}"/>
    <hyperlink ref="C196" r:id="rId382" xr:uid="{00000000-0004-0000-0D00-000040020000}"/>
    <hyperlink ref="K196" location="Schema &amp; Metadata!A1" display="Schema &amp; Metadata" xr:uid="{00000000-0004-0000-0D00-000041020000}"/>
    <hyperlink ref="A197" r:id="rId383" xr:uid="{00000000-0004-0000-0D00-000042020000}"/>
    <hyperlink ref="K197" location="Schema &amp; Metadata!A1" display="Schema &amp; Metadata" xr:uid="{00000000-0004-0000-0D00-000043020000}"/>
    <hyperlink ref="A198" r:id="rId384" xr:uid="{00000000-0004-0000-0D00-000044020000}"/>
    <hyperlink ref="C198" r:id="rId385" xr:uid="{00000000-0004-0000-0D00-000045020000}"/>
    <hyperlink ref="K198" location="Schema &amp; Metadata!A1" display="Schema &amp; Metadata" xr:uid="{00000000-0004-0000-0D00-000046020000}"/>
    <hyperlink ref="A199" r:id="rId386" xr:uid="{00000000-0004-0000-0D00-000047020000}"/>
    <hyperlink ref="C199" r:id="rId387" xr:uid="{00000000-0004-0000-0D00-000048020000}"/>
    <hyperlink ref="K199" location="Schema &amp; Metadata!A1" display="Schema &amp; Metadata" xr:uid="{00000000-0004-0000-0D00-000049020000}"/>
    <hyperlink ref="A200" r:id="rId388" xr:uid="{00000000-0004-0000-0D00-00004A020000}"/>
    <hyperlink ref="C200" r:id="rId389" xr:uid="{00000000-0004-0000-0D00-00004B020000}"/>
    <hyperlink ref="K200" location="Schema &amp; Metadata!A1" display="Schema &amp; Metadata" xr:uid="{00000000-0004-0000-0D00-00004C020000}"/>
    <hyperlink ref="A201" r:id="rId390" xr:uid="{00000000-0004-0000-0D00-00004D020000}"/>
    <hyperlink ref="C201" r:id="rId391" xr:uid="{00000000-0004-0000-0D00-00004E020000}"/>
    <hyperlink ref="K201" location="Schema &amp; Metadata!A1" display="Schema &amp; Metadata" xr:uid="{00000000-0004-0000-0D00-00004F020000}"/>
    <hyperlink ref="A202" r:id="rId392" xr:uid="{00000000-0004-0000-0D00-000050020000}"/>
    <hyperlink ref="C202" r:id="rId393" xr:uid="{00000000-0004-0000-0D00-000051020000}"/>
    <hyperlink ref="K202" location="Schema &amp; Metadata!A1" display="Schema &amp; Metadata" xr:uid="{00000000-0004-0000-0D00-000052020000}"/>
    <hyperlink ref="A203" r:id="rId394" xr:uid="{00000000-0004-0000-0D00-000053020000}"/>
    <hyperlink ref="C203" r:id="rId395" xr:uid="{00000000-0004-0000-0D00-000054020000}"/>
    <hyperlink ref="K203" location="Schema &amp; Metadata!A1" display="Schema &amp; Metadata" xr:uid="{00000000-0004-0000-0D00-000055020000}"/>
    <hyperlink ref="A204" r:id="rId396" xr:uid="{00000000-0004-0000-0D00-000056020000}"/>
    <hyperlink ref="C204" r:id="rId397" xr:uid="{00000000-0004-0000-0D00-000057020000}"/>
    <hyperlink ref="K204" location="Schema &amp; Metadata!A1" display="Schema &amp; Metadata" xr:uid="{00000000-0004-0000-0D00-000058020000}"/>
    <hyperlink ref="A205" r:id="rId398" xr:uid="{00000000-0004-0000-0D00-000059020000}"/>
    <hyperlink ref="C205" r:id="rId399" xr:uid="{00000000-0004-0000-0D00-00005A020000}"/>
    <hyperlink ref="K205" location="Schema &amp; Metadata!A1" display="Schema &amp; Metadata" xr:uid="{00000000-0004-0000-0D00-00005B020000}"/>
    <hyperlink ref="A206" r:id="rId400" xr:uid="{00000000-0004-0000-0D00-00005C020000}"/>
    <hyperlink ref="C206" r:id="rId401" xr:uid="{00000000-0004-0000-0D00-00005D020000}"/>
    <hyperlink ref="K206" location="Schema &amp; Metadata!A1" display="Schema &amp; Metadata" xr:uid="{00000000-0004-0000-0D00-00005E020000}"/>
    <hyperlink ref="A207" r:id="rId402" xr:uid="{00000000-0004-0000-0D00-00005F020000}"/>
    <hyperlink ref="C207" r:id="rId403" xr:uid="{00000000-0004-0000-0D00-000060020000}"/>
    <hyperlink ref="K207" location="Schema &amp; Metadata!A1" display="Schema &amp; Metadata" xr:uid="{00000000-0004-0000-0D00-000061020000}"/>
    <hyperlink ref="A208" r:id="rId404" xr:uid="{00000000-0004-0000-0D00-000062020000}"/>
    <hyperlink ref="C208" r:id="rId405" xr:uid="{00000000-0004-0000-0D00-000063020000}"/>
    <hyperlink ref="K208" location="Schema &amp; Metadata!A1" display="Schema &amp; Metadata" xr:uid="{00000000-0004-0000-0D00-000064020000}"/>
    <hyperlink ref="A209" r:id="rId406" xr:uid="{00000000-0004-0000-0D00-000065020000}"/>
    <hyperlink ref="C209" r:id="rId407" xr:uid="{00000000-0004-0000-0D00-000066020000}"/>
    <hyperlink ref="K209" location="Schema &amp; Metadata!A1" display="Schema &amp; Metadata" xr:uid="{00000000-0004-0000-0D00-000067020000}"/>
    <hyperlink ref="A210" r:id="rId408" xr:uid="{00000000-0004-0000-0D00-000068020000}"/>
    <hyperlink ref="K210" location="Schema &amp; Metadata!A1" display="Schema &amp; Metadata" xr:uid="{00000000-0004-0000-0D00-000069020000}"/>
    <hyperlink ref="A211" r:id="rId409" xr:uid="{00000000-0004-0000-0D00-00006A020000}"/>
    <hyperlink ref="C211" r:id="rId410" xr:uid="{00000000-0004-0000-0D00-00006B020000}"/>
    <hyperlink ref="K211" location="Schema &amp; Metadata!A1" display="Schema &amp; Metadata" xr:uid="{00000000-0004-0000-0D00-00006C020000}"/>
    <hyperlink ref="A212" r:id="rId411" xr:uid="{00000000-0004-0000-0D00-00006D020000}"/>
    <hyperlink ref="C212" r:id="rId412" xr:uid="{00000000-0004-0000-0D00-00006E020000}"/>
    <hyperlink ref="K212" location="Schema &amp; Metadata!A1" display="Schema &amp; Metadata" xr:uid="{00000000-0004-0000-0D00-00006F020000}"/>
    <hyperlink ref="A213" r:id="rId413" xr:uid="{00000000-0004-0000-0D00-000070020000}"/>
    <hyperlink ref="C213" r:id="rId414" xr:uid="{00000000-0004-0000-0D00-000071020000}"/>
    <hyperlink ref="K213" location="Schema &amp; Metadata!A1" display="Schema &amp; Metadata" xr:uid="{00000000-0004-0000-0D00-000072020000}"/>
    <hyperlink ref="A214" r:id="rId415" xr:uid="{00000000-0004-0000-0D00-000073020000}"/>
    <hyperlink ref="C214" r:id="rId416" xr:uid="{00000000-0004-0000-0D00-000074020000}"/>
    <hyperlink ref="K214" location="Schema &amp; Metadata!A1" display="Schema &amp; Metadata" xr:uid="{00000000-0004-0000-0D00-000075020000}"/>
    <hyperlink ref="A215" r:id="rId417" xr:uid="{00000000-0004-0000-0D00-000076020000}"/>
    <hyperlink ref="C215" r:id="rId418" xr:uid="{00000000-0004-0000-0D00-000077020000}"/>
    <hyperlink ref="K215" location="Schema &amp; Metadata!A1" display="Schema &amp; Metadata" xr:uid="{00000000-0004-0000-0D00-000078020000}"/>
    <hyperlink ref="A216" r:id="rId419" xr:uid="{00000000-0004-0000-0D00-000079020000}"/>
    <hyperlink ref="C216" r:id="rId420" xr:uid="{00000000-0004-0000-0D00-00007A020000}"/>
    <hyperlink ref="K216" location="Schema &amp; Metadata!A1" display="Schema &amp; Metadata" xr:uid="{00000000-0004-0000-0D00-00007B020000}"/>
    <hyperlink ref="A217" r:id="rId421" xr:uid="{00000000-0004-0000-0D00-00007C020000}"/>
    <hyperlink ref="C217" r:id="rId422" xr:uid="{00000000-0004-0000-0D00-00007D020000}"/>
    <hyperlink ref="K217" location="Schema &amp; Metadata!A1" display="Schema &amp; Metadata" xr:uid="{00000000-0004-0000-0D00-00007E020000}"/>
    <hyperlink ref="A218" r:id="rId423" xr:uid="{00000000-0004-0000-0D00-00007F020000}"/>
    <hyperlink ref="C218" r:id="rId424" xr:uid="{00000000-0004-0000-0D00-000080020000}"/>
    <hyperlink ref="K218" location="Schema &amp; Metadata!A1" display="Schema &amp; Metadata" xr:uid="{00000000-0004-0000-0D00-000081020000}"/>
    <hyperlink ref="A219" r:id="rId425" xr:uid="{00000000-0004-0000-0D00-000082020000}"/>
    <hyperlink ref="C219" r:id="rId426" xr:uid="{00000000-0004-0000-0D00-000083020000}"/>
    <hyperlink ref="K219" location="Schema &amp; Metadata!A1" display="Schema &amp; Metadata" xr:uid="{00000000-0004-0000-0D00-000084020000}"/>
    <hyperlink ref="A220" r:id="rId427" xr:uid="{00000000-0004-0000-0D00-000085020000}"/>
    <hyperlink ref="C220" r:id="rId428" xr:uid="{00000000-0004-0000-0D00-000086020000}"/>
    <hyperlink ref="K220" location="Schema &amp; Metadata!A1" display="Schema &amp; Metadata" xr:uid="{00000000-0004-0000-0D00-000087020000}"/>
    <hyperlink ref="A221" r:id="rId429" xr:uid="{00000000-0004-0000-0D00-000088020000}"/>
    <hyperlink ref="C221" r:id="rId430" xr:uid="{00000000-0004-0000-0D00-000089020000}"/>
    <hyperlink ref="K221" location="Schema &amp; Metadata!A1" display="Schema &amp; Metadata" xr:uid="{00000000-0004-0000-0D00-00008A020000}"/>
    <hyperlink ref="A222" r:id="rId431" xr:uid="{00000000-0004-0000-0D00-00008B020000}"/>
    <hyperlink ref="C222" r:id="rId432" xr:uid="{00000000-0004-0000-0D00-00008C020000}"/>
    <hyperlink ref="K222" location="Schema &amp; Metadata!A1" display="Schema &amp; Metadata" xr:uid="{00000000-0004-0000-0D00-00008D020000}"/>
    <hyperlink ref="A223" r:id="rId433" xr:uid="{00000000-0004-0000-0D00-00008E020000}"/>
    <hyperlink ref="C223" r:id="rId434" xr:uid="{00000000-0004-0000-0D00-00008F020000}"/>
    <hyperlink ref="K223" location="Schema &amp; Metadata!A1" display="Schema &amp; Metadata" xr:uid="{00000000-0004-0000-0D00-000090020000}"/>
    <hyperlink ref="A224" r:id="rId435" xr:uid="{00000000-0004-0000-0D00-000091020000}"/>
    <hyperlink ref="C224" r:id="rId436" xr:uid="{00000000-0004-0000-0D00-000092020000}"/>
    <hyperlink ref="K224" location="Schema &amp; Metadata!A1" display="Schema &amp; Metadata" xr:uid="{00000000-0004-0000-0D00-000093020000}"/>
    <hyperlink ref="A225" r:id="rId437" xr:uid="{00000000-0004-0000-0D00-000094020000}"/>
    <hyperlink ref="C225" r:id="rId438" xr:uid="{00000000-0004-0000-0D00-000095020000}"/>
    <hyperlink ref="K225" location="Schema &amp; Metadata!A1" display="Schema &amp; Metadata" xr:uid="{00000000-0004-0000-0D00-000096020000}"/>
    <hyperlink ref="A226" r:id="rId439" xr:uid="{00000000-0004-0000-0D00-000097020000}"/>
    <hyperlink ref="C226" r:id="rId440" xr:uid="{00000000-0004-0000-0D00-000098020000}"/>
    <hyperlink ref="K226" location="Schema &amp; Metadata!A1" display="Schema &amp; Metadata" xr:uid="{00000000-0004-0000-0D00-000099020000}"/>
    <hyperlink ref="A227" r:id="rId441" xr:uid="{00000000-0004-0000-0D00-00009A020000}"/>
    <hyperlink ref="C227" r:id="rId442" xr:uid="{00000000-0004-0000-0D00-00009B020000}"/>
    <hyperlink ref="K227" location="Schema &amp; Metadata!A1" display="Schema &amp; Metadata" xr:uid="{00000000-0004-0000-0D00-00009C020000}"/>
    <hyperlink ref="A228" r:id="rId443" xr:uid="{00000000-0004-0000-0D00-00009D020000}"/>
    <hyperlink ref="C228" r:id="rId444" xr:uid="{00000000-0004-0000-0D00-00009E020000}"/>
    <hyperlink ref="K228" location="Schema &amp; Metadata!A1" display="Schema &amp; Metadata" xr:uid="{00000000-0004-0000-0D00-00009F020000}"/>
    <hyperlink ref="A229" r:id="rId445" xr:uid="{00000000-0004-0000-0D00-0000A0020000}"/>
    <hyperlink ref="C229" r:id="rId446" xr:uid="{00000000-0004-0000-0D00-0000A1020000}"/>
    <hyperlink ref="K229" location="Schema &amp; Metadata!A1" display="Schema &amp; Metadata" xr:uid="{00000000-0004-0000-0D00-0000A2020000}"/>
    <hyperlink ref="A230" r:id="rId447" xr:uid="{00000000-0004-0000-0D00-0000A3020000}"/>
    <hyperlink ref="C230" r:id="rId448" xr:uid="{00000000-0004-0000-0D00-0000A4020000}"/>
    <hyperlink ref="K230" location="Schema &amp; Metadata!A1" display="Schema &amp; Metadata" xr:uid="{00000000-0004-0000-0D00-0000A5020000}"/>
    <hyperlink ref="A231" r:id="rId449" xr:uid="{00000000-0004-0000-0D00-0000A6020000}"/>
    <hyperlink ref="C231" r:id="rId450" xr:uid="{00000000-0004-0000-0D00-0000A7020000}"/>
    <hyperlink ref="K231" location="Schema &amp; Metadata!A1" display="Schema &amp; Metadata" xr:uid="{00000000-0004-0000-0D00-0000A8020000}"/>
    <hyperlink ref="A232" r:id="rId451" xr:uid="{00000000-0004-0000-0D00-0000A9020000}"/>
    <hyperlink ref="C232" r:id="rId452" xr:uid="{00000000-0004-0000-0D00-0000AA020000}"/>
    <hyperlink ref="K232" location="Schema &amp; Metadata!A1" display="Schema &amp; Metadata" xr:uid="{00000000-0004-0000-0D00-0000AB020000}"/>
    <hyperlink ref="A233" r:id="rId453" xr:uid="{00000000-0004-0000-0D00-0000AC020000}"/>
    <hyperlink ref="C233" r:id="rId454" xr:uid="{00000000-0004-0000-0D00-0000AD020000}"/>
    <hyperlink ref="K233" location="Schema &amp; Metadata!A1" display="Schema &amp; Metadata" xr:uid="{00000000-0004-0000-0D00-0000AE020000}"/>
    <hyperlink ref="A234" r:id="rId455" xr:uid="{00000000-0004-0000-0D00-0000AF020000}"/>
    <hyperlink ref="C234" r:id="rId456" xr:uid="{00000000-0004-0000-0D00-0000B0020000}"/>
    <hyperlink ref="K234" location="Schema &amp; Metadata!A1" display="Schema &amp; Metadata" xr:uid="{00000000-0004-0000-0D00-0000B1020000}"/>
    <hyperlink ref="A235" r:id="rId457" xr:uid="{00000000-0004-0000-0D00-0000B2020000}"/>
    <hyperlink ref="C235" r:id="rId458" xr:uid="{00000000-0004-0000-0D00-0000B3020000}"/>
    <hyperlink ref="K235" location="Schema &amp; Metadata!A1" display="Schema &amp; Metadata" xr:uid="{00000000-0004-0000-0D00-0000B4020000}"/>
    <hyperlink ref="A236" r:id="rId459" xr:uid="{00000000-0004-0000-0D00-0000B5020000}"/>
    <hyperlink ref="C236" r:id="rId460" xr:uid="{00000000-0004-0000-0D00-0000B6020000}"/>
    <hyperlink ref="K236" location="Schema &amp; Metadata!A1" display="Schema &amp; Metadata" xr:uid="{00000000-0004-0000-0D00-0000B7020000}"/>
    <hyperlink ref="A237" r:id="rId461" xr:uid="{00000000-0004-0000-0D00-0000B8020000}"/>
    <hyperlink ref="C237" r:id="rId462" xr:uid="{00000000-0004-0000-0D00-0000B9020000}"/>
    <hyperlink ref="K237" location="Schema &amp; Metadata!A1" display="Schema &amp; Metadata" xr:uid="{00000000-0004-0000-0D00-0000BA020000}"/>
    <hyperlink ref="A238" r:id="rId463" xr:uid="{00000000-0004-0000-0D00-0000BB020000}"/>
    <hyperlink ref="C238" r:id="rId464" xr:uid="{00000000-0004-0000-0D00-0000BC020000}"/>
    <hyperlink ref="K238" location="Schema &amp; Metadata!A1" display="Schema &amp; Metadata" xr:uid="{00000000-0004-0000-0D00-0000BD020000}"/>
    <hyperlink ref="A239" r:id="rId465" xr:uid="{00000000-0004-0000-0D00-0000BE020000}"/>
    <hyperlink ref="C239" r:id="rId466" xr:uid="{00000000-0004-0000-0D00-0000BF020000}"/>
    <hyperlink ref="K239" location="Schema &amp; Metadata!A1" display="Schema &amp; Metadata" xr:uid="{00000000-0004-0000-0D00-0000C0020000}"/>
    <hyperlink ref="A240" r:id="rId467" xr:uid="{00000000-0004-0000-0D00-0000C1020000}"/>
    <hyperlink ref="C240" r:id="rId468" xr:uid="{00000000-0004-0000-0D00-0000C2020000}"/>
    <hyperlink ref="K240" location="Schema &amp; Metadata!A1" display="Schema &amp; Metadata" xr:uid="{00000000-0004-0000-0D00-0000C3020000}"/>
    <hyperlink ref="A241" r:id="rId469" xr:uid="{00000000-0004-0000-0D00-0000C4020000}"/>
    <hyperlink ref="C241" r:id="rId470" xr:uid="{00000000-0004-0000-0D00-0000C5020000}"/>
    <hyperlink ref="K241" location="Schema &amp; Metadata!A1" display="Schema &amp; Metadata" xr:uid="{00000000-0004-0000-0D00-0000C6020000}"/>
    <hyperlink ref="A242" r:id="rId471" xr:uid="{00000000-0004-0000-0D00-0000C7020000}"/>
    <hyperlink ref="C242" r:id="rId472" xr:uid="{00000000-0004-0000-0D00-0000C8020000}"/>
    <hyperlink ref="K242" location="Schema &amp; Metadata!A1" display="Schema &amp; Metadata" xr:uid="{00000000-0004-0000-0D00-0000C9020000}"/>
    <hyperlink ref="A243" r:id="rId473" xr:uid="{00000000-0004-0000-0D00-0000CA020000}"/>
    <hyperlink ref="C243" r:id="rId474" xr:uid="{00000000-0004-0000-0D00-0000CB020000}"/>
    <hyperlink ref="K243" location="Schema &amp; Metadata!A1" display="Schema &amp; Metadata" xr:uid="{00000000-0004-0000-0D00-0000CC020000}"/>
    <hyperlink ref="A244" r:id="rId475" xr:uid="{00000000-0004-0000-0D00-0000CD020000}"/>
    <hyperlink ref="C244" r:id="rId476" xr:uid="{00000000-0004-0000-0D00-0000CE020000}"/>
    <hyperlink ref="K244" location="Schema &amp; Metadata!A1" display="Schema &amp; Metadata" xr:uid="{00000000-0004-0000-0D00-0000CF020000}"/>
    <hyperlink ref="A245" r:id="rId477" xr:uid="{00000000-0004-0000-0D00-0000D0020000}"/>
    <hyperlink ref="C245" r:id="rId478" xr:uid="{00000000-0004-0000-0D00-0000D1020000}"/>
    <hyperlink ref="K245" location="Schema &amp; Metadata!A1" display="Schema &amp; Metadata" xr:uid="{00000000-0004-0000-0D00-0000D2020000}"/>
    <hyperlink ref="A246" r:id="rId479" xr:uid="{00000000-0004-0000-0D00-0000D3020000}"/>
    <hyperlink ref="C246" r:id="rId480" xr:uid="{00000000-0004-0000-0D00-0000D4020000}"/>
    <hyperlink ref="K246" location="Schema &amp; Metadata!A1" display="Schema &amp; Metadata" xr:uid="{00000000-0004-0000-0D00-0000D5020000}"/>
    <hyperlink ref="A247" r:id="rId481" xr:uid="{00000000-0004-0000-0D00-0000D6020000}"/>
    <hyperlink ref="C247" r:id="rId482" xr:uid="{00000000-0004-0000-0D00-0000D7020000}"/>
    <hyperlink ref="K247" location="Schema &amp; Metadata!A1" display="Schema &amp; Metadata" xr:uid="{00000000-0004-0000-0D00-0000D8020000}"/>
    <hyperlink ref="A248" r:id="rId483" xr:uid="{00000000-0004-0000-0D00-0000D9020000}"/>
    <hyperlink ref="C248" r:id="rId484" xr:uid="{00000000-0004-0000-0D00-0000DA020000}"/>
    <hyperlink ref="K248" location="Schema &amp; Metadata!A1" display="Schema &amp; Metadata" xr:uid="{00000000-0004-0000-0D00-0000DB020000}"/>
    <hyperlink ref="A249" r:id="rId485" xr:uid="{00000000-0004-0000-0D00-0000DC020000}"/>
    <hyperlink ref="C249" r:id="rId486" xr:uid="{00000000-0004-0000-0D00-0000DD020000}"/>
    <hyperlink ref="K249" location="Schema &amp; Metadata!A1" display="Schema &amp; Metadata" xr:uid="{00000000-0004-0000-0D00-0000DE020000}"/>
    <hyperlink ref="A250" r:id="rId487" xr:uid="{00000000-0004-0000-0D00-0000DF020000}"/>
    <hyperlink ref="C250" r:id="rId488" xr:uid="{00000000-0004-0000-0D00-0000E0020000}"/>
    <hyperlink ref="K250" location="Schema &amp; Metadata!A1" display="Schema &amp; Metadata" xr:uid="{00000000-0004-0000-0D00-0000E1020000}"/>
    <hyperlink ref="A251" r:id="rId489" xr:uid="{00000000-0004-0000-0D00-0000E2020000}"/>
    <hyperlink ref="C251" r:id="rId490" xr:uid="{00000000-0004-0000-0D00-0000E3020000}"/>
    <hyperlink ref="K251" location="Schema &amp; Metadata!A1" display="Schema &amp; Metadata" xr:uid="{00000000-0004-0000-0D00-0000E4020000}"/>
    <hyperlink ref="A252" r:id="rId491" xr:uid="{00000000-0004-0000-0D00-0000E5020000}"/>
    <hyperlink ref="C252" r:id="rId492" xr:uid="{00000000-0004-0000-0D00-0000E6020000}"/>
    <hyperlink ref="K252" location="Schema &amp; Metadata!A1" display="Schema &amp; Metadata" xr:uid="{00000000-0004-0000-0D00-0000E7020000}"/>
    <hyperlink ref="A253" r:id="rId493" xr:uid="{00000000-0004-0000-0D00-0000E8020000}"/>
    <hyperlink ref="C253" r:id="rId494" xr:uid="{00000000-0004-0000-0D00-0000E9020000}"/>
    <hyperlink ref="K253" location="Schema &amp; Metadata!A1" display="Schema &amp; Metadata" xr:uid="{00000000-0004-0000-0D00-0000EA020000}"/>
    <hyperlink ref="A254" r:id="rId495" xr:uid="{00000000-0004-0000-0D00-0000EB020000}"/>
    <hyperlink ref="C254" r:id="rId496" xr:uid="{00000000-0004-0000-0D00-0000EC020000}"/>
    <hyperlink ref="K254" location="Schema &amp; Metadata!A1" display="Schema &amp; Metadata" xr:uid="{00000000-0004-0000-0D00-0000ED020000}"/>
    <hyperlink ref="A255" r:id="rId497" xr:uid="{00000000-0004-0000-0D00-0000EE020000}"/>
    <hyperlink ref="C255" r:id="rId498" xr:uid="{00000000-0004-0000-0D00-0000EF020000}"/>
    <hyperlink ref="K255" location="Schema &amp; Metadata!A1" display="Schema &amp; Metadata" xr:uid="{00000000-0004-0000-0D00-0000F0020000}"/>
    <hyperlink ref="A256" r:id="rId499" xr:uid="{00000000-0004-0000-0D00-0000F1020000}"/>
    <hyperlink ref="C256" r:id="rId500" xr:uid="{00000000-0004-0000-0D00-0000F2020000}"/>
    <hyperlink ref="K256" location="Schema &amp; Metadata!A1" display="Schema &amp; Metadata" xr:uid="{00000000-0004-0000-0D00-0000F3020000}"/>
    <hyperlink ref="A257" r:id="rId501" xr:uid="{00000000-0004-0000-0D00-0000F4020000}"/>
    <hyperlink ref="K257" location="Main!A1" display="Main" xr:uid="{00000000-0004-0000-0D00-0000F5020000}"/>
    <hyperlink ref="A258" r:id="rId502" xr:uid="{00000000-0004-0000-0D00-0000F6020000}"/>
    <hyperlink ref="K258" location="Main!A1" display="Main" xr:uid="{00000000-0004-0000-0D00-0000F7020000}"/>
    <hyperlink ref="A259" r:id="rId503" xr:uid="{00000000-0004-0000-0D00-0000F8020000}"/>
    <hyperlink ref="C259" r:id="rId504" xr:uid="{00000000-0004-0000-0D00-0000F9020000}"/>
    <hyperlink ref="K259" location="Links!A1" display="Links" xr:uid="{00000000-0004-0000-0D00-0000FA020000}"/>
    <hyperlink ref="A260" r:id="rId505" xr:uid="{00000000-0004-0000-0D00-0000FB020000}"/>
    <hyperlink ref="C260" r:id="rId506" xr:uid="{00000000-0004-0000-0D00-0000FC020000}"/>
    <hyperlink ref="K260" location="Main!A1" display="Main" xr:uid="{00000000-0004-0000-0D00-0000FD020000}"/>
    <hyperlink ref="A261" r:id="rId507" xr:uid="{00000000-0004-0000-0D00-0000FE020000}"/>
    <hyperlink ref="C261" r:id="rId508" xr:uid="{00000000-0004-0000-0D00-0000FF020000}"/>
    <hyperlink ref="K261" location="Links!A1" display="Links" xr:uid="{00000000-0004-0000-0D00-000000030000}"/>
    <hyperlink ref="A262" r:id="rId509" xr:uid="{00000000-0004-0000-0D00-000001030000}"/>
    <hyperlink ref="C262" r:id="rId510" xr:uid="{00000000-0004-0000-0D00-000002030000}"/>
    <hyperlink ref="K262" location="Main!A1" display="Main" xr:uid="{00000000-0004-0000-0D00-000003030000}"/>
    <hyperlink ref="A263" r:id="rId511" xr:uid="{00000000-0004-0000-0D00-000004030000}"/>
    <hyperlink ref="C263" r:id="rId512" xr:uid="{00000000-0004-0000-0D00-000005030000}"/>
    <hyperlink ref="K263" location="Links!A1" display="Links" xr:uid="{00000000-0004-0000-0D00-000006030000}"/>
    <hyperlink ref="A264" r:id="rId513" xr:uid="{00000000-0004-0000-0D00-000007030000}"/>
    <hyperlink ref="C264" r:id="rId514" xr:uid="{00000000-0004-0000-0D00-000008030000}"/>
    <hyperlink ref="K264" location="Main!A1" display="Main" xr:uid="{00000000-0004-0000-0D00-000009030000}"/>
    <hyperlink ref="A265" r:id="rId515" xr:uid="{00000000-0004-0000-0D00-00000A030000}"/>
    <hyperlink ref="C265" r:id="rId516" xr:uid="{00000000-0004-0000-0D00-00000B030000}"/>
    <hyperlink ref="K265" location="Links!A1" display="Links" xr:uid="{00000000-0004-0000-0D00-00000C030000}"/>
    <hyperlink ref="A266" r:id="rId517" xr:uid="{00000000-0004-0000-0D00-00000D030000}"/>
    <hyperlink ref="C266" r:id="rId518" xr:uid="{00000000-0004-0000-0D00-00000E030000}"/>
    <hyperlink ref="K266" location="Main!A1" display="Main" xr:uid="{00000000-0004-0000-0D00-00000F030000}"/>
    <hyperlink ref="A267" r:id="rId519" xr:uid="{00000000-0004-0000-0D00-000010030000}"/>
    <hyperlink ref="C267" r:id="rId520" xr:uid="{00000000-0004-0000-0D00-000011030000}"/>
    <hyperlink ref="K267" location="Links!A1" display="Links" xr:uid="{00000000-0004-0000-0D00-000012030000}"/>
    <hyperlink ref="A268" r:id="rId521" xr:uid="{00000000-0004-0000-0D00-000013030000}"/>
    <hyperlink ref="C268" r:id="rId522" xr:uid="{00000000-0004-0000-0D00-000014030000}"/>
    <hyperlink ref="K268" location="Main!A1" display="Main" xr:uid="{00000000-0004-0000-0D00-000015030000}"/>
    <hyperlink ref="A269" r:id="rId523" xr:uid="{00000000-0004-0000-0D00-000016030000}"/>
    <hyperlink ref="C269" r:id="rId524" xr:uid="{00000000-0004-0000-0D00-000017030000}"/>
    <hyperlink ref="K269" location="Links!A1" display="Links" xr:uid="{00000000-0004-0000-0D00-000018030000}"/>
    <hyperlink ref="A270" r:id="rId525" xr:uid="{00000000-0004-0000-0D00-000019030000}"/>
    <hyperlink ref="C270" r:id="rId526" xr:uid="{00000000-0004-0000-0D00-00001A030000}"/>
    <hyperlink ref="K270" location="Main!A1" display="Main" xr:uid="{00000000-0004-0000-0D00-00001B030000}"/>
    <hyperlink ref="A271" r:id="rId527" xr:uid="{00000000-0004-0000-0D00-00001C030000}"/>
    <hyperlink ref="C271" r:id="rId528" xr:uid="{00000000-0004-0000-0D00-00001D030000}"/>
    <hyperlink ref="K271" location="Links!A1" display="Links" xr:uid="{00000000-0004-0000-0D00-00001E030000}"/>
    <hyperlink ref="A272" r:id="rId529" xr:uid="{00000000-0004-0000-0D00-00001F030000}"/>
    <hyperlink ref="C272" r:id="rId530" xr:uid="{00000000-0004-0000-0D00-000020030000}"/>
    <hyperlink ref="K272" location="Main!A1" display="Main" xr:uid="{00000000-0004-0000-0D00-000021030000}"/>
    <hyperlink ref="A273" r:id="rId531" xr:uid="{00000000-0004-0000-0D00-000022030000}"/>
    <hyperlink ref="C273" r:id="rId532" xr:uid="{00000000-0004-0000-0D00-000023030000}"/>
    <hyperlink ref="K273" location="Links!A1" display="Links" xr:uid="{00000000-0004-0000-0D00-000024030000}"/>
    <hyperlink ref="A274" r:id="rId533" xr:uid="{00000000-0004-0000-0D00-000025030000}"/>
    <hyperlink ref="C274" r:id="rId534" xr:uid="{00000000-0004-0000-0D00-000026030000}"/>
    <hyperlink ref="K274" location="Links!A1" display="Links" xr:uid="{00000000-0004-0000-0D00-000027030000}"/>
    <hyperlink ref="A275" r:id="rId535" xr:uid="{00000000-0004-0000-0D00-000028030000}"/>
    <hyperlink ref="C275" r:id="rId536" xr:uid="{00000000-0004-0000-0D00-000029030000}"/>
    <hyperlink ref="K275" location="Main!A1" display="Main" xr:uid="{00000000-0004-0000-0D00-00002A030000}"/>
    <hyperlink ref="A276" r:id="rId537" xr:uid="{00000000-0004-0000-0D00-00002B030000}"/>
    <hyperlink ref="C276" r:id="rId538" xr:uid="{00000000-0004-0000-0D00-00002C030000}"/>
    <hyperlink ref="K276" location="Links!A1" display="Links" xr:uid="{00000000-0004-0000-0D00-00002D030000}"/>
    <hyperlink ref="A277" r:id="rId539" xr:uid="{00000000-0004-0000-0D00-00002E030000}"/>
    <hyperlink ref="C277" r:id="rId540" xr:uid="{00000000-0004-0000-0D00-00002F030000}"/>
    <hyperlink ref="K277" location="Main!A1" display="Main" xr:uid="{00000000-0004-0000-0D00-000030030000}"/>
    <hyperlink ref="A278" r:id="rId541" xr:uid="{00000000-0004-0000-0D00-000031030000}"/>
    <hyperlink ref="C278" r:id="rId542" xr:uid="{00000000-0004-0000-0D00-000032030000}"/>
    <hyperlink ref="K278" location="Links!A1" display="Links" xr:uid="{00000000-0004-0000-0D00-000033030000}"/>
    <hyperlink ref="A279" r:id="rId543" xr:uid="{00000000-0004-0000-0D00-000034030000}"/>
    <hyperlink ref="C279" r:id="rId544" xr:uid="{00000000-0004-0000-0D00-000035030000}"/>
    <hyperlink ref="K279" location="Main!A1" display="Main" xr:uid="{00000000-0004-0000-0D00-000036030000}"/>
    <hyperlink ref="A280" r:id="rId545" xr:uid="{00000000-0004-0000-0D00-000037030000}"/>
    <hyperlink ref="C280" r:id="rId546" xr:uid="{00000000-0004-0000-0D00-000038030000}"/>
    <hyperlink ref="K280" location="Links!A1" display="Links" xr:uid="{00000000-0004-0000-0D00-000039030000}"/>
    <hyperlink ref="A281" r:id="rId547" xr:uid="{00000000-0004-0000-0D00-00003A030000}"/>
    <hyperlink ref="C281" r:id="rId548" xr:uid="{00000000-0004-0000-0D00-00003B030000}"/>
    <hyperlink ref="K281" location="Main!A1" display="Main" xr:uid="{00000000-0004-0000-0D00-00003C030000}"/>
    <hyperlink ref="A282" r:id="rId549" xr:uid="{00000000-0004-0000-0D00-00003D030000}"/>
    <hyperlink ref="C282" r:id="rId550" xr:uid="{00000000-0004-0000-0D00-00003E030000}"/>
    <hyperlink ref="K282" location="Links!A1" display="Links" xr:uid="{00000000-0004-0000-0D00-00003F030000}"/>
    <hyperlink ref="A283" r:id="rId551" xr:uid="{00000000-0004-0000-0D00-000040030000}"/>
    <hyperlink ref="C283" r:id="rId552" xr:uid="{00000000-0004-0000-0D00-000041030000}"/>
    <hyperlink ref="K283" location="Main!A1" display="Main" xr:uid="{00000000-0004-0000-0D00-000042030000}"/>
    <hyperlink ref="A284" r:id="rId553" xr:uid="{00000000-0004-0000-0D00-000043030000}"/>
    <hyperlink ref="C284" r:id="rId554" xr:uid="{00000000-0004-0000-0D00-000044030000}"/>
    <hyperlink ref="K284" location="Links!A1" display="Links" xr:uid="{00000000-0004-0000-0D00-000045030000}"/>
    <hyperlink ref="A285" r:id="rId555" xr:uid="{00000000-0004-0000-0D00-000046030000}"/>
    <hyperlink ref="C285" r:id="rId556" xr:uid="{00000000-0004-0000-0D00-000047030000}"/>
    <hyperlink ref="K285" location="Main!A1" display="Main" xr:uid="{00000000-0004-0000-0D00-000048030000}"/>
    <hyperlink ref="A286" r:id="rId557" xr:uid="{00000000-0004-0000-0D00-000049030000}"/>
    <hyperlink ref="C286" r:id="rId558" xr:uid="{00000000-0004-0000-0D00-00004A030000}"/>
    <hyperlink ref="K286" location="Links!A1" display="Links" xr:uid="{00000000-0004-0000-0D00-00004B030000}"/>
    <hyperlink ref="A287" r:id="rId559" xr:uid="{00000000-0004-0000-0D00-00004C030000}"/>
    <hyperlink ref="C287" r:id="rId560" xr:uid="{00000000-0004-0000-0D00-00004D030000}"/>
    <hyperlink ref="K287" location="Main!A1" display="Main" xr:uid="{00000000-0004-0000-0D00-00004E030000}"/>
    <hyperlink ref="A288" r:id="rId561" xr:uid="{00000000-0004-0000-0D00-00004F030000}"/>
    <hyperlink ref="C288" r:id="rId562" xr:uid="{00000000-0004-0000-0D00-000050030000}"/>
    <hyperlink ref="K288" location="Links!A1" display="Links" xr:uid="{00000000-0004-0000-0D00-000051030000}"/>
    <hyperlink ref="A289" r:id="rId563" xr:uid="{00000000-0004-0000-0D00-000052030000}"/>
    <hyperlink ref="C289" r:id="rId564" xr:uid="{00000000-0004-0000-0D00-000053030000}"/>
    <hyperlink ref="K289" location="Main!A1" display="Main" xr:uid="{00000000-0004-0000-0D00-000054030000}"/>
    <hyperlink ref="A290" r:id="rId565" xr:uid="{00000000-0004-0000-0D00-000055030000}"/>
    <hyperlink ref="C290" r:id="rId566" xr:uid="{00000000-0004-0000-0D00-000056030000}"/>
    <hyperlink ref="K290" location="Links!A1" display="Links" xr:uid="{00000000-0004-0000-0D00-000057030000}"/>
    <hyperlink ref="A291" r:id="rId567" xr:uid="{00000000-0004-0000-0D00-000058030000}"/>
    <hyperlink ref="C291" r:id="rId568" xr:uid="{00000000-0004-0000-0D00-000059030000}"/>
    <hyperlink ref="K291" location="Main!A1" display="Main" xr:uid="{00000000-0004-0000-0D00-00005A030000}"/>
    <hyperlink ref="A292" r:id="rId569" xr:uid="{00000000-0004-0000-0D00-00005B030000}"/>
    <hyperlink ref="C292" r:id="rId570" xr:uid="{00000000-0004-0000-0D00-00005C030000}"/>
    <hyperlink ref="K292" location="Links!A1" display="Links" xr:uid="{00000000-0004-0000-0D00-00005D030000}"/>
    <hyperlink ref="A293" r:id="rId571" xr:uid="{00000000-0004-0000-0D00-00005E030000}"/>
    <hyperlink ref="C293" r:id="rId572" xr:uid="{00000000-0004-0000-0D00-00005F030000}"/>
    <hyperlink ref="K293" location="Main!A1" display="Main" xr:uid="{00000000-0004-0000-0D00-000060030000}"/>
    <hyperlink ref="A294" r:id="rId573" xr:uid="{00000000-0004-0000-0D00-000061030000}"/>
    <hyperlink ref="C294" r:id="rId574" xr:uid="{00000000-0004-0000-0D00-000062030000}"/>
    <hyperlink ref="K294" location="Links!A1" display="Links" xr:uid="{00000000-0004-0000-0D00-000063030000}"/>
    <hyperlink ref="A295" r:id="rId575" xr:uid="{00000000-0004-0000-0D00-000064030000}"/>
    <hyperlink ref="C295" r:id="rId576" xr:uid="{00000000-0004-0000-0D00-000065030000}"/>
    <hyperlink ref="K295" location="Main!A1" display="Main" xr:uid="{00000000-0004-0000-0D00-000066030000}"/>
    <hyperlink ref="A296" r:id="rId577" xr:uid="{00000000-0004-0000-0D00-000067030000}"/>
    <hyperlink ref="C296" r:id="rId578" xr:uid="{00000000-0004-0000-0D00-000068030000}"/>
    <hyperlink ref="K296" location="Links!A1" display="Links" xr:uid="{00000000-0004-0000-0D00-000069030000}"/>
    <hyperlink ref="A297" r:id="rId579" xr:uid="{00000000-0004-0000-0D00-00006A030000}"/>
    <hyperlink ref="C297" r:id="rId580" xr:uid="{00000000-0004-0000-0D00-00006B030000}"/>
    <hyperlink ref="K297" location="Links!A1" display="Links" xr:uid="{00000000-0004-0000-0D00-00006C030000}"/>
    <hyperlink ref="A298" r:id="rId581" xr:uid="{00000000-0004-0000-0D00-00006D030000}"/>
    <hyperlink ref="C298" r:id="rId582" xr:uid="{00000000-0004-0000-0D00-00006E030000}"/>
    <hyperlink ref="K298" location="Main!A1" display="Main" xr:uid="{00000000-0004-0000-0D00-00006F030000}"/>
    <hyperlink ref="A299" r:id="rId583" xr:uid="{00000000-0004-0000-0D00-000070030000}"/>
    <hyperlink ref="C299" r:id="rId584" xr:uid="{00000000-0004-0000-0D00-000071030000}"/>
    <hyperlink ref="K299" location="Links!A1" display="Links" xr:uid="{00000000-0004-0000-0D00-000072030000}"/>
    <hyperlink ref="A300" r:id="rId585" xr:uid="{00000000-0004-0000-0D00-000073030000}"/>
    <hyperlink ref="C300" r:id="rId586" xr:uid="{00000000-0004-0000-0D00-000074030000}"/>
    <hyperlink ref="K300" location="Main!A1" display="Main" xr:uid="{00000000-0004-0000-0D00-000075030000}"/>
    <hyperlink ref="A301" r:id="rId587" xr:uid="{00000000-0004-0000-0D00-000076030000}"/>
    <hyperlink ref="C301" r:id="rId588" xr:uid="{00000000-0004-0000-0D00-000077030000}"/>
    <hyperlink ref="K301" location="Links!A1" display="Links" xr:uid="{00000000-0004-0000-0D00-000078030000}"/>
    <hyperlink ref="A302" r:id="rId589" xr:uid="{00000000-0004-0000-0D00-000079030000}"/>
    <hyperlink ref="C302" r:id="rId590" xr:uid="{00000000-0004-0000-0D00-00007A030000}"/>
    <hyperlink ref="K302" location="Main!A1" display="Main" xr:uid="{00000000-0004-0000-0D00-00007B030000}"/>
    <hyperlink ref="A303" r:id="rId591" xr:uid="{00000000-0004-0000-0D00-00007C030000}"/>
    <hyperlink ref="C303" r:id="rId592" xr:uid="{00000000-0004-0000-0D00-00007D030000}"/>
    <hyperlink ref="K303" location="Links!A1" display="Links" xr:uid="{00000000-0004-0000-0D00-00007E030000}"/>
    <hyperlink ref="A304" r:id="rId593" xr:uid="{00000000-0004-0000-0D00-00007F030000}"/>
    <hyperlink ref="C304" r:id="rId594" xr:uid="{00000000-0004-0000-0D00-000080030000}"/>
    <hyperlink ref="K304" location="Main!A1" display="Main" xr:uid="{00000000-0004-0000-0D00-000081030000}"/>
    <hyperlink ref="A305" r:id="rId595" xr:uid="{00000000-0004-0000-0D00-000082030000}"/>
    <hyperlink ref="C305" r:id="rId596" xr:uid="{00000000-0004-0000-0D00-000083030000}"/>
    <hyperlink ref="K305" location="Links!A1" display="Links" xr:uid="{00000000-0004-0000-0D00-000084030000}"/>
    <hyperlink ref="A306" r:id="rId597" xr:uid="{00000000-0004-0000-0D00-000085030000}"/>
    <hyperlink ref="K306" location="Links!A1" display="Links" xr:uid="{00000000-0004-0000-0D00-000086030000}"/>
    <hyperlink ref="A307" r:id="rId598" xr:uid="{00000000-0004-0000-0D00-000087030000}"/>
    <hyperlink ref="C307" r:id="rId599" xr:uid="{00000000-0004-0000-0D00-000088030000}"/>
    <hyperlink ref="K307" location="Main!A1" display="Main" xr:uid="{00000000-0004-0000-0D00-000089030000}"/>
    <hyperlink ref="A308" r:id="rId600" xr:uid="{00000000-0004-0000-0D00-00008A030000}"/>
    <hyperlink ref="C308" r:id="rId601" xr:uid="{00000000-0004-0000-0D00-00008B030000}"/>
    <hyperlink ref="K308" location="Links!A1" display="Links" xr:uid="{00000000-0004-0000-0D00-00008C030000}"/>
    <hyperlink ref="A309" r:id="rId602" xr:uid="{00000000-0004-0000-0D00-00008D030000}"/>
    <hyperlink ref="C309" r:id="rId603" xr:uid="{00000000-0004-0000-0D00-00008E030000}"/>
    <hyperlink ref="K309" location="Main!A1" display="Main" xr:uid="{00000000-0004-0000-0D00-00008F030000}"/>
    <hyperlink ref="A310" r:id="rId604" xr:uid="{00000000-0004-0000-0D00-000090030000}"/>
    <hyperlink ref="C310" r:id="rId605" xr:uid="{00000000-0004-0000-0D00-000091030000}"/>
    <hyperlink ref="K310" location="Links!A1" display="Links" xr:uid="{00000000-0004-0000-0D00-000092030000}"/>
    <hyperlink ref="A311" r:id="rId606" xr:uid="{00000000-0004-0000-0D00-000093030000}"/>
    <hyperlink ref="C311" r:id="rId607" xr:uid="{00000000-0004-0000-0D00-000094030000}"/>
    <hyperlink ref="K311" location="Main!A1" display="Main" xr:uid="{00000000-0004-0000-0D00-000095030000}"/>
    <hyperlink ref="A312" r:id="rId608" xr:uid="{00000000-0004-0000-0D00-000096030000}"/>
    <hyperlink ref="C312" r:id="rId609" xr:uid="{00000000-0004-0000-0D00-000097030000}"/>
    <hyperlink ref="K312" location="Links!A1" display="Links" xr:uid="{00000000-0004-0000-0D00-000098030000}"/>
    <hyperlink ref="A313" r:id="rId610" xr:uid="{00000000-0004-0000-0D00-000099030000}"/>
    <hyperlink ref="C313" r:id="rId611" xr:uid="{00000000-0004-0000-0D00-00009A030000}"/>
    <hyperlink ref="K313" location="Main!A1" display="Main" xr:uid="{00000000-0004-0000-0D00-00009B030000}"/>
    <hyperlink ref="A314" r:id="rId612" xr:uid="{00000000-0004-0000-0D00-00009C030000}"/>
    <hyperlink ref="C314" r:id="rId613" xr:uid="{00000000-0004-0000-0D00-00009D030000}"/>
    <hyperlink ref="K314" location="Links!A1" display="Links" xr:uid="{00000000-0004-0000-0D00-00009E030000}"/>
    <hyperlink ref="A315" r:id="rId614" xr:uid="{00000000-0004-0000-0D00-00009F030000}"/>
    <hyperlink ref="C315" r:id="rId615" xr:uid="{00000000-0004-0000-0D00-0000A0030000}"/>
    <hyperlink ref="K315" location="Main!A1" display="Main" xr:uid="{00000000-0004-0000-0D00-0000A1030000}"/>
    <hyperlink ref="A316" r:id="rId616" xr:uid="{00000000-0004-0000-0D00-0000A2030000}"/>
    <hyperlink ref="C316" r:id="rId617" xr:uid="{00000000-0004-0000-0D00-0000A3030000}"/>
    <hyperlink ref="K316" location="Links!A1" display="Links" xr:uid="{00000000-0004-0000-0D00-0000A4030000}"/>
    <hyperlink ref="A317" r:id="rId618" xr:uid="{00000000-0004-0000-0D00-0000A5030000}"/>
    <hyperlink ref="C317" r:id="rId619" xr:uid="{00000000-0004-0000-0D00-0000A6030000}"/>
    <hyperlink ref="K317" location="Main!A1" display="Main" xr:uid="{00000000-0004-0000-0D00-0000A7030000}"/>
    <hyperlink ref="A318" r:id="rId620" xr:uid="{00000000-0004-0000-0D00-0000A8030000}"/>
    <hyperlink ref="C318" r:id="rId621" xr:uid="{00000000-0004-0000-0D00-0000A9030000}"/>
    <hyperlink ref="K318" location="Links!A1" display="Links" xr:uid="{00000000-0004-0000-0D00-0000AA030000}"/>
    <hyperlink ref="A319" r:id="rId622" xr:uid="{00000000-0004-0000-0D00-0000AB030000}"/>
    <hyperlink ref="C319" r:id="rId623" xr:uid="{00000000-0004-0000-0D00-0000AC030000}"/>
    <hyperlink ref="K319" location="Main!A1" display="Main" xr:uid="{00000000-0004-0000-0D00-0000AD030000}"/>
    <hyperlink ref="A320" r:id="rId624" xr:uid="{00000000-0004-0000-0D00-0000AE030000}"/>
    <hyperlink ref="C320" r:id="rId625" xr:uid="{00000000-0004-0000-0D00-0000AF030000}"/>
    <hyperlink ref="K320" location="Links!A1" display="Links" xr:uid="{00000000-0004-0000-0D00-0000B0030000}"/>
    <hyperlink ref="A321" r:id="rId626" xr:uid="{00000000-0004-0000-0D00-0000B1030000}"/>
    <hyperlink ref="C321" r:id="rId627" xr:uid="{00000000-0004-0000-0D00-0000B2030000}"/>
    <hyperlink ref="K321" location="Main!A1" display="Main" xr:uid="{00000000-0004-0000-0D00-0000B3030000}"/>
    <hyperlink ref="A322" r:id="rId628" xr:uid="{00000000-0004-0000-0D00-0000B4030000}"/>
    <hyperlink ref="C322" r:id="rId629" xr:uid="{00000000-0004-0000-0D00-0000B5030000}"/>
    <hyperlink ref="K322" location="Links!A1" display="Links" xr:uid="{00000000-0004-0000-0D00-0000B6030000}"/>
    <hyperlink ref="A323" r:id="rId630" xr:uid="{00000000-0004-0000-0D00-0000B7030000}"/>
    <hyperlink ref="C323" r:id="rId631" xr:uid="{00000000-0004-0000-0D00-0000B8030000}"/>
    <hyperlink ref="K323" location="Links!A1" display="Links" xr:uid="{00000000-0004-0000-0D00-0000B9030000}"/>
    <hyperlink ref="A324" r:id="rId632" xr:uid="{00000000-0004-0000-0D00-0000BA030000}"/>
    <hyperlink ref="C324" r:id="rId633" xr:uid="{00000000-0004-0000-0D00-0000BB030000}"/>
    <hyperlink ref="K324" location="Main!A1" display="Main" xr:uid="{00000000-0004-0000-0D00-0000BC030000}"/>
    <hyperlink ref="A325" r:id="rId634" xr:uid="{00000000-0004-0000-0D00-0000BD030000}"/>
    <hyperlink ref="C325" r:id="rId635" xr:uid="{00000000-0004-0000-0D00-0000BE030000}"/>
    <hyperlink ref="K325" location="Links!A1" display="Links" xr:uid="{00000000-0004-0000-0D00-0000BF030000}"/>
    <hyperlink ref="A326" r:id="rId636" xr:uid="{00000000-0004-0000-0D00-0000C0030000}"/>
    <hyperlink ref="C326" r:id="rId637" xr:uid="{00000000-0004-0000-0D00-0000C1030000}"/>
    <hyperlink ref="K326" location="Main!A1" display="Main" xr:uid="{00000000-0004-0000-0D00-0000C2030000}"/>
    <hyperlink ref="A327" r:id="rId638" xr:uid="{00000000-0004-0000-0D00-0000C3030000}"/>
    <hyperlink ref="C327" r:id="rId639" xr:uid="{00000000-0004-0000-0D00-0000C4030000}"/>
    <hyperlink ref="K327" location="Links!A1" display="Links" xr:uid="{00000000-0004-0000-0D00-0000C5030000}"/>
    <hyperlink ref="A328" r:id="rId640" xr:uid="{00000000-0004-0000-0D00-0000C6030000}"/>
    <hyperlink ref="C328" r:id="rId641" xr:uid="{00000000-0004-0000-0D00-0000C7030000}"/>
    <hyperlink ref="K328" location="Main!A1" display="Main" xr:uid="{00000000-0004-0000-0D00-0000C8030000}"/>
    <hyperlink ref="A329" r:id="rId642" xr:uid="{00000000-0004-0000-0D00-0000C9030000}"/>
    <hyperlink ref="C329" r:id="rId643" xr:uid="{00000000-0004-0000-0D00-0000CA030000}"/>
    <hyperlink ref="K329" location="Links!A1" display="Links" xr:uid="{00000000-0004-0000-0D00-0000CB030000}"/>
    <hyperlink ref="A330" r:id="rId644" xr:uid="{00000000-0004-0000-0D00-0000CC030000}"/>
    <hyperlink ref="K330" location="Links!A1" display="Links" xr:uid="{00000000-0004-0000-0D00-0000CD030000}"/>
    <hyperlink ref="A331" r:id="rId645" xr:uid="{00000000-0004-0000-0D00-0000CE030000}"/>
    <hyperlink ref="C331" r:id="rId646" xr:uid="{00000000-0004-0000-0D00-0000CF030000}"/>
    <hyperlink ref="K331" location="Main!A1" display="Main" xr:uid="{00000000-0004-0000-0D00-0000D0030000}"/>
    <hyperlink ref="A332" r:id="rId647" xr:uid="{00000000-0004-0000-0D00-0000D1030000}"/>
    <hyperlink ref="C332" r:id="rId648" xr:uid="{00000000-0004-0000-0D00-0000D2030000}"/>
    <hyperlink ref="K332" location="Links!A1" display="Links" xr:uid="{00000000-0004-0000-0D00-0000D3030000}"/>
    <hyperlink ref="A333" r:id="rId649" xr:uid="{00000000-0004-0000-0D00-0000D4030000}"/>
    <hyperlink ref="C333" r:id="rId650" xr:uid="{00000000-0004-0000-0D00-0000D5030000}"/>
    <hyperlink ref="K333" location="Links!A1" display="Links" xr:uid="{00000000-0004-0000-0D00-0000D6030000}"/>
    <hyperlink ref="A334" r:id="rId651" xr:uid="{00000000-0004-0000-0D00-0000D7030000}"/>
    <hyperlink ref="C334" r:id="rId652" xr:uid="{00000000-0004-0000-0D00-0000D8030000}"/>
    <hyperlink ref="K334" location="Main!A1" display="Main" xr:uid="{00000000-0004-0000-0D00-0000D9030000}"/>
    <hyperlink ref="A335" r:id="rId653" xr:uid="{00000000-0004-0000-0D00-0000DA030000}"/>
    <hyperlink ref="C335" r:id="rId654" xr:uid="{00000000-0004-0000-0D00-0000DB030000}"/>
    <hyperlink ref="K335" location="Links!A1" display="Links" xr:uid="{00000000-0004-0000-0D00-0000DC030000}"/>
    <hyperlink ref="A336" r:id="rId655" xr:uid="{00000000-0004-0000-0D00-0000DD030000}"/>
    <hyperlink ref="C336" r:id="rId656" xr:uid="{00000000-0004-0000-0D00-0000DE030000}"/>
    <hyperlink ref="K336" location="Main!A1" display="Main" xr:uid="{00000000-0004-0000-0D00-0000DF030000}"/>
    <hyperlink ref="A337" r:id="rId657" xr:uid="{00000000-0004-0000-0D00-0000E0030000}"/>
    <hyperlink ref="C337" r:id="rId658" xr:uid="{00000000-0004-0000-0D00-0000E1030000}"/>
    <hyperlink ref="K337" location="Links!A1" display="Links" xr:uid="{00000000-0004-0000-0D00-0000E2030000}"/>
    <hyperlink ref="A338" r:id="rId659" xr:uid="{00000000-0004-0000-0D00-0000E3030000}"/>
    <hyperlink ref="C338" r:id="rId660" xr:uid="{00000000-0004-0000-0D00-0000E4030000}"/>
    <hyperlink ref="K338" location="Main!A1" display="Main" xr:uid="{00000000-0004-0000-0D00-0000E5030000}"/>
    <hyperlink ref="A339" r:id="rId661" xr:uid="{00000000-0004-0000-0D00-0000E6030000}"/>
    <hyperlink ref="C339" r:id="rId662" xr:uid="{00000000-0004-0000-0D00-0000E7030000}"/>
    <hyperlink ref="K339" location="Links!A1" display="Links" xr:uid="{00000000-0004-0000-0D00-0000E8030000}"/>
    <hyperlink ref="A340" r:id="rId663" xr:uid="{00000000-0004-0000-0D00-0000E9030000}"/>
    <hyperlink ref="C340" r:id="rId664" xr:uid="{00000000-0004-0000-0D00-0000EA030000}"/>
    <hyperlink ref="K340" location="Main!A1" display="Main" xr:uid="{00000000-0004-0000-0D00-0000EB030000}"/>
    <hyperlink ref="A341" r:id="rId665" xr:uid="{00000000-0004-0000-0D00-0000EC030000}"/>
    <hyperlink ref="C341" r:id="rId666" xr:uid="{00000000-0004-0000-0D00-0000ED030000}"/>
    <hyperlink ref="K341" location="Links!A1" display="Links" xr:uid="{00000000-0004-0000-0D00-0000EE030000}"/>
    <hyperlink ref="A342" r:id="rId667" xr:uid="{00000000-0004-0000-0D00-0000EF030000}"/>
    <hyperlink ref="C342" r:id="rId668" xr:uid="{00000000-0004-0000-0D00-0000F0030000}"/>
    <hyperlink ref="K342" location="Main!A1" display="Main" xr:uid="{00000000-0004-0000-0D00-0000F1030000}"/>
    <hyperlink ref="A343" r:id="rId669" xr:uid="{00000000-0004-0000-0D00-0000F2030000}"/>
    <hyperlink ref="C343" r:id="rId670" xr:uid="{00000000-0004-0000-0D00-0000F3030000}"/>
    <hyperlink ref="K343" location="Links!A1" display="Links" xr:uid="{00000000-0004-0000-0D00-0000F4030000}"/>
    <hyperlink ref="A344" r:id="rId671" xr:uid="{00000000-0004-0000-0D00-0000F5030000}"/>
    <hyperlink ref="C344" r:id="rId672" xr:uid="{00000000-0004-0000-0D00-0000F6030000}"/>
    <hyperlink ref="K344" location="Main!A1" display="Main" xr:uid="{00000000-0004-0000-0D00-0000F7030000}"/>
    <hyperlink ref="A345" r:id="rId673" xr:uid="{00000000-0004-0000-0D00-0000F8030000}"/>
    <hyperlink ref="C345" r:id="rId674" xr:uid="{00000000-0004-0000-0D00-0000F9030000}"/>
    <hyperlink ref="K345" location="Links!A1" display="Links" xr:uid="{00000000-0004-0000-0D00-0000FA030000}"/>
    <hyperlink ref="A346" r:id="rId675" xr:uid="{00000000-0004-0000-0D00-0000FB030000}"/>
    <hyperlink ref="C346" r:id="rId676" xr:uid="{00000000-0004-0000-0D00-0000FC030000}"/>
    <hyperlink ref="K346" location="Links!A1" display="Links" xr:uid="{00000000-0004-0000-0D00-0000FD030000}"/>
    <hyperlink ref="A347" r:id="rId677" xr:uid="{00000000-0004-0000-0D00-0000FE030000}"/>
    <hyperlink ref="C347" r:id="rId678" xr:uid="{00000000-0004-0000-0D00-0000FF030000}"/>
    <hyperlink ref="K347" location="Main!A1" display="Main" xr:uid="{00000000-0004-0000-0D00-000000040000}"/>
    <hyperlink ref="A348" r:id="rId679" xr:uid="{00000000-0004-0000-0D00-000001040000}"/>
    <hyperlink ref="C348" r:id="rId680" xr:uid="{00000000-0004-0000-0D00-000002040000}"/>
    <hyperlink ref="K348" location="Links!A1" display="Links" xr:uid="{00000000-0004-0000-0D00-000003040000}"/>
    <hyperlink ref="A349" r:id="rId681" xr:uid="{00000000-0004-0000-0D00-000004040000}"/>
    <hyperlink ref="C349" r:id="rId682" xr:uid="{00000000-0004-0000-0D00-000005040000}"/>
    <hyperlink ref="K349" location="Links!A1" display="Links" xr:uid="{00000000-0004-0000-0D00-000006040000}"/>
    <hyperlink ref="A350" r:id="rId683" xr:uid="{00000000-0004-0000-0D00-000007040000}"/>
    <hyperlink ref="C350" r:id="rId684" xr:uid="{00000000-0004-0000-0D00-000008040000}"/>
    <hyperlink ref="K350" location="Main!A1" display="Main" xr:uid="{00000000-0004-0000-0D00-000009040000}"/>
    <hyperlink ref="A351" r:id="rId685" xr:uid="{00000000-0004-0000-0D00-00000A040000}"/>
    <hyperlink ref="C351" r:id="rId686" xr:uid="{00000000-0004-0000-0D00-00000B040000}"/>
    <hyperlink ref="K351" location="Links!A1" display="Links" xr:uid="{00000000-0004-0000-0D00-00000C040000}"/>
    <hyperlink ref="A352" r:id="rId687" xr:uid="{00000000-0004-0000-0D00-00000D040000}"/>
    <hyperlink ref="C352" r:id="rId688" xr:uid="{00000000-0004-0000-0D00-00000E040000}"/>
    <hyperlink ref="K352" location="Main!A1" display="Main" xr:uid="{00000000-0004-0000-0D00-00000F040000}"/>
    <hyperlink ref="A353" r:id="rId689" xr:uid="{00000000-0004-0000-0D00-000010040000}"/>
    <hyperlink ref="C353" r:id="rId690" xr:uid="{00000000-0004-0000-0D00-000011040000}"/>
    <hyperlink ref="K353" location="Links!A1" display="Links" xr:uid="{00000000-0004-0000-0D00-000012040000}"/>
    <hyperlink ref="A354" r:id="rId691" xr:uid="{00000000-0004-0000-0D00-000013040000}"/>
    <hyperlink ref="C354" r:id="rId692" xr:uid="{00000000-0004-0000-0D00-000014040000}"/>
    <hyperlink ref="K354" location="Main!A1" display="Main" xr:uid="{00000000-0004-0000-0D00-000015040000}"/>
    <hyperlink ref="A355" r:id="rId693" xr:uid="{00000000-0004-0000-0D00-000016040000}"/>
    <hyperlink ref="C355" r:id="rId694" xr:uid="{00000000-0004-0000-0D00-000017040000}"/>
    <hyperlink ref="K355" location="Links!A1" display="Links" xr:uid="{00000000-0004-0000-0D00-000018040000}"/>
    <hyperlink ref="A356" r:id="rId695" xr:uid="{00000000-0004-0000-0D00-000019040000}"/>
    <hyperlink ref="C356" r:id="rId696" xr:uid="{00000000-0004-0000-0D00-00001A040000}"/>
    <hyperlink ref="K356" location="Main!A1" display="Main" xr:uid="{00000000-0004-0000-0D00-00001B040000}"/>
    <hyperlink ref="A357" r:id="rId697" xr:uid="{00000000-0004-0000-0D00-00001C040000}"/>
    <hyperlink ref="C357" r:id="rId698" xr:uid="{00000000-0004-0000-0D00-00001D040000}"/>
    <hyperlink ref="K357" location="Links!A1" display="Links" xr:uid="{00000000-0004-0000-0D00-00001E040000}"/>
    <hyperlink ref="A358" r:id="rId699" xr:uid="{00000000-0004-0000-0D00-00001F040000}"/>
    <hyperlink ref="C358" r:id="rId700" xr:uid="{00000000-0004-0000-0D00-000020040000}"/>
    <hyperlink ref="K358" location="Links!A1" display="Links" xr:uid="{00000000-0004-0000-0D00-000021040000}"/>
    <hyperlink ref="A359" r:id="rId701" xr:uid="{00000000-0004-0000-0D00-000022040000}"/>
    <hyperlink ref="C359" r:id="rId702" xr:uid="{00000000-0004-0000-0D00-000023040000}"/>
    <hyperlink ref="K359" location="Main!A1" display="Main" xr:uid="{00000000-0004-0000-0D00-000024040000}"/>
    <hyperlink ref="A360" r:id="rId703" xr:uid="{00000000-0004-0000-0D00-000025040000}"/>
    <hyperlink ref="C360" r:id="rId704" xr:uid="{00000000-0004-0000-0D00-000026040000}"/>
    <hyperlink ref="K360" location="Links!A1" display="Links" xr:uid="{00000000-0004-0000-0D00-000027040000}"/>
    <hyperlink ref="A361" r:id="rId705" xr:uid="{00000000-0004-0000-0D00-000028040000}"/>
    <hyperlink ref="C361" r:id="rId706" xr:uid="{00000000-0004-0000-0D00-000029040000}"/>
    <hyperlink ref="K361" location="Links!A1" display="Links" xr:uid="{00000000-0004-0000-0D00-00002A040000}"/>
    <hyperlink ref="A362" r:id="rId707" xr:uid="{00000000-0004-0000-0D00-00002B040000}"/>
    <hyperlink ref="C362" r:id="rId708" xr:uid="{00000000-0004-0000-0D00-00002C040000}"/>
    <hyperlink ref="K362" location="Main!A1" display="Main" xr:uid="{00000000-0004-0000-0D00-00002D040000}"/>
    <hyperlink ref="A363" r:id="rId709" xr:uid="{00000000-0004-0000-0D00-00002E040000}"/>
    <hyperlink ref="C363" r:id="rId710" xr:uid="{00000000-0004-0000-0D00-00002F040000}"/>
    <hyperlink ref="K363" location="Links!A1" display="Links" xr:uid="{00000000-0004-0000-0D00-000030040000}"/>
    <hyperlink ref="A364" r:id="rId711" xr:uid="{00000000-0004-0000-0D00-000031040000}"/>
    <hyperlink ref="C364" r:id="rId712" xr:uid="{00000000-0004-0000-0D00-000032040000}"/>
    <hyperlink ref="K364" location="Main!A1" display="Main" xr:uid="{00000000-0004-0000-0D00-000033040000}"/>
    <hyperlink ref="A365" r:id="rId713" xr:uid="{00000000-0004-0000-0D00-000034040000}"/>
    <hyperlink ref="C365" r:id="rId714" xr:uid="{00000000-0004-0000-0D00-000035040000}"/>
    <hyperlink ref="K365" location="Links!A1" display="Links" xr:uid="{00000000-0004-0000-0D00-000036040000}"/>
    <hyperlink ref="A366" r:id="rId715" xr:uid="{00000000-0004-0000-0D00-000037040000}"/>
    <hyperlink ref="C366" r:id="rId716" xr:uid="{00000000-0004-0000-0D00-000038040000}"/>
    <hyperlink ref="K366" location="Main!A1" display="Main" xr:uid="{00000000-0004-0000-0D00-000039040000}"/>
    <hyperlink ref="A367" r:id="rId717" xr:uid="{00000000-0004-0000-0D00-00003A040000}"/>
    <hyperlink ref="C367" r:id="rId718" xr:uid="{00000000-0004-0000-0D00-00003B040000}"/>
    <hyperlink ref="K367" location="Links!A1" display="Links" xr:uid="{00000000-0004-0000-0D00-00003C040000}"/>
    <hyperlink ref="A368" r:id="rId719" xr:uid="{00000000-0004-0000-0D00-00003D040000}"/>
    <hyperlink ref="C368" r:id="rId720" xr:uid="{00000000-0004-0000-0D00-00003E040000}"/>
    <hyperlink ref="K368" location="Main!A1" display="Main" xr:uid="{00000000-0004-0000-0D00-00003F040000}"/>
    <hyperlink ref="A369" r:id="rId721" xr:uid="{00000000-0004-0000-0D00-000040040000}"/>
    <hyperlink ref="C369" r:id="rId722" xr:uid="{00000000-0004-0000-0D00-000041040000}"/>
    <hyperlink ref="K369" location="Links!A1" display="Links" xr:uid="{00000000-0004-0000-0D00-000042040000}"/>
    <hyperlink ref="A370" r:id="rId723" xr:uid="{00000000-0004-0000-0D00-000043040000}"/>
    <hyperlink ref="C370" r:id="rId724" xr:uid="{00000000-0004-0000-0D00-000044040000}"/>
    <hyperlink ref="K370" location="Main!A1" display="Main" xr:uid="{00000000-0004-0000-0D00-000045040000}"/>
    <hyperlink ref="A371" r:id="rId725" xr:uid="{00000000-0004-0000-0D00-000046040000}"/>
    <hyperlink ref="C371" r:id="rId726" xr:uid="{00000000-0004-0000-0D00-000047040000}"/>
    <hyperlink ref="K371" location="Links!A1" display="Links" xr:uid="{00000000-0004-0000-0D00-000048040000}"/>
    <hyperlink ref="A372" r:id="rId727" xr:uid="{00000000-0004-0000-0D00-000049040000}"/>
    <hyperlink ref="C372" r:id="rId728" xr:uid="{00000000-0004-0000-0D00-00004A040000}"/>
    <hyperlink ref="K372" location="Main!A1" display="Main" xr:uid="{00000000-0004-0000-0D00-00004B040000}"/>
    <hyperlink ref="A373" r:id="rId729" xr:uid="{00000000-0004-0000-0D00-00004C040000}"/>
    <hyperlink ref="C373" r:id="rId730" xr:uid="{00000000-0004-0000-0D00-00004D040000}"/>
    <hyperlink ref="K373" location="Links!A1" display="Links" xr:uid="{00000000-0004-0000-0D00-00004E040000}"/>
    <hyperlink ref="A374" r:id="rId731" xr:uid="{00000000-0004-0000-0D00-00004F040000}"/>
    <hyperlink ref="C374" r:id="rId732" xr:uid="{00000000-0004-0000-0D00-000050040000}"/>
    <hyperlink ref="K374" location="Links!A1" display="Links" xr:uid="{00000000-0004-0000-0D00-000051040000}"/>
    <hyperlink ref="A375" r:id="rId733" xr:uid="{00000000-0004-0000-0D00-000052040000}"/>
    <hyperlink ref="C375" r:id="rId734" xr:uid="{00000000-0004-0000-0D00-000053040000}"/>
    <hyperlink ref="K375" location="Main!A1" display="Main" xr:uid="{00000000-0004-0000-0D00-000054040000}"/>
    <hyperlink ref="A376" r:id="rId735" xr:uid="{00000000-0004-0000-0D00-000055040000}"/>
    <hyperlink ref="C376" r:id="rId736" xr:uid="{00000000-0004-0000-0D00-000056040000}"/>
    <hyperlink ref="K376" location="Links!A1" display="Links" xr:uid="{00000000-0004-0000-0D00-000057040000}"/>
    <hyperlink ref="A377" r:id="rId737" xr:uid="{00000000-0004-0000-0D00-000058040000}"/>
    <hyperlink ref="C377" r:id="rId738" xr:uid="{00000000-0004-0000-0D00-000059040000}"/>
    <hyperlink ref="K377" location="Links!A1" display="Links" xr:uid="{00000000-0004-0000-0D00-00005A040000}"/>
    <hyperlink ref="A378" r:id="rId739" xr:uid="{00000000-0004-0000-0D00-00005B040000}"/>
    <hyperlink ref="C378" r:id="rId740" xr:uid="{00000000-0004-0000-0D00-00005C040000}"/>
    <hyperlink ref="K378" location="Main!A1" display="Main" xr:uid="{00000000-0004-0000-0D00-00005D040000}"/>
    <hyperlink ref="A379" r:id="rId741" xr:uid="{00000000-0004-0000-0D00-00005E040000}"/>
    <hyperlink ref="C379" r:id="rId742" xr:uid="{00000000-0004-0000-0D00-00005F040000}"/>
    <hyperlink ref="K379" location="Links!A1" display="Links" xr:uid="{00000000-0004-0000-0D00-000060040000}"/>
    <hyperlink ref="A380" r:id="rId743" xr:uid="{00000000-0004-0000-0D00-000061040000}"/>
    <hyperlink ref="C380" r:id="rId744" xr:uid="{00000000-0004-0000-0D00-000062040000}"/>
    <hyperlink ref="K380" location="Main!A1" display="Main" xr:uid="{00000000-0004-0000-0D00-000063040000}"/>
    <hyperlink ref="A381" r:id="rId745" xr:uid="{00000000-0004-0000-0D00-000064040000}"/>
    <hyperlink ref="C381" r:id="rId746" xr:uid="{00000000-0004-0000-0D00-000065040000}"/>
    <hyperlink ref="K381" location="Links!A1" display="Links" xr:uid="{00000000-0004-0000-0D00-000066040000}"/>
    <hyperlink ref="A382" r:id="rId747" xr:uid="{00000000-0004-0000-0D00-000067040000}"/>
    <hyperlink ref="C382" r:id="rId748" xr:uid="{00000000-0004-0000-0D00-000068040000}"/>
    <hyperlink ref="K382" location="Links!A1" display="Links" xr:uid="{00000000-0004-0000-0D00-000069040000}"/>
    <hyperlink ref="A383" r:id="rId749" xr:uid="{00000000-0004-0000-0D00-00006A040000}"/>
    <hyperlink ref="C383" r:id="rId750" xr:uid="{00000000-0004-0000-0D00-00006B040000}"/>
    <hyperlink ref="K383" location="Main!A1" display="Main" xr:uid="{00000000-0004-0000-0D00-00006C040000}"/>
    <hyperlink ref="A384" r:id="rId751" xr:uid="{00000000-0004-0000-0D00-00006D040000}"/>
    <hyperlink ref="C384" r:id="rId752" xr:uid="{00000000-0004-0000-0D00-00006E040000}"/>
    <hyperlink ref="K384" location="Links!A1" display="Links" xr:uid="{00000000-0004-0000-0D00-00006F040000}"/>
    <hyperlink ref="A385" r:id="rId753" xr:uid="{00000000-0004-0000-0D00-000070040000}"/>
    <hyperlink ref="C385" r:id="rId754" xr:uid="{00000000-0004-0000-0D00-000071040000}"/>
    <hyperlink ref="K385" location="Main!A1" display="Main" xr:uid="{00000000-0004-0000-0D00-000072040000}"/>
    <hyperlink ref="A386" r:id="rId755" xr:uid="{00000000-0004-0000-0D00-000073040000}"/>
    <hyperlink ref="C386" r:id="rId756" xr:uid="{00000000-0004-0000-0D00-000074040000}"/>
    <hyperlink ref="K386" location="Links!A1" display="Links" xr:uid="{00000000-0004-0000-0D00-000075040000}"/>
    <hyperlink ref="A387" r:id="rId757" xr:uid="{00000000-0004-0000-0D00-000076040000}"/>
    <hyperlink ref="C387" r:id="rId758" xr:uid="{00000000-0004-0000-0D00-000077040000}"/>
    <hyperlink ref="K387" location="Links!A1" display="Links" xr:uid="{00000000-0004-0000-0D00-000078040000}"/>
    <hyperlink ref="A388" r:id="rId759" xr:uid="{00000000-0004-0000-0D00-000079040000}"/>
    <hyperlink ref="C388" r:id="rId760" xr:uid="{00000000-0004-0000-0D00-00007A040000}"/>
    <hyperlink ref="K388" location="Links!A1" display="Links" xr:uid="{00000000-0004-0000-0D00-00007B040000}"/>
    <hyperlink ref="A389" r:id="rId761" xr:uid="{00000000-0004-0000-0D00-00007C040000}"/>
    <hyperlink ref="C389" r:id="rId762" xr:uid="{00000000-0004-0000-0D00-00007D040000}"/>
    <hyperlink ref="K389" location="Main!A1" display="Main" xr:uid="{00000000-0004-0000-0D00-00007E040000}"/>
    <hyperlink ref="A390" r:id="rId763" xr:uid="{00000000-0004-0000-0D00-00007F040000}"/>
    <hyperlink ref="C390" r:id="rId764" xr:uid="{00000000-0004-0000-0D00-000080040000}"/>
    <hyperlink ref="K390" location="Links!A1" display="Links" xr:uid="{00000000-0004-0000-0D00-000081040000}"/>
    <hyperlink ref="A391" r:id="rId765" xr:uid="{00000000-0004-0000-0D00-000082040000}"/>
    <hyperlink ref="C391" r:id="rId766" xr:uid="{00000000-0004-0000-0D00-000083040000}"/>
    <hyperlink ref="K391" location="Main!A1" display="Main" xr:uid="{00000000-0004-0000-0D00-000084040000}"/>
    <hyperlink ref="A392" r:id="rId767" xr:uid="{00000000-0004-0000-0D00-000085040000}"/>
    <hyperlink ref="C392" r:id="rId768" xr:uid="{00000000-0004-0000-0D00-000086040000}"/>
    <hyperlink ref="K392" location="Links!A1" display="Links" xr:uid="{00000000-0004-0000-0D00-000087040000}"/>
    <hyperlink ref="A393" r:id="rId769" xr:uid="{00000000-0004-0000-0D00-000088040000}"/>
    <hyperlink ref="C393" r:id="rId770" xr:uid="{00000000-0004-0000-0D00-000089040000}"/>
    <hyperlink ref="K393" location="Main!A1" display="Main" xr:uid="{00000000-0004-0000-0D00-00008A040000}"/>
    <hyperlink ref="A394" r:id="rId771" xr:uid="{00000000-0004-0000-0D00-00008B040000}"/>
    <hyperlink ref="C394" r:id="rId772" xr:uid="{00000000-0004-0000-0D00-00008C040000}"/>
    <hyperlink ref="K394" location="Links!A1" display="Links" xr:uid="{00000000-0004-0000-0D00-00008D040000}"/>
    <hyperlink ref="A395" r:id="rId773" xr:uid="{00000000-0004-0000-0D00-00008E040000}"/>
    <hyperlink ref="C395" r:id="rId774" xr:uid="{00000000-0004-0000-0D00-00008F040000}"/>
    <hyperlink ref="K395" location="Main!A1" display="Main" xr:uid="{00000000-0004-0000-0D00-000090040000}"/>
    <hyperlink ref="A396" r:id="rId775" xr:uid="{00000000-0004-0000-0D00-000091040000}"/>
    <hyperlink ref="C396" r:id="rId776" xr:uid="{00000000-0004-0000-0D00-000092040000}"/>
    <hyperlink ref="K396" location="Links!A1" display="Links" xr:uid="{00000000-0004-0000-0D00-000093040000}"/>
    <hyperlink ref="A397" r:id="rId777" xr:uid="{00000000-0004-0000-0D00-000094040000}"/>
    <hyperlink ref="C397" r:id="rId778" xr:uid="{00000000-0004-0000-0D00-000095040000}"/>
    <hyperlink ref="K397" location="Main!A1" display="Main" xr:uid="{00000000-0004-0000-0D00-000096040000}"/>
    <hyperlink ref="A398" r:id="rId779" xr:uid="{00000000-0004-0000-0D00-000097040000}"/>
    <hyperlink ref="C398" r:id="rId780" xr:uid="{00000000-0004-0000-0D00-000098040000}"/>
    <hyperlink ref="K398" location="Links!A1" display="Links" xr:uid="{00000000-0004-0000-0D00-000099040000}"/>
    <hyperlink ref="A399" r:id="rId781" xr:uid="{00000000-0004-0000-0D00-00009A040000}"/>
    <hyperlink ref="C399" r:id="rId782" xr:uid="{00000000-0004-0000-0D00-00009B040000}"/>
    <hyperlink ref="K399" location="Main!A1" display="Main" xr:uid="{00000000-0004-0000-0D00-00009C040000}"/>
    <hyperlink ref="A400" r:id="rId783" xr:uid="{00000000-0004-0000-0D00-00009D040000}"/>
    <hyperlink ref="C400" r:id="rId784" xr:uid="{00000000-0004-0000-0D00-00009E040000}"/>
    <hyperlink ref="K400" location="Links!A1" display="Links" xr:uid="{00000000-0004-0000-0D00-00009F040000}"/>
    <hyperlink ref="A401" r:id="rId785" xr:uid="{00000000-0004-0000-0D00-0000A0040000}"/>
    <hyperlink ref="C401" r:id="rId786" xr:uid="{00000000-0004-0000-0D00-0000A1040000}"/>
    <hyperlink ref="K401" location="Main!A1" display="Main" xr:uid="{00000000-0004-0000-0D00-0000A2040000}"/>
    <hyperlink ref="A402" r:id="rId787" xr:uid="{00000000-0004-0000-0D00-0000A3040000}"/>
    <hyperlink ref="C402" r:id="rId788" xr:uid="{00000000-0004-0000-0D00-0000A4040000}"/>
    <hyperlink ref="K402" location="Links!A1" display="Links" xr:uid="{00000000-0004-0000-0D00-0000A5040000}"/>
    <hyperlink ref="A403" r:id="rId789" xr:uid="{00000000-0004-0000-0D00-0000A6040000}"/>
    <hyperlink ref="C403" r:id="rId790" xr:uid="{00000000-0004-0000-0D00-0000A7040000}"/>
    <hyperlink ref="K403" location="Main!A1" display="Main" xr:uid="{00000000-0004-0000-0D00-0000A8040000}"/>
    <hyperlink ref="A404" r:id="rId791" xr:uid="{00000000-0004-0000-0D00-0000A9040000}"/>
    <hyperlink ref="C404" r:id="rId792" xr:uid="{00000000-0004-0000-0D00-0000AA040000}"/>
    <hyperlink ref="K404" location="Links!A1" display="Links" xr:uid="{00000000-0004-0000-0D00-0000AB040000}"/>
    <hyperlink ref="A405" r:id="rId793" xr:uid="{00000000-0004-0000-0D00-0000AC040000}"/>
    <hyperlink ref="C405" r:id="rId794" xr:uid="{00000000-0004-0000-0D00-0000AD040000}"/>
    <hyperlink ref="K405" location="Main!A1" display="Main" xr:uid="{00000000-0004-0000-0D00-0000AE040000}"/>
    <hyperlink ref="A406" r:id="rId795" xr:uid="{00000000-0004-0000-0D00-0000AF040000}"/>
    <hyperlink ref="C406" r:id="rId796" xr:uid="{00000000-0004-0000-0D00-0000B0040000}"/>
    <hyperlink ref="K406" location="Links!A1" display="Links" xr:uid="{00000000-0004-0000-0D00-0000B1040000}"/>
    <hyperlink ref="A407" r:id="rId797" xr:uid="{00000000-0004-0000-0D00-0000B2040000}"/>
    <hyperlink ref="C407" r:id="rId798" xr:uid="{00000000-0004-0000-0D00-0000B3040000}"/>
    <hyperlink ref="K407" location="Main!A1" display="Main" xr:uid="{00000000-0004-0000-0D00-0000B4040000}"/>
    <hyperlink ref="A408" r:id="rId799" xr:uid="{00000000-0004-0000-0D00-0000B5040000}"/>
    <hyperlink ref="C408" r:id="rId800" xr:uid="{00000000-0004-0000-0D00-0000B6040000}"/>
    <hyperlink ref="K408" location="Links!A1" display="Links" xr:uid="{00000000-0004-0000-0D00-0000B7040000}"/>
    <hyperlink ref="A409" r:id="rId801" xr:uid="{00000000-0004-0000-0D00-0000B8040000}"/>
    <hyperlink ref="C409" r:id="rId802" xr:uid="{00000000-0004-0000-0D00-0000B9040000}"/>
    <hyperlink ref="K409" location="Main!A1" display="Main" xr:uid="{00000000-0004-0000-0D00-0000BA040000}"/>
    <hyperlink ref="A410" r:id="rId803" xr:uid="{00000000-0004-0000-0D00-0000BB040000}"/>
    <hyperlink ref="C410" r:id="rId804" xr:uid="{00000000-0004-0000-0D00-0000BC040000}"/>
    <hyperlink ref="K410" location="Links!A1" display="Links" xr:uid="{00000000-0004-0000-0D00-0000BD040000}"/>
    <hyperlink ref="A411" r:id="rId805" xr:uid="{00000000-0004-0000-0D00-0000BE040000}"/>
    <hyperlink ref="C411" r:id="rId806" xr:uid="{00000000-0004-0000-0D00-0000BF040000}"/>
    <hyperlink ref="K411" location="Main!A1" display="Main" xr:uid="{00000000-0004-0000-0D00-0000C0040000}"/>
    <hyperlink ref="A412" r:id="rId807" xr:uid="{00000000-0004-0000-0D00-0000C1040000}"/>
    <hyperlink ref="C412" r:id="rId808" xr:uid="{00000000-0004-0000-0D00-0000C2040000}"/>
    <hyperlink ref="K412" location="Links!A1" display="Links" xr:uid="{00000000-0004-0000-0D00-0000C3040000}"/>
    <hyperlink ref="A413" r:id="rId809" xr:uid="{00000000-0004-0000-0D00-0000C4040000}"/>
    <hyperlink ref="C413" r:id="rId810" xr:uid="{00000000-0004-0000-0D00-0000C5040000}"/>
    <hyperlink ref="K413" location="AEO!A1" display="AEO" xr:uid="{00000000-0004-0000-0D00-0000C6040000}"/>
    <hyperlink ref="A414" r:id="rId811" xr:uid="{00000000-0004-0000-0D00-0000C7040000}"/>
    <hyperlink ref="C414" r:id="rId812" xr:uid="{00000000-0004-0000-0D00-0000C8040000}"/>
    <hyperlink ref="K414" location="AEO!A1" display="AEO" xr:uid="{00000000-0004-0000-0D00-0000C9040000}"/>
    <hyperlink ref="A415" r:id="rId813" xr:uid="{00000000-0004-0000-0D00-0000CA040000}"/>
    <hyperlink ref="C415" r:id="rId814" xr:uid="{00000000-0004-0000-0D00-0000CB040000}"/>
    <hyperlink ref="K415" location="AEO!A1" display="AEO" xr:uid="{00000000-0004-0000-0D00-0000CC040000}"/>
    <hyperlink ref="A416" r:id="rId815" xr:uid="{00000000-0004-0000-0D00-0000CD040000}"/>
    <hyperlink ref="C416" r:id="rId816" xr:uid="{00000000-0004-0000-0D00-0000CE040000}"/>
    <hyperlink ref="K416" location="AEO!A1" display="AEO" xr:uid="{00000000-0004-0000-0D00-0000CF040000}"/>
    <hyperlink ref="A417" r:id="rId817" xr:uid="{00000000-0004-0000-0D00-0000D0040000}"/>
    <hyperlink ref="C417" r:id="rId818" xr:uid="{00000000-0004-0000-0D00-0000D1040000}"/>
    <hyperlink ref="K417" location="AEO!A1" display="AEO" xr:uid="{00000000-0004-0000-0D00-0000D2040000}"/>
    <hyperlink ref="A418" r:id="rId819" xr:uid="{00000000-0004-0000-0D00-0000D3040000}"/>
    <hyperlink ref="C418" r:id="rId820" xr:uid="{00000000-0004-0000-0D00-0000D4040000}"/>
    <hyperlink ref="K418" location="AEO!A1" display="AEO" xr:uid="{00000000-0004-0000-0D00-0000D5040000}"/>
    <hyperlink ref="A419" r:id="rId821" xr:uid="{00000000-0004-0000-0D00-0000D6040000}"/>
    <hyperlink ref="C419" r:id="rId822" xr:uid="{00000000-0004-0000-0D00-0000D7040000}"/>
    <hyperlink ref="K419" location="AEO!A1" display="AEO" xr:uid="{00000000-0004-0000-0D00-0000D8040000}"/>
    <hyperlink ref="A420" r:id="rId823" xr:uid="{00000000-0004-0000-0D00-0000D9040000}"/>
    <hyperlink ref="C420" r:id="rId824" xr:uid="{00000000-0004-0000-0D00-0000DA040000}"/>
    <hyperlink ref="K420" location="AEO!A1" display="AEO" xr:uid="{00000000-0004-0000-0D00-0000DB040000}"/>
    <hyperlink ref="A421" r:id="rId825" xr:uid="{00000000-0004-0000-0D00-0000DC040000}"/>
    <hyperlink ref="C421" r:id="rId826" xr:uid="{00000000-0004-0000-0D00-0000DD040000}"/>
    <hyperlink ref="K421" location="AEO!A1" display="AEO" xr:uid="{00000000-0004-0000-0D00-0000DE040000}"/>
    <hyperlink ref="A422" r:id="rId827" xr:uid="{00000000-0004-0000-0D00-0000DF040000}"/>
    <hyperlink ref="C422" r:id="rId828" xr:uid="{00000000-0004-0000-0D00-0000E0040000}"/>
    <hyperlink ref="K422" location="AEO!A1" display="AEO" xr:uid="{00000000-0004-0000-0D00-0000E1040000}"/>
    <hyperlink ref="A423" r:id="rId829" xr:uid="{00000000-0004-0000-0D00-0000E2040000}"/>
    <hyperlink ref="C423" r:id="rId830" xr:uid="{00000000-0004-0000-0D00-0000E3040000}"/>
    <hyperlink ref="K423" location="AEO!A1" display="AEO" xr:uid="{00000000-0004-0000-0D00-0000E4040000}"/>
    <hyperlink ref="A424" r:id="rId831" xr:uid="{00000000-0004-0000-0D00-0000E5040000}"/>
    <hyperlink ref="C424" r:id="rId832" xr:uid="{00000000-0004-0000-0D00-0000E6040000}"/>
    <hyperlink ref="K424" location="AEO!A1" display="AEO" xr:uid="{00000000-0004-0000-0D00-0000E7040000}"/>
    <hyperlink ref="A425" r:id="rId833" xr:uid="{00000000-0004-0000-0D00-0000E8040000}"/>
    <hyperlink ref="C425" r:id="rId834" xr:uid="{00000000-0004-0000-0D00-0000E9040000}"/>
    <hyperlink ref="K425" location="AEO!A1" display="AEO" xr:uid="{00000000-0004-0000-0D00-0000EA040000}"/>
    <hyperlink ref="A426" r:id="rId835" xr:uid="{00000000-0004-0000-0D00-0000EB040000}"/>
    <hyperlink ref="C426" r:id="rId836" xr:uid="{00000000-0004-0000-0D00-0000EC040000}"/>
    <hyperlink ref="K426" location="AEO!A1" display="AEO" xr:uid="{00000000-0004-0000-0D00-0000ED040000}"/>
    <hyperlink ref="A427" r:id="rId837" xr:uid="{00000000-0004-0000-0D00-0000EE040000}"/>
    <hyperlink ref="C427" r:id="rId838" xr:uid="{00000000-0004-0000-0D00-0000EF040000}"/>
    <hyperlink ref="K427" location="AEO!A1" display="AEO" xr:uid="{00000000-0004-0000-0D00-0000F0040000}"/>
    <hyperlink ref="A428" r:id="rId839" xr:uid="{00000000-0004-0000-0D00-0000F1040000}"/>
    <hyperlink ref="C428" r:id="rId840" xr:uid="{00000000-0004-0000-0D00-0000F2040000}"/>
    <hyperlink ref="K428" location="AEO!A1" display="AEO" xr:uid="{00000000-0004-0000-0D00-0000F3040000}"/>
    <hyperlink ref="A429" r:id="rId841" xr:uid="{00000000-0004-0000-0D00-0000F4040000}"/>
    <hyperlink ref="C429" r:id="rId842" xr:uid="{00000000-0004-0000-0D00-0000F5040000}"/>
    <hyperlink ref="K429" location="AEO!A1" display="AEO" xr:uid="{00000000-0004-0000-0D00-0000F6040000}"/>
    <hyperlink ref="A430" r:id="rId843" xr:uid="{00000000-0004-0000-0D00-0000F7040000}"/>
    <hyperlink ref="C430" r:id="rId844" xr:uid="{00000000-0004-0000-0D00-0000F8040000}"/>
    <hyperlink ref="K430" location="AEO!A1" display="AEO" xr:uid="{00000000-0004-0000-0D00-0000F9040000}"/>
    <hyperlink ref="A431" r:id="rId845" xr:uid="{00000000-0004-0000-0D00-0000FA040000}"/>
    <hyperlink ref="C431" r:id="rId846" xr:uid="{00000000-0004-0000-0D00-0000FB040000}"/>
    <hyperlink ref="K431" location="AEO!A1" display="AEO" xr:uid="{00000000-0004-0000-0D00-0000FC040000}"/>
    <hyperlink ref="A432" r:id="rId847" xr:uid="{00000000-0004-0000-0D00-0000FD040000}"/>
    <hyperlink ref="C432" r:id="rId848" xr:uid="{00000000-0004-0000-0D00-0000FE040000}"/>
    <hyperlink ref="K432" location="AEO!A1" display="AEO" xr:uid="{00000000-0004-0000-0D00-0000FF040000}"/>
    <hyperlink ref="A433" r:id="rId849" xr:uid="{00000000-0004-0000-0D00-000000050000}"/>
    <hyperlink ref="C433" r:id="rId850" xr:uid="{00000000-0004-0000-0D00-000001050000}"/>
    <hyperlink ref="K433" location="AEO!A1" display="AEO" xr:uid="{00000000-0004-0000-0D00-000002050000}"/>
    <hyperlink ref="A434" r:id="rId851" xr:uid="{00000000-0004-0000-0D00-000003050000}"/>
    <hyperlink ref="C434" r:id="rId852" xr:uid="{00000000-0004-0000-0D00-000004050000}"/>
    <hyperlink ref="K434" location="AEO!A1" display="AEO" xr:uid="{00000000-0004-0000-0D00-000005050000}"/>
    <hyperlink ref="A435" r:id="rId853" xr:uid="{00000000-0004-0000-0D00-000006050000}"/>
    <hyperlink ref="C435" r:id="rId854" xr:uid="{00000000-0004-0000-0D00-000007050000}"/>
    <hyperlink ref="K435" location="AEO!A1" display="AEO" xr:uid="{00000000-0004-0000-0D00-000008050000}"/>
    <hyperlink ref="A436" r:id="rId855" xr:uid="{00000000-0004-0000-0D00-000009050000}"/>
    <hyperlink ref="C436" r:id="rId856" xr:uid="{00000000-0004-0000-0D00-00000A050000}"/>
    <hyperlink ref="K436" location="AEO!A1" display="AEO" xr:uid="{00000000-0004-0000-0D00-00000B050000}"/>
    <hyperlink ref="A437" r:id="rId857" xr:uid="{00000000-0004-0000-0D00-00000C050000}"/>
    <hyperlink ref="C437" r:id="rId858" xr:uid="{00000000-0004-0000-0D00-00000D050000}"/>
    <hyperlink ref="K437" location="AEO!A1" display="AEO" xr:uid="{00000000-0004-0000-0D00-00000E050000}"/>
    <hyperlink ref="A438" r:id="rId859" xr:uid="{00000000-0004-0000-0D00-00000F050000}"/>
    <hyperlink ref="K438" location="AEO!A1" display="AEO" xr:uid="{00000000-0004-0000-0D00-000010050000}"/>
    <hyperlink ref="A439" r:id="rId860" xr:uid="{00000000-0004-0000-0D00-000011050000}"/>
    <hyperlink ref="C439" r:id="rId861" xr:uid="{00000000-0004-0000-0D00-000012050000}"/>
    <hyperlink ref="K439" location="AEO!A1" display="AEO" xr:uid="{00000000-0004-0000-0D00-000013050000}"/>
    <hyperlink ref="A440" r:id="rId862" xr:uid="{00000000-0004-0000-0D00-000014050000}"/>
    <hyperlink ref="C440" r:id="rId863" xr:uid="{00000000-0004-0000-0D00-000015050000}"/>
    <hyperlink ref="K440" location="AEO!A1" display="AEO" xr:uid="{00000000-0004-0000-0D00-000016050000}"/>
    <hyperlink ref="A441" r:id="rId864" xr:uid="{00000000-0004-0000-0D00-000017050000}"/>
    <hyperlink ref="C441" r:id="rId865" xr:uid="{00000000-0004-0000-0D00-000018050000}"/>
    <hyperlink ref="K441" location="AEO!A1" display="AEO" xr:uid="{00000000-0004-0000-0D00-000019050000}"/>
    <hyperlink ref="A442" r:id="rId866" xr:uid="{00000000-0004-0000-0D00-00001A050000}"/>
    <hyperlink ref="C442" r:id="rId867" xr:uid="{00000000-0004-0000-0D00-00001B050000}"/>
    <hyperlink ref="K442" location="AEO!A1" display="AEO" xr:uid="{00000000-0004-0000-0D00-00001C050000}"/>
    <hyperlink ref="A443" r:id="rId868" xr:uid="{00000000-0004-0000-0D00-00001D050000}"/>
    <hyperlink ref="C443" r:id="rId869" xr:uid="{00000000-0004-0000-0D00-00001E050000}"/>
    <hyperlink ref="K443" location="AEO!A1" display="AEO" xr:uid="{00000000-0004-0000-0D00-00001F050000}"/>
    <hyperlink ref="A444" r:id="rId870" xr:uid="{00000000-0004-0000-0D00-000020050000}"/>
    <hyperlink ref="C444" r:id="rId871" xr:uid="{00000000-0004-0000-0D00-000021050000}"/>
    <hyperlink ref="K444" location="AEO!A1" display="AEO" xr:uid="{00000000-0004-0000-0D00-000022050000}"/>
    <hyperlink ref="A445" r:id="rId872" xr:uid="{00000000-0004-0000-0D00-000023050000}"/>
    <hyperlink ref="C445" r:id="rId873" xr:uid="{00000000-0004-0000-0D00-000024050000}"/>
    <hyperlink ref="K445" location="AEO!A1" display="AEO" xr:uid="{00000000-0004-0000-0D00-000025050000}"/>
    <hyperlink ref="A446" r:id="rId874" xr:uid="{00000000-0004-0000-0D00-000026050000}"/>
    <hyperlink ref="C446" r:id="rId875" xr:uid="{00000000-0004-0000-0D00-000027050000}"/>
    <hyperlink ref="K446" location="AEO!A1" display="AEO" xr:uid="{00000000-0004-0000-0D00-000028050000}"/>
    <hyperlink ref="A447" r:id="rId876" xr:uid="{00000000-0004-0000-0D00-000029050000}"/>
    <hyperlink ref="C447" r:id="rId877" xr:uid="{00000000-0004-0000-0D00-00002A050000}"/>
    <hyperlink ref="K447" location="AEO!A1" display="AEO" xr:uid="{00000000-0004-0000-0D00-00002B050000}"/>
    <hyperlink ref="A448" r:id="rId878" xr:uid="{00000000-0004-0000-0D00-00002C050000}"/>
    <hyperlink ref="C448" r:id="rId879" xr:uid="{00000000-0004-0000-0D00-00002D050000}"/>
    <hyperlink ref="K448" location="AEO!A1" display="AEO" xr:uid="{00000000-0004-0000-0D00-00002E050000}"/>
    <hyperlink ref="A449" r:id="rId880" xr:uid="{00000000-0004-0000-0D00-00002F050000}"/>
    <hyperlink ref="C449" r:id="rId881" xr:uid="{00000000-0004-0000-0D00-000030050000}"/>
    <hyperlink ref="K449" location="AEO!A1" display="AEO" xr:uid="{00000000-0004-0000-0D00-000031050000}"/>
    <hyperlink ref="A450" r:id="rId882" xr:uid="{00000000-0004-0000-0D00-000032050000}"/>
    <hyperlink ref="C450" r:id="rId883" xr:uid="{00000000-0004-0000-0D00-000033050000}"/>
    <hyperlink ref="K450" location="AEO!A1" display="AEO" xr:uid="{00000000-0004-0000-0D00-000034050000}"/>
    <hyperlink ref="A451" r:id="rId884" xr:uid="{00000000-0004-0000-0D00-000035050000}"/>
    <hyperlink ref="K451" location="AEO!A1" display="AEO" xr:uid="{00000000-0004-0000-0D00-000036050000}"/>
    <hyperlink ref="A452" r:id="rId885" xr:uid="{00000000-0004-0000-0D00-000037050000}"/>
    <hyperlink ref="C452" r:id="rId886" xr:uid="{00000000-0004-0000-0D00-000038050000}"/>
    <hyperlink ref="K452" location="AEO!A1" display="AEO" xr:uid="{00000000-0004-0000-0D00-000039050000}"/>
    <hyperlink ref="A453" r:id="rId887" xr:uid="{00000000-0004-0000-0D00-00003A050000}"/>
    <hyperlink ref="C453" r:id="rId888" xr:uid="{00000000-0004-0000-0D00-00003B050000}"/>
    <hyperlink ref="K453" location="AEO!A1" display="AEO" xr:uid="{00000000-0004-0000-0D00-00003C050000}"/>
    <hyperlink ref="A454" r:id="rId889" xr:uid="{00000000-0004-0000-0D00-00003D050000}"/>
    <hyperlink ref="C454" r:id="rId890" xr:uid="{00000000-0004-0000-0D00-00003E050000}"/>
    <hyperlink ref="K454" location="AEO!A1" display="AEO" xr:uid="{00000000-0004-0000-0D00-00003F050000}"/>
    <hyperlink ref="A455" r:id="rId891" xr:uid="{00000000-0004-0000-0D00-000040050000}"/>
    <hyperlink ref="C455" r:id="rId892" xr:uid="{00000000-0004-0000-0D00-000041050000}"/>
    <hyperlink ref="K455" location="AEO!A1" display="AEO" xr:uid="{00000000-0004-0000-0D00-000042050000}"/>
    <hyperlink ref="A456" r:id="rId893" xr:uid="{00000000-0004-0000-0D00-000043050000}"/>
    <hyperlink ref="C456" r:id="rId894" xr:uid="{00000000-0004-0000-0D00-000044050000}"/>
    <hyperlink ref="K456" location="AEO!A1" display="AEO" xr:uid="{00000000-0004-0000-0D00-000045050000}"/>
    <hyperlink ref="A457" r:id="rId895" xr:uid="{00000000-0004-0000-0D00-000046050000}"/>
    <hyperlink ref="C457" r:id="rId896" xr:uid="{00000000-0004-0000-0D00-000047050000}"/>
    <hyperlink ref="K457" location="AEO!A1" display="AEO" xr:uid="{00000000-0004-0000-0D00-000048050000}"/>
    <hyperlink ref="A458" r:id="rId897" xr:uid="{00000000-0004-0000-0D00-000049050000}"/>
    <hyperlink ref="C458" r:id="rId898" xr:uid="{00000000-0004-0000-0D00-00004A050000}"/>
    <hyperlink ref="K458" location="AEO!A1" display="AEO" xr:uid="{00000000-0004-0000-0D00-00004B050000}"/>
    <hyperlink ref="A459" r:id="rId899" xr:uid="{00000000-0004-0000-0D00-00004C050000}"/>
    <hyperlink ref="C459" r:id="rId900" xr:uid="{00000000-0004-0000-0D00-00004D050000}"/>
    <hyperlink ref="K459" location="AEO!A1" display="AEO" xr:uid="{00000000-0004-0000-0D00-00004E050000}"/>
    <hyperlink ref="A460" r:id="rId901" xr:uid="{00000000-0004-0000-0D00-00004F050000}"/>
    <hyperlink ref="C460" r:id="rId902" xr:uid="{00000000-0004-0000-0D00-000050050000}"/>
    <hyperlink ref="K460" location="AEO!A1" display="AEO" xr:uid="{00000000-0004-0000-0D00-000051050000}"/>
    <hyperlink ref="A461" r:id="rId903" xr:uid="{00000000-0004-0000-0D00-000052050000}"/>
    <hyperlink ref="C461" r:id="rId904" xr:uid="{00000000-0004-0000-0D00-000053050000}"/>
    <hyperlink ref="K461" location="AEO!A1" display="AEO" xr:uid="{00000000-0004-0000-0D00-000054050000}"/>
    <hyperlink ref="A462" r:id="rId905" xr:uid="{00000000-0004-0000-0D00-000055050000}"/>
    <hyperlink ref="C462" r:id="rId906" xr:uid="{00000000-0004-0000-0D00-000056050000}"/>
    <hyperlink ref="K462" location="AEO!A1" display="AEO" xr:uid="{00000000-0004-0000-0D00-000057050000}"/>
    <hyperlink ref="A463" r:id="rId907" xr:uid="{00000000-0004-0000-0D00-000058050000}"/>
    <hyperlink ref="C463" r:id="rId908" xr:uid="{00000000-0004-0000-0D00-000059050000}"/>
    <hyperlink ref="K463" location="AEO!A1" display="AEO" xr:uid="{00000000-0004-0000-0D00-00005A050000}"/>
    <hyperlink ref="A464" r:id="rId909" xr:uid="{00000000-0004-0000-0D00-00005B050000}"/>
    <hyperlink ref="C464" r:id="rId910" xr:uid="{00000000-0004-0000-0D00-00005C050000}"/>
    <hyperlink ref="K464" location="AEO!A1" display="AEO" xr:uid="{00000000-0004-0000-0D00-00005D050000}"/>
    <hyperlink ref="A465" r:id="rId911" xr:uid="{00000000-0004-0000-0D00-00005E050000}"/>
    <hyperlink ref="C465" r:id="rId912" xr:uid="{00000000-0004-0000-0D00-00005F050000}"/>
    <hyperlink ref="K465" location="AEO!A1" display="AEO" xr:uid="{00000000-0004-0000-0D00-000060050000}"/>
    <hyperlink ref="A466" r:id="rId913" xr:uid="{00000000-0004-0000-0D00-000061050000}"/>
    <hyperlink ref="C466" r:id="rId914" xr:uid="{00000000-0004-0000-0D00-000062050000}"/>
    <hyperlink ref="K466" location="AEO!A1" display="AEO" xr:uid="{00000000-0004-0000-0D00-000063050000}"/>
    <hyperlink ref="A467" r:id="rId915" xr:uid="{00000000-0004-0000-0D00-000064050000}"/>
    <hyperlink ref="C467" r:id="rId916" xr:uid="{00000000-0004-0000-0D00-000065050000}"/>
    <hyperlink ref="K467" location="AEO!A1" display="AEO" xr:uid="{00000000-0004-0000-0D00-000066050000}"/>
    <hyperlink ref="A468" r:id="rId917" xr:uid="{00000000-0004-0000-0D00-000067050000}"/>
    <hyperlink ref="C468" r:id="rId918" xr:uid="{00000000-0004-0000-0D00-000068050000}"/>
    <hyperlink ref="K468" location="AEO!A1" display="AEO" xr:uid="{00000000-0004-0000-0D00-000069050000}"/>
    <hyperlink ref="A469" r:id="rId919" xr:uid="{00000000-0004-0000-0D00-00006A050000}"/>
    <hyperlink ref="C469" r:id="rId920" xr:uid="{00000000-0004-0000-0D00-00006B050000}"/>
    <hyperlink ref="K469" location="AEO!A1" display="AEO" xr:uid="{00000000-0004-0000-0D00-00006C050000}"/>
    <hyperlink ref="A470" r:id="rId921" xr:uid="{00000000-0004-0000-0D00-00006D050000}"/>
    <hyperlink ref="C470" r:id="rId922" xr:uid="{00000000-0004-0000-0D00-00006E050000}"/>
    <hyperlink ref="K470" location="AEO!A1" display="AEO" xr:uid="{00000000-0004-0000-0D00-00006F050000}"/>
    <hyperlink ref="A471" r:id="rId923" xr:uid="{00000000-0004-0000-0D00-000070050000}"/>
    <hyperlink ref="C471" r:id="rId924" xr:uid="{00000000-0004-0000-0D00-000071050000}"/>
    <hyperlink ref="K471" location="AEO!A1" display="AEO" xr:uid="{00000000-0004-0000-0D00-000072050000}"/>
    <hyperlink ref="A472" r:id="rId925" xr:uid="{00000000-0004-0000-0D00-000073050000}"/>
    <hyperlink ref="C472" r:id="rId926" xr:uid="{00000000-0004-0000-0D00-000074050000}"/>
    <hyperlink ref="K472" location="AEO!A1" display="AEO" xr:uid="{00000000-0004-0000-0D00-000075050000}"/>
    <hyperlink ref="A473" r:id="rId927" xr:uid="{00000000-0004-0000-0D00-000076050000}"/>
    <hyperlink ref="C473" r:id="rId928" xr:uid="{00000000-0004-0000-0D00-000077050000}"/>
    <hyperlink ref="K473" location="AEO!A1" display="AEO" xr:uid="{00000000-0004-0000-0D00-000078050000}"/>
    <hyperlink ref="A474" r:id="rId929" xr:uid="{00000000-0004-0000-0D00-000079050000}"/>
    <hyperlink ref="C474" r:id="rId930" xr:uid="{00000000-0004-0000-0D00-00007A050000}"/>
    <hyperlink ref="K474" location="AEO!A1" display="AEO" xr:uid="{00000000-0004-0000-0D00-00007B050000}"/>
    <hyperlink ref="A475" r:id="rId931" xr:uid="{00000000-0004-0000-0D00-00007C050000}"/>
    <hyperlink ref="C475" r:id="rId932" xr:uid="{00000000-0004-0000-0D00-00007D050000}"/>
    <hyperlink ref="K475" location="AEO!A1" display="AEO" xr:uid="{00000000-0004-0000-0D00-00007E050000}"/>
    <hyperlink ref="A476" r:id="rId933" xr:uid="{00000000-0004-0000-0D00-00007F050000}"/>
    <hyperlink ref="C476" r:id="rId934" xr:uid="{00000000-0004-0000-0D00-000080050000}"/>
    <hyperlink ref="K476" location="AEO!A1" display="AEO" xr:uid="{00000000-0004-0000-0D00-000081050000}"/>
    <hyperlink ref="A477" r:id="rId935" xr:uid="{00000000-0004-0000-0D00-000082050000}"/>
    <hyperlink ref="C477" r:id="rId936" xr:uid="{00000000-0004-0000-0D00-000083050000}"/>
    <hyperlink ref="K477" location="AEO!A1" display="AEO" xr:uid="{00000000-0004-0000-0D00-000084050000}"/>
    <hyperlink ref="A478" r:id="rId937" xr:uid="{00000000-0004-0000-0D00-000085050000}"/>
    <hyperlink ref="C478" r:id="rId938" xr:uid="{00000000-0004-0000-0D00-000086050000}"/>
    <hyperlink ref="K478" location="AEO!A1" display="AEO" xr:uid="{00000000-0004-0000-0D00-000087050000}"/>
    <hyperlink ref="A479" r:id="rId939" xr:uid="{00000000-0004-0000-0D00-000088050000}"/>
    <hyperlink ref="C479" r:id="rId940" xr:uid="{00000000-0004-0000-0D00-000089050000}"/>
    <hyperlink ref="K479" location="AEO!A1" display="AEO" xr:uid="{00000000-0004-0000-0D00-00008A050000}"/>
    <hyperlink ref="A480" r:id="rId941" xr:uid="{00000000-0004-0000-0D00-00008B050000}"/>
    <hyperlink ref="C480" r:id="rId942" xr:uid="{00000000-0004-0000-0D00-00008C050000}"/>
    <hyperlink ref="K480" location="AEO!A1" display="AEO" xr:uid="{00000000-0004-0000-0D00-00008D050000}"/>
    <hyperlink ref="A481" r:id="rId943" xr:uid="{00000000-0004-0000-0D00-00008E050000}"/>
    <hyperlink ref="C481" r:id="rId944" xr:uid="{00000000-0004-0000-0D00-00008F050000}"/>
    <hyperlink ref="K481" location="AEO!A1" display="AEO" xr:uid="{00000000-0004-0000-0D00-000090050000}"/>
    <hyperlink ref="A482" r:id="rId945" xr:uid="{00000000-0004-0000-0D00-000091050000}"/>
    <hyperlink ref="C482" r:id="rId946" xr:uid="{00000000-0004-0000-0D00-000092050000}"/>
    <hyperlink ref="K482" location="AEO!A1" display="AEO" xr:uid="{00000000-0004-0000-0D00-000093050000}"/>
    <hyperlink ref="A483" r:id="rId947" xr:uid="{00000000-0004-0000-0D00-000094050000}"/>
    <hyperlink ref="C483" r:id="rId948" xr:uid="{00000000-0004-0000-0D00-000095050000}"/>
    <hyperlink ref="K483" location="AEO!A1" display="AEO" xr:uid="{00000000-0004-0000-0D00-000096050000}"/>
    <hyperlink ref="A484" r:id="rId949" xr:uid="{00000000-0004-0000-0D00-000097050000}"/>
    <hyperlink ref="C484" r:id="rId950" xr:uid="{00000000-0004-0000-0D00-000098050000}"/>
    <hyperlink ref="K484" location="AEO!A1" display="AEO" xr:uid="{00000000-0004-0000-0D00-000099050000}"/>
    <hyperlink ref="A485" r:id="rId951" xr:uid="{00000000-0004-0000-0D00-00009A050000}"/>
    <hyperlink ref="C485" r:id="rId952" xr:uid="{00000000-0004-0000-0D00-00009B050000}"/>
    <hyperlink ref="K485" location="AEO!A1" display="AEO" xr:uid="{00000000-0004-0000-0D00-00009C050000}"/>
    <hyperlink ref="A486" r:id="rId953" xr:uid="{00000000-0004-0000-0D00-00009D050000}"/>
    <hyperlink ref="C486" r:id="rId954" xr:uid="{00000000-0004-0000-0D00-00009E050000}"/>
    <hyperlink ref="K486" location="AEO!A1" display="AEO" xr:uid="{00000000-0004-0000-0D00-00009F050000}"/>
    <hyperlink ref="A487" r:id="rId955" xr:uid="{00000000-0004-0000-0D00-0000A0050000}"/>
    <hyperlink ref="C487" r:id="rId956" xr:uid="{00000000-0004-0000-0D00-0000A1050000}"/>
    <hyperlink ref="K487" location="AEO!A1" display="AEO" xr:uid="{00000000-0004-0000-0D00-0000A2050000}"/>
    <hyperlink ref="A488" r:id="rId957" xr:uid="{00000000-0004-0000-0D00-0000A3050000}"/>
    <hyperlink ref="C488" r:id="rId958" xr:uid="{00000000-0004-0000-0D00-0000A4050000}"/>
    <hyperlink ref="K488" location="AEO!A1" display="AEO" xr:uid="{00000000-0004-0000-0D00-0000A5050000}"/>
    <hyperlink ref="A489" r:id="rId959" xr:uid="{00000000-0004-0000-0D00-0000A6050000}"/>
    <hyperlink ref="C489" r:id="rId960" xr:uid="{00000000-0004-0000-0D00-0000A7050000}"/>
    <hyperlink ref="K489" location="AEO!A1" display="AEO" xr:uid="{00000000-0004-0000-0D00-0000A8050000}"/>
    <hyperlink ref="A490" r:id="rId961" xr:uid="{00000000-0004-0000-0D00-0000A9050000}"/>
    <hyperlink ref="C490" r:id="rId962" xr:uid="{00000000-0004-0000-0D00-0000AA050000}"/>
    <hyperlink ref="K490" location="AEO!A1" display="AEO" xr:uid="{00000000-0004-0000-0D00-0000AB050000}"/>
    <hyperlink ref="A491" r:id="rId963" xr:uid="{00000000-0004-0000-0D00-0000AC050000}"/>
    <hyperlink ref="C491" r:id="rId964" xr:uid="{00000000-0004-0000-0D00-0000AD050000}"/>
    <hyperlink ref="K491" location="AEO!A1" display="AEO" xr:uid="{00000000-0004-0000-0D00-0000AE050000}"/>
    <hyperlink ref="A492" r:id="rId965" xr:uid="{00000000-0004-0000-0D00-0000AF050000}"/>
    <hyperlink ref="C492" r:id="rId966" xr:uid="{00000000-0004-0000-0D00-0000B0050000}"/>
    <hyperlink ref="K492" location="AEO!A1" display="AEO" xr:uid="{00000000-0004-0000-0D00-0000B1050000}"/>
    <hyperlink ref="A493" r:id="rId967" xr:uid="{00000000-0004-0000-0D00-0000B2050000}"/>
    <hyperlink ref="C493" r:id="rId968" xr:uid="{00000000-0004-0000-0D00-0000B3050000}"/>
    <hyperlink ref="K493" location="AEO!A1" display="AEO" xr:uid="{00000000-0004-0000-0D00-0000B4050000}"/>
    <hyperlink ref="A494" r:id="rId969" xr:uid="{00000000-0004-0000-0D00-0000B5050000}"/>
    <hyperlink ref="C494" r:id="rId970" xr:uid="{00000000-0004-0000-0D00-0000B6050000}"/>
    <hyperlink ref="K494" location="AEO!A1" display="AEO" xr:uid="{00000000-0004-0000-0D00-0000B7050000}"/>
    <hyperlink ref="A495" r:id="rId971" xr:uid="{00000000-0004-0000-0D00-0000B8050000}"/>
    <hyperlink ref="C495" r:id="rId972" xr:uid="{00000000-0004-0000-0D00-0000B9050000}"/>
    <hyperlink ref="K495" location="AEO!A1" display="AEO" xr:uid="{00000000-0004-0000-0D00-0000BA050000}"/>
    <hyperlink ref="A496" r:id="rId973" xr:uid="{00000000-0004-0000-0D00-0000BB050000}"/>
    <hyperlink ref="C496" r:id="rId974" xr:uid="{00000000-0004-0000-0D00-0000BC050000}"/>
    <hyperlink ref="K496" location="AEO!A1" display="AEO" xr:uid="{00000000-0004-0000-0D00-0000BD050000}"/>
    <hyperlink ref="A497" r:id="rId975" xr:uid="{00000000-0004-0000-0D00-0000BE050000}"/>
    <hyperlink ref="C497" r:id="rId976" xr:uid="{00000000-0004-0000-0D00-0000BF050000}"/>
    <hyperlink ref="K497" location="AEO!A1" display="AEO" xr:uid="{00000000-0004-0000-0D00-0000C0050000}"/>
    <hyperlink ref="A498" r:id="rId977" xr:uid="{00000000-0004-0000-0D00-0000C1050000}"/>
    <hyperlink ref="C498" r:id="rId978" xr:uid="{00000000-0004-0000-0D00-0000C2050000}"/>
    <hyperlink ref="K498" location="Content!A1" display="Content" xr:uid="{00000000-0004-0000-0D00-0000C3050000}"/>
    <hyperlink ref="A499" r:id="rId979" xr:uid="{00000000-0004-0000-0D00-0000C4050000}"/>
    <hyperlink ref="C499" r:id="rId980" xr:uid="{00000000-0004-0000-0D00-0000C5050000}"/>
    <hyperlink ref="K499" location="AEO!A1" display="AEO" xr:uid="{00000000-0004-0000-0D00-0000C6050000}"/>
    <hyperlink ref="A500" r:id="rId981" xr:uid="{00000000-0004-0000-0D00-0000C7050000}"/>
    <hyperlink ref="C500" r:id="rId982" xr:uid="{00000000-0004-0000-0D00-0000C8050000}"/>
    <hyperlink ref="K500" location="AEO!A1" display="AEO" xr:uid="{00000000-0004-0000-0D00-0000C9050000}"/>
    <hyperlink ref="A501" r:id="rId983" xr:uid="{00000000-0004-0000-0D00-0000CA050000}"/>
    <hyperlink ref="C501" r:id="rId984" xr:uid="{00000000-0004-0000-0D00-0000CB050000}"/>
    <hyperlink ref="K501" location="Content!A1" display="Content" xr:uid="{00000000-0004-0000-0D00-0000CC050000}"/>
    <hyperlink ref="A502" r:id="rId985" xr:uid="{00000000-0004-0000-0D00-0000CD050000}"/>
    <hyperlink ref="C502" r:id="rId986" xr:uid="{00000000-0004-0000-0D00-0000CE050000}"/>
    <hyperlink ref="K502" location="AEO!A1" display="AEO" xr:uid="{00000000-0004-0000-0D00-0000CF050000}"/>
    <hyperlink ref="A503" r:id="rId987" xr:uid="{00000000-0004-0000-0D00-0000D0050000}"/>
    <hyperlink ref="C503" r:id="rId988" xr:uid="{00000000-0004-0000-0D00-0000D1050000}"/>
    <hyperlink ref="K503" location="Content!A1" display="Content" xr:uid="{00000000-0004-0000-0D00-0000D2050000}"/>
    <hyperlink ref="A504" r:id="rId989" xr:uid="{00000000-0004-0000-0D00-0000D3050000}"/>
    <hyperlink ref="C504" r:id="rId990" xr:uid="{00000000-0004-0000-0D00-0000D4050000}"/>
    <hyperlink ref="K504" location="AEO!A1" display="AEO" xr:uid="{00000000-0004-0000-0D00-0000D5050000}"/>
    <hyperlink ref="A505" r:id="rId991" xr:uid="{00000000-0004-0000-0D00-0000D6050000}"/>
    <hyperlink ref="C505" r:id="rId992" xr:uid="{00000000-0004-0000-0D00-0000D7050000}"/>
    <hyperlink ref="K505" location="AEO!A1" display="AEO" xr:uid="{00000000-0004-0000-0D00-0000D8050000}"/>
    <hyperlink ref="A506" r:id="rId993" xr:uid="{00000000-0004-0000-0D00-0000D9050000}"/>
    <hyperlink ref="C506" r:id="rId994" xr:uid="{00000000-0004-0000-0D00-0000DA050000}"/>
    <hyperlink ref="K506" location="AEO!A1" display="AEO" xr:uid="{00000000-0004-0000-0D00-0000DB050000}"/>
    <hyperlink ref="A507" r:id="rId995" xr:uid="{00000000-0004-0000-0D00-0000DC050000}"/>
    <hyperlink ref="C507" r:id="rId996" xr:uid="{00000000-0004-0000-0D00-0000DD050000}"/>
    <hyperlink ref="K507" location="AEO!A1" display="AEO" xr:uid="{00000000-0004-0000-0D00-0000DE050000}"/>
    <hyperlink ref="A508" r:id="rId997" xr:uid="{00000000-0004-0000-0D00-0000DF050000}"/>
    <hyperlink ref="C508" r:id="rId998" xr:uid="{00000000-0004-0000-0D00-0000E0050000}"/>
    <hyperlink ref="K508" location="AEO!A1" display="AEO" xr:uid="{00000000-0004-0000-0D00-0000E1050000}"/>
    <hyperlink ref="A509" r:id="rId999" xr:uid="{00000000-0004-0000-0D00-0000E2050000}"/>
    <hyperlink ref="C509" r:id="rId1000" xr:uid="{00000000-0004-0000-0D00-0000E3050000}"/>
    <hyperlink ref="K509" location="AEO!A1" display="AEO" xr:uid="{00000000-0004-0000-0D00-0000E4050000}"/>
    <hyperlink ref="A510" r:id="rId1001" xr:uid="{00000000-0004-0000-0D00-0000E5050000}"/>
    <hyperlink ref="C510" r:id="rId1002" xr:uid="{00000000-0004-0000-0D00-0000E6050000}"/>
    <hyperlink ref="K510" location="AEO!A1" display="AEO" xr:uid="{00000000-0004-0000-0D00-0000E7050000}"/>
    <hyperlink ref="A511" r:id="rId1003" xr:uid="{00000000-0004-0000-0D00-0000E8050000}"/>
    <hyperlink ref="C511" r:id="rId1004" xr:uid="{00000000-0004-0000-0D00-0000E9050000}"/>
    <hyperlink ref="K511" location="AEO!A1" display="AEO" xr:uid="{00000000-0004-0000-0D00-0000EA050000}"/>
    <hyperlink ref="A512" r:id="rId1005" xr:uid="{00000000-0004-0000-0D00-0000EB050000}"/>
    <hyperlink ref="C512" r:id="rId1006" xr:uid="{00000000-0004-0000-0D00-0000EC050000}"/>
    <hyperlink ref="K512" location="Content!A1" display="Content" xr:uid="{00000000-0004-0000-0D00-0000ED050000}"/>
    <hyperlink ref="A513" r:id="rId1007" xr:uid="{00000000-0004-0000-0D00-0000EE050000}"/>
    <hyperlink ref="C513" r:id="rId1008" xr:uid="{00000000-0004-0000-0D00-0000EF050000}"/>
    <hyperlink ref="K513" location="AEO!A1" display="AEO" xr:uid="{00000000-0004-0000-0D00-0000F0050000}"/>
    <hyperlink ref="A514" r:id="rId1009" xr:uid="{00000000-0004-0000-0D00-0000F1050000}"/>
    <hyperlink ref="C514" r:id="rId1010" xr:uid="{00000000-0004-0000-0D00-0000F2050000}"/>
    <hyperlink ref="K514" location="AEO!A1" display="AEO" xr:uid="{00000000-0004-0000-0D00-0000F3050000}"/>
    <hyperlink ref="A515" r:id="rId1011" xr:uid="{00000000-0004-0000-0D00-0000F4050000}"/>
    <hyperlink ref="C515" r:id="rId1012" xr:uid="{00000000-0004-0000-0D00-0000F5050000}"/>
    <hyperlink ref="K515" location="AEO!A1" display="AEO" xr:uid="{00000000-0004-0000-0D00-0000F6050000}"/>
    <hyperlink ref="A516" r:id="rId1013" xr:uid="{00000000-0004-0000-0D00-0000F7050000}"/>
    <hyperlink ref="C516" r:id="rId1014" xr:uid="{00000000-0004-0000-0D00-0000F8050000}"/>
    <hyperlink ref="K516" location="AEO!A1" display="AEO" xr:uid="{00000000-0004-0000-0D00-0000F9050000}"/>
    <hyperlink ref="A517" r:id="rId1015" xr:uid="{00000000-0004-0000-0D00-0000FA050000}"/>
    <hyperlink ref="C517" r:id="rId1016" xr:uid="{00000000-0004-0000-0D00-0000FB050000}"/>
    <hyperlink ref="K517" location="AEO!A1" display="AEO" xr:uid="{00000000-0004-0000-0D00-0000FC050000}"/>
    <hyperlink ref="A518" r:id="rId1017" xr:uid="{00000000-0004-0000-0D00-0000FD050000}"/>
    <hyperlink ref="C518" r:id="rId1018" xr:uid="{00000000-0004-0000-0D00-0000FE050000}"/>
    <hyperlink ref="K518" location="AEO!A1" display="AEO" xr:uid="{00000000-0004-0000-0D00-0000FF050000}"/>
    <hyperlink ref="A519" r:id="rId1019" xr:uid="{00000000-0004-0000-0D00-000000060000}"/>
    <hyperlink ref="C519" r:id="rId1020" xr:uid="{00000000-0004-0000-0D00-000001060000}"/>
    <hyperlink ref="K519" location="Content!A1" display="Content" xr:uid="{00000000-0004-0000-0D00-000002060000}"/>
    <hyperlink ref="A520" r:id="rId1021" xr:uid="{00000000-0004-0000-0D00-000003060000}"/>
    <hyperlink ref="C520" r:id="rId1022" xr:uid="{00000000-0004-0000-0D00-000004060000}"/>
    <hyperlink ref="K520" location="AEO!A1" display="AEO" xr:uid="{00000000-0004-0000-0D00-000005060000}"/>
    <hyperlink ref="A521" r:id="rId1023" xr:uid="{00000000-0004-0000-0D00-000006060000}"/>
    <hyperlink ref="C521" r:id="rId1024" xr:uid="{00000000-0004-0000-0D00-000007060000}"/>
    <hyperlink ref="K521" location="AEO!A1" display="AEO" xr:uid="{00000000-0004-0000-0D00-000008060000}"/>
    <hyperlink ref="A522" r:id="rId1025" xr:uid="{00000000-0004-0000-0D00-000009060000}"/>
    <hyperlink ref="C522" r:id="rId1026" xr:uid="{00000000-0004-0000-0D00-00000A060000}"/>
    <hyperlink ref="K522" location="Content!A1" display="Content" xr:uid="{00000000-0004-0000-0D00-00000B060000}"/>
    <hyperlink ref="A523" r:id="rId1027" xr:uid="{00000000-0004-0000-0D00-00000C060000}"/>
    <hyperlink ref="C523" r:id="rId1028" xr:uid="{00000000-0004-0000-0D00-00000D060000}"/>
    <hyperlink ref="K523" location="AEO!A1" display="AEO" xr:uid="{00000000-0004-0000-0D00-00000E060000}"/>
    <hyperlink ref="A524" r:id="rId1029" xr:uid="{00000000-0004-0000-0D00-00000F060000}"/>
    <hyperlink ref="C524" r:id="rId1030" xr:uid="{00000000-0004-0000-0D00-000010060000}"/>
    <hyperlink ref="K524" location="Content!A1" display="Content" xr:uid="{00000000-0004-0000-0D00-000011060000}"/>
    <hyperlink ref="A525" r:id="rId1031" xr:uid="{00000000-0004-0000-0D00-000012060000}"/>
    <hyperlink ref="C525" r:id="rId1032" xr:uid="{00000000-0004-0000-0D00-000013060000}"/>
    <hyperlink ref="K525" location="AEO!A1" display="AEO" xr:uid="{00000000-0004-0000-0D00-000014060000}"/>
    <hyperlink ref="A526" r:id="rId1033" xr:uid="{00000000-0004-0000-0D00-000015060000}"/>
    <hyperlink ref="C526" r:id="rId1034" xr:uid="{00000000-0004-0000-0D00-000016060000}"/>
    <hyperlink ref="K526" location="Content!A1" display="Content" xr:uid="{00000000-0004-0000-0D00-000017060000}"/>
    <hyperlink ref="A527" r:id="rId1035" xr:uid="{00000000-0004-0000-0D00-000018060000}"/>
    <hyperlink ref="C527" r:id="rId1036" xr:uid="{00000000-0004-0000-0D00-000019060000}"/>
    <hyperlink ref="K527" location="AEO!A1" display="AEO" xr:uid="{00000000-0004-0000-0D00-00001A060000}"/>
    <hyperlink ref="A528" r:id="rId1037" xr:uid="{00000000-0004-0000-0D00-00001B060000}"/>
    <hyperlink ref="C528" r:id="rId1038" xr:uid="{00000000-0004-0000-0D00-00001C060000}"/>
    <hyperlink ref="K528" location="Content!A1" display="Content" xr:uid="{00000000-0004-0000-0D00-00001D060000}"/>
    <hyperlink ref="A529" r:id="rId1039" xr:uid="{00000000-0004-0000-0D00-00001E060000}"/>
    <hyperlink ref="C529" r:id="rId1040" xr:uid="{00000000-0004-0000-0D00-00001F060000}"/>
    <hyperlink ref="K529" location="AEO!A1" display="AEO" xr:uid="{00000000-0004-0000-0D00-000020060000}"/>
    <hyperlink ref="A530" r:id="rId1041" xr:uid="{00000000-0004-0000-0D00-000021060000}"/>
    <hyperlink ref="C530" r:id="rId1042" xr:uid="{00000000-0004-0000-0D00-000022060000}"/>
    <hyperlink ref="K530" location="AEO!A1" display="AEO" xr:uid="{00000000-0004-0000-0D00-000023060000}"/>
    <hyperlink ref="A531" r:id="rId1043" xr:uid="{00000000-0004-0000-0D00-000024060000}"/>
    <hyperlink ref="C531" r:id="rId1044" xr:uid="{00000000-0004-0000-0D00-000025060000}"/>
    <hyperlink ref="K531" location="AEO!A1" display="AEO" xr:uid="{00000000-0004-0000-0D00-000026060000}"/>
    <hyperlink ref="A532" r:id="rId1045" xr:uid="{00000000-0004-0000-0D00-000027060000}"/>
    <hyperlink ref="K532" location="AEO!A1" display="AEO" xr:uid="{00000000-0004-0000-0D00-000028060000}"/>
    <hyperlink ref="A533" r:id="rId1046" xr:uid="{00000000-0004-0000-0D00-000029060000}"/>
    <hyperlink ref="C533" r:id="rId1047" xr:uid="{00000000-0004-0000-0D00-00002A060000}"/>
    <hyperlink ref="K533" location="AEO!A1" display="AEO" xr:uid="{00000000-0004-0000-0D00-00002B060000}"/>
    <hyperlink ref="A534" r:id="rId1048" xr:uid="{00000000-0004-0000-0D00-00002C060000}"/>
    <hyperlink ref="C534" r:id="rId1049" xr:uid="{00000000-0004-0000-0D00-00002D060000}"/>
    <hyperlink ref="K534" location="AEO!A1" display="AEO" xr:uid="{00000000-0004-0000-0D00-00002E060000}"/>
    <hyperlink ref="A535" r:id="rId1050" xr:uid="{00000000-0004-0000-0D00-00002F060000}"/>
    <hyperlink ref="C535" r:id="rId1051" xr:uid="{00000000-0004-0000-0D00-000030060000}"/>
    <hyperlink ref="K535" location="AEO!A1" display="AEO" xr:uid="{00000000-0004-0000-0D00-000031060000}"/>
    <hyperlink ref="A536" r:id="rId1052" xr:uid="{00000000-0004-0000-0D00-000032060000}"/>
    <hyperlink ref="C536" r:id="rId1053" xr:uid="{00000000-0004-0000-0D00-000033060000}"/>
    <hyperlink ref="K536" location="Content!A1" display="Content" xr:uid="{00000000-0004-0000-0D00-000034060000}"/>
    <hyperlink ref="A537" r:id="rId1054" xr:uid="{00000000-0004-0000-0D00-000035060000}"/>
    <hyperlink ref="C537" r:id="rId1055" xr:uid="{00000000-0004-0000-0D00-000036060000}"/>
    <hyperlink ref="K537" location="AEO!A1" display="AEO" xr:uid="{00000000-0004-0000-0D00-000037060000}"/>
    <hyperlink ref="A538" r:id="rId1056" xr:uid="{00000000-0004-0000-0D00-000038060000}"/>
    <hyperlink ref="C538" r:id="rId1057" xr:uid="{00000000-0004-0000-0D00-000039060000}"/>
    <hyperlink ref="K538" location="AEO!A1" display="AEO" xr:uid="{00000000-0004-0000-0D00-00003A060000}"/>
    <hyperlink ref="A539" r:id="rId1058" xr:uid="{00000000-0004-0000-0D00-00003B060000}"/>
    <hyperlink ref="C539" r:id="rId1059" xr:uid="{00000000-0004-0000-0D00-00003C060000}"/>
    <hyperlink ref="K539" location="AEO!A1" display="AEO" xr:uid="{00000000-0004-0000-0D00-00003D060000}"/>
    <hyperlink ref="A540" r:id="rId1060" xr:uid="{00000000-0004-0000-0D00-00003E060000}"/>
    <hyperlink ref="C540" r:id="rId1061" xr:uid="{00000000-0004-0000-0D00-00003F060000}"/>
    <hyperlink ref="K540" location="AEO!A1" display="AEO" xr:uid="{00000000-0004-0000-0D00-000040060000}"/>
    <hyperlink ref="A541" r:id="rId1062" xr:uid="{00000000-0004-0000-0D00-000041060000}"/>
    <hyperlink ref="C541" r:id="rId1063" xr:uid="{00000000-0004-0000-0D00-000042060000}"/>
    <hyperlink ref="K541" location="AEO!A1" display="AEO" xr:uid="{00000000-0004-0000-0D00-000043060000}"/>
    <hyperlink ref="A542" r:id="rId1064" xr:uid="{00000000-0004-0000-0D00-000044060000}"/>
    <hyperlink ref="C542" r:id="rId1065" xr:uid="{00000000-0004-0000-0D00-000045060000}"/>
    <hyperlink ref="K542" location="Content!A1" display="Content" xr:uid="{00000000-0004-0000-0D00-000046060000}"/>
    <hyperlink ref="A543" r:id="rId1066" xr:uid="{00000000-0004-0000-0D00-000047060000}"/>
    <hyperlink ref="C543" r:id="rId1067" xr:uid="{00000000-0004-0000-0D00-000048060000}"/>
    <hyperlink ref="K543" location="AEO!A1" display="AEO" xr:uid="{00000000-0004-0000-0D00-000049060000}"/>
    <hyperlink ref="A544" r:id="rId1068" xr:uid="{00000000-0004-0000-0D00-00004A060000}"/>
    <hyperlink ref="C544" r:id="rId1069" xr:uid="{00000000-0004-0000-0D00-00004B060000}"/>
    <hyperlink ref="K544" location="Content!A1" display="Content" xr:uid="{00000000-0004-0000-0D00-00004C060000}"/>
    <hyperlink ref="A545" r:id="rId1070" xr:uid="{00000000-0004-0000-0D00-00004D060000}"/>
    <hyperlink ref="C545" r:id="rId1071" xr:uid="{00000000-0004-0000-0D00-00004E060000}"/>
    <hyperlink ref="K545" location="AEO!A1" display="AEO" xr:uid="{00000000-0004-0000-0D00-00004F060000}"/>
    <hyperlink ref="A546" r:id="rId1072" xr:uid="{00000000-0004-0000-0D00-000050060000}"/>
    <hyperlink ref="C546" r:id="rId1073" xr:uid="{00000000-0004-0000-0D00-000051060000}"/>
    <hyperlink ref="K546" location="AEO!A1" display="AEO" xr:uid="{00000000-0004-0000-0D00-000052060000}"/>
    <hyperlink ref="A547" r:id="rId1074" xr:uid="{00000000-0004-0000-0D00-000053060000}"/>
    <hyperlink ref="C547" r:id="rId1075" xr:uid="{00000000-0004-0000-0D00-000054060000}"/>
    <hyperlink ref="K547" location="AEO!A1" display="AEO" xr:uid="{00000000-0004-0000-0D00-000055060000}"/>
    <hyperlink ref="A548" r:id="rId1076" xr:uid="{00000000-0004-0000-0D00-000056060000}"/>
    <hyperlink ref="K548" location="AEO!A1" display="AEO" xr:uid="{00000000-0004-0000-0D00-000057060000}"/>
    <hyperlink ref="A549" r:id="rId1077" xr:uid="{00000000-0004-0000-0D00-000058060000}"/>
    <hyperlink ref="C549" r:id="rId1078" xr:uid="{00000000-0004-0000-0D00-000059060000}"/>
    <hyperlink ref="K549" location="Content!A1" display="Content" xr:uid="{00000000-0004-0000-0D00-00005A060000}"/>
    <hyperlink ref="A550" r:id="rId1079" xr:uid="{00000000-0004-0000-0D00-00005B060000}"/>
    <hyperlink ref="C550" r:id="rId1080" xr:uid="{00000000-0004-0000-0D00-00005C060000}"/>
    <hyperlink ref="K550" location="AEO!A1" display="AEO" xr:uid="{00000000-0004-0000-0D00-00005D060000}"/>
    <hyperlink ref="A551" r:id="rId1081" xr:uid="{00000000-0004-0000-0D00-00005E060000}"/>
    <hyperlink ref="C551" r:id="rId1082" xr:uid="{00000000-0004-0000-0D00-00005F060000}"/>
    <hyperlink ref="K551" location="AEO!A1" display="AEO" xr:uid="{00000000-0004-0000-0D00-000060060000}"/>
    <hyperlink ref="A552" r:id="rId1083" xr:uid="{00000000-0004-0000-0D00-000061060000}"/>
    <hyperlink ref="C552" r:id="rId1084" xr:uid="{00000000-0004-0000-0D00-000062060000}"/>
    <hyperlink ref="K552" location="AEO!A1" display="AEO" xr:uid="{00000000-0004-0000-0D00-000063060000}"/>
    <hyperlink ref="A553" r:id="rId1085" xr:uid="{00000000-0004-0000-0D00-000064060000}"/>
    <hyperlink ref="C553" r:id="rId1086" xr:uid="{00000000-0004-0000-0D00-000065060000}"/>
    <hyperlink ref="K553" location="AEO!A1" display="AEO" xr:uid="{00000000-0004-0000-0D00-000066060000}"/>
    <hyperlink ref="A554" r:id="rId1087" xr:uid="{00000000-0004-0000-0D00-000067060000}"/>
    <hyperlink ref="C554" r:id="rId1088" xr:uid="{00000000-0004-0000-0D00-000068060000}"/>
    <hyperlink ref="K554" location="AEO!A1" display="AEO" xr:uid="{00000000-0004-0000-0D00-000069060000}"/>
    <hyperlink ref="A555" r:id="rId1089" xr:uid="{00000000-0004-0000-0D00-00006A060000}"/>
    <hyperlink ref="C555" r:id="rId1090" xr:uid="{00000000-0004-0000-0D00-00006B060000}"/>
    <hyperlink ref="K555" location="AEO!A1" display="AEO" xr:uid="{00000000-0004-0000-0D00-00006C060000}"/>
    <hyperlink ref="A556" r:id="rId1091" xr:uid="{00000000-0004-0000-0D00-00006D060000}"/>
    <hyperlink ref="C556" r:id="rId1092" xr:uid="{00000000-0004-0000-0D00-00006E060000}"/>
    <hyperlink ref="K556" location="AEO!A1" display="AEO" xr:uid="{00000000-0004-0000-0D00-00006F060000}"/>
    <hyperlink ref="A557" r:id="rId1093" xr:uid="{00000000-0004-0000-0D00-000070060000}"/>
    <hyperlink ref="C557" r:id="rId1094" xr:uid="{00000000-0004-0000-0D00-000071060000}"/>
    <hyperlink ref="K557" location="AEO!A1" display="AEO" xr:uid="{00000000-0004-0000-0D00-000072060000}"/>
    <hyperlink ref="A558" r:id="rId1095" xr:uid="{00000000-0004-0000-0D00-000073060000}"/>
    <hyperlink ref="C558" r:id="rId1096" xr:uid="{00000000-0004-0000-0D00-000074060000}"/>
    <hyperlink ref="K558" location="Content!A1" display="Content" xr:uid="{00000000-0004-0000-0D00-000075060000}"/>
    <hyperlink ref="A559" r:id="rId1097" xr:uid="{00000000-0004-0000-0D00-000076060000}"/>
    <hyperlink ref="C559" r:id="rId1098" xr:uid="{00000000-0004-0000-0D00-000077060000}"/>
    <hyperlink ref="K559" location="AEO!A1" display="AEO" xr:uid="{00000000-0004-0000-0D00-000078060000}"/>
    <hyperlink ref="A560" r:id="rId1099" xr:uid="{00000000-0004-0000-0D00-000079060000}"/>
    <hyperlink ref="C560" r:id="rId1100" xr:uid="{00000000-0004-0000-0D00-00007A060000}"/>
    <hyperlink ref="K560" location="Content!A1" display="Content" xr:uid="{00000000-0004-0000-0D00-00007B060000}"/>
    <hyperlink ref="A561" r:id="rId1101" xr:uid="{00000000-0004-0000-0D00-00007C060000}"/>
    <hyperlink ref="C561" r:id="rId1102" xr:uid="{00000000-0004-0000-0D00-00007D060000}"/>
    <hyperlink ref="K561" location="AEO!A1" display="AEO" xr:uid="{00000000-0004-0000-0D00-00007E060000}"/>
    <hyperlink ref="A562" r:id="rId1103" xr:uid="{00000000-0004-0000-0D00-00007F060000}"/>
    <hyperlink ref="C562" r:id="rId1104" xr:uid="{00000000-0004-0000-0D00-000080060000}"/>
    <hyperlink ref="K562" location="Content!A1" display="Content" xr:uid="{00000000-0004-0000-0D00-000081060000}"/>
    <hyperlink ref="A563" r:id="rId1105" xr:uid="{00000000-0004-0000-0D00-000082060000}"/>
    <hyperlink ref="C563" r:id="rId1106" xr:uid="{00000000-0004-0000-0D00-000083060000}"/>
    <hyperlink ref="K563" location="AEO!A1" display="AEO" xr:uid="{00000000-0004-0000-0D00-000084060000}"/>
    <hyperlink ref="A564" r:id="rId1107" xr:uid="{00000000-0004-0000-0D00-000085060000}"/>
    <hyperlink ref="C564" r:id="rId1108" xr:uid="{00000000-0004-0000-0D00-000086060000}"/>
    <hyperlink ref="K564" location="AEO!A1" display="AEO" xr:uid="{00000000-0004-0000-0D00-000087060000}"/>
    <hyperlink ref="A565" r:id="rId1109" xr:uid="{00000000-0004-0000-0D00-000088060000}"/>
    <hyperlink ref="C565" r:id="rId1110" xr:uid="{00000000-0004-0000-0D00-000089060000}"/>
    <hyperlink ref="K565" location="AEO!A1" display="AEO" xr:uid="{00000000-0004-0000-0D00-00008A060000}"/>
    <hyperlink ref="A566" r:id="rId1111" xr:uid="{00000000-0004-0000-0D00-00008B060000}"/>
    <hyperlink ref="C566" r:id="rId1112" xr:uid="{00000000-0004-0000-0D00-00008C060000}"/>
    <hyperlink ref="K566" location="AEO!A1" display="AEO" xr:uid="{00000000-0004-0000-0D00-00008D060000}"/>
    <hyperlink ref="A567" r:id="rId1113" xr:uid="{00000000-0004-0000-0D00-00008E060000}"/>
    <hyperlink ref="C567" r:id="rId1114" xr:uid="{00000000-0004-0000-0D00-00008F060000}"/>
    <hyperlink ref="K567" location="AEO!A1" display="AEO" xr:uid="{00000000-0004-0000-0D00-000090060000}"/>
    <hyperlink ref="A568" r:id="rId1115" xr:uid="{00000000-0004-0000-0D00-000091060000}"/>
    <hyperlink ref="C568" r:id="rId1116" xr:uid="{00000000-0004-0000-0D00-000092060000}"/>
    <hyperlink ref="K568" location="AEO!A1" display="AEO" xr:uid="{00000000-0004-0000-0D00-000093060000}"/>
    <hyperlink ref="A569" r:id="rId1117" xr:uid="{00000000-0004-0000-0D00-000094060000}"/>
    <hyperlink ref="C569" r:id="rId1118" xr:uid="{00000000-0004-0000-0D00-000095060000}"/>
    <hyperlink ref="K569" location="AEO!A1" display="AEO" xr:uid="{00000000-0004-0000-0D00-000096060000}"/>
    <hyperlink ref="A570" r:id="rId1119" xr:uid="{00000000-0004-0000-0D00-000097060000}"/>
    <hyperlink ref="C570" r:id="rId1120" xr:uid="{00000000-0004-0000-0D00-000098060000}"/>
    <hyperlink ref="K570" location="AEO!A1" display="AEO" xr:uid="{00000000-0004-0000-0D00-000099060000}"/>
    <hyperlink ref="A571" r:id="rId1121" xr:uid="{00000000-0004-0000-0D00-00009A060000}"/>
    <hyperlink ref="C571" r:id="rId1122" xr:uid="{00000000-0004-0000-0D00-00009B060000}"/>
    <hyperlink ref="K571" location="AEO!A1" display="AEO" xr:uid="{00000000-0004-0000-0D00-00009C060000}"/>
    <hyperlink ref="A572" r:id="rId1123" xr:uid="{00000000-0004-0000-0D00-00009D060000}"/>
    <hyperlink ref="C572" r:id="rId1124" xr:uid="{00000000-0004-0000-0D00-00009E060000}"/>
    <hyperlink ref="K572" location="Content!A1" display="Content" xr:uid="{00000000-0004-0000-0D00-00009F060000}"/>
    <hyperlink ref="A573" r:id="rId1125" xr:uid="{00000000-0004-0000-0D00-0000A0060000}"/>
    <hyperlink ref="C573" r:id="rId1126" xr:uid="{00000000-0004-0000-0D00-0000A1060000}"/>
    <hyperlink ref="K573" location="AEO!A1" display="AEO" xr:uid="{00000000-0004-0000-0D00-0000A2060000}"/>
    <hyperlink ref="A574" r:id="rId1127" xr:uid="{00000000-0004-0000-0D00-0000A3060000}"/>
    <hyperlink ref="C574" r:id="rId1128" xr:uid="{00000000-0004-0000-0D00-0000A4060000}"/>
    <hyperlink ref="K574" location="AEO!A1" display="AEO" xr:uid="{00000000-0004-0000-0D00-0000A5060000}"/>
    <hyperlink ref="A575" r:id="rId1129" xr:uid="{00000000-0004-0000-0D00-0000A6060000}"/>
    <hyperlink ref="C575" r:id="rId1130" xr:uid="{00000000-0004-0000-0D00-0000A7060000}"/>
    <hyperlink ref="K575" location="AEO!A1" display="AEO" xr:uid="{00000000-0004-0000-0D00-0000A8060000}"/>
    <hyperlink ref="A576" r:id="rId1131" xr:uid="{00000000-0004-0000-0D00-0000A9060000}"/>
    <hyperlink ref="C576" r:id="rId1132" xr:uid="{00000000-0004-0000-0D00-0000AA060000}"/>
    <hyperlink ref="K576" location="AEO!A1" display="AEO" xr:uid="{00000000-0004-0000-0D00-0000AB060000}"/>
    <hyperlink ref="A577" r:id="rId1133" xr:uid="{00000000-0004-0000-0D00-0000AC060000}"/>
    <hyperlink ref="C577" r:id="rId1134" xr:uid="{00000000-0004-0000-0D00-0000AD060000}"/>
    <hyperlink ref="K577" location="AEO!A1" display="AEO" xr:uid="{00000000-0004-0000-0D00-0000AE060000}"/>
    <hyperlink ref="A578" r:id="rId1135" xr:uid="{00000000-0004-0000-0D00-0000AF060000}"/>
    <hyperlink ref="C578" r:id="rId1136" xr:uid="{00000000-0004-0000-0D00-0000B0060000}"/>
    <hyperlink ref="K578" location="AEO!A1" display="AEO" xr:uid="{00000000-0004-0000-0D00-0000B1060000}"/>
    <hyperlink ref="A579" r:id="rId1137" xr:uid="{00000000-0004-0000-0D00-0000B2060000}"/>
    <hyperlink ref="C579" r:id="rId1138" xr:uid="{00000000-0004-0000-0D00-0000B3060000}"/>
    <hyperlink ref="K579" location="AEO!A1" display="AEO" xr:uid="{00000000-0004-0000-0D00-0000B4060000}"/>
    <hyperlink ref="A580" r:id="rId1139" xr:uid="{00000000-0004-0000-0D00-0000B5060000}"/>
    <hyperlink ref="C580" r:id="rId1140" xr:uid="{00000000-0004-0000-0D00-0000B6060000}"/>
    <hyperlink ref="K580" location="AEO!A1" display="AEO" xr:uid="{00000000-0004-0000-0D00-0000B7060000}"/>
    <hyperlink ref="A581" r:id="rId1141" xr:uid="{00000000-0004-0000-0D00-0000B8060000}"/>
    <hyperlink ref="C581" r:id="rId1142" xr:uid="{00000000-0004-0000-0D00-0000B9060000}"/>
    <hyperlink ref="K581" location="AEO!A1" display="AEO" xr:uid="{00000000-0004-0000-0D00-0000BA060000}"/>
    <hyperlink ref="A582" r:id="rId1143" xr:uid="{00000000-0004-0000-0D00-0000BB060000}"/>
    <hyperlink ref="C582" r:id="rId1144" xr:uid="{00000000-0004-0000-0D00-0000BC060000}"/>
    <hyperlink ref="K582" location="AEO!A1" display="AEO" xr:uid="{00000000-0004-0000-0D00-0000BD060000}"/>
    <hyperlink ref="A583" r:id="rId1145" xr:uid="{00000000-0004-0000-0D00-0000BE060000}"/>
    <hyperlink ref="C583" r:id="rId1146" xr:uid="{00000000-0004-0000-0D00-0000BF060000}"/>
    <hyperlink ref="K583" location="AEO!A1" display="AEO" xr:uid="{00000000-0004-0000-0D00-0000C0060000}"/>
    <hyperlink ref="A584" r:id="rId1147" xr:uid="{00000000-0004-0000-0D00-0000C1060000}"/>
    <hyperlink ref="C584" r:id="rId1148" xr:uid="{00000000-0004-0000-0D00-0000C2060000}"/>
    <hyperlink ref="K584" location="Content!A1" display="Content" xr:uid="{00000000-0004-0000-0D00-0000C3060000}"/>
    <hyperlink ref="A585" r:id="rId1149" xr:uid="{00000000-0004-0000-0D00-0000C4060000}"/>
    <hyperlink ref="C585" r:id="rId1150" xr:uid="{00000000-0004-0000-0D00-0000C5060000}"/>
    <hyperlink ref="K585" location="AEO!A1" display="AEO" xr:uid="{00000000-0004-0000-0D00-0000C6060000}"/>
    <hyperlink ref="A586" r:id="rId1151" xr:uid="{00000000-0004-0000-0D00-0000C7060000}"/>
    <hyperlink ref="C586" r:id="rId1152" xr:uid="{00000000-0004-0000-0D00-0000C8060000}"/>
    <hyperlink ref="K586" location="AEO!A1" display="AEO" xr:uid="{00000000-0004-0000-0D00-0000C9060000}"/>
    <hyperlink ref="A587" r:id="rId1153" xr:uid="{00000000-0004-0000-0D00-0000CA060000}"/>
    <hyperlink ref="C587" r:id="rId1154" xr:uid="{00000000-0004-0000-0D00-0000CB060000}"/>
    <hyperlink ref="K587" location="AEO!A1" display="AEO" xr:uid="{00000000-0004-0000-0D00-0000CC060000}"/>
    <hyperlink ref="A588" r:id="rId1155" xr:uid="{00000000-0004-0000-0D00-0000CD060000}"/>
    <hyperlink ref="C588" r:id="rId1156" xr:uid="{00000000-0004-0000-0D00-0000CE060000}"/>
    <hyperlink ref="K588" location="Content!A1" display="Content" xr:uid="{00000000-0004-0000-0D00-0000CF060000}"/>
    <hyperlink ref="A589" r:id="rId1157" xr:uid="{00000000-0004-0000-0D00-0000D0060000}"/>
    <hyperlink ref="C589" r:id="rId1158" xr:uid="{00000000-0004-0000-0D00-0000D1060000}"/>
    <hyperlink ref="K589" location="AEO!A1" display="AEO" xr:uid="{00000000-0004-0000-0D00-0000D2060000}"/>
    <hyperlink ref="A590" r:id="rId1159" xr:uid="{00000000-0004-0000-0D00-0000D3060000}"/>
    <hyperlink ref="C590" r:id="rId1160" xr:uid="{00000000-0004-0000-0D00-0000D4060000}"/>
    <hyperlink ref="K590" location="AEO!A1" display="AEO" xr:uid="{00000000-0004-0000-0D00-0000D5060000}"/>
    <hyperlink ref="A591" r:id="rId1161" xr:uid="{00000000-0004-0000-0D00-0000D6060000}"/>
    <hyperlink ref="C591" r:id="rId1162" xr:uid="{00000000-0004-0000-0D00-0000D7060000}"/>
    <hyperlink ref="K591" location="AEO!A1" display="AEO" xr:uid="{00000000-0004-0000-0D00-0000D8060000}"/>
    <hyperlink ref="A592" r:id="rId1163" xr:uid="{00000000-0004-0000-0D00-0000D9060000}"/>
    <hyperlink ref="C592" r:id="rId1164" xr:uid="{00000000-0004-0000-0D00-0000DA060000}"/>
    <hyperlink ref="K592" location="AEO!A1" display="AEO" xr:uid="{00000000-0004-0000-0D00-0000DB060000}"/>
    <hyperlink ref="A593" r:id="rId1165" xr:uid="{00000000-0004-0000-0D00-0000DC060000}"/>
    <hyperlink ref="C593" r:id="rId1166" xr:uid="{00000000-0004-0000-0D00-0000DD060000}"/>
    <hyperlink ref="K593" location="AEO!A1" display="AEO" xr:uid="{00000000-0004-0000-0D00-0000DE060000}"/>
    <hyperlink ref="A594" r:id="rId1167" xr:uid="{00000000-0004-0000-0D00-0000DF060000}"/>
    <hyperlink ref="C594" r:id="rId1168" xr:uid="{00000000-0004-0000-0D00-0000E0060000}"/>
    <hyperlink ref="K594" location="AEO!A1" display="AEO" xr:uid="{00000000-0004-0000-0D00-0000E1060000}"/>
    <hyperlink ref="A595" r:id="rId1169" xr:uid="{00000000-0004-0000-0D00-0000E2060000}"/>
    <hyperlink ref="C595" r:id="rId1170" xr:uid="{00000000-0004-0000-0D00-0000E3060000}"/>
    <hyperlink ref="K595" location="AEO!A1" display="AEO" xr:uid="{00000000-0004-0000-0D00-0000E4060000}"/>
    <hyperlink ref="A596" r:id="rId1171" xr:uid="{00000000-0004-0000-0D00-0000E5060000}"/>
    <hyperlink ref="C596" r:id="rId1172" xr:uid="{00000000-0004-0000-0D00-0000E6060000}"/>
    <hyperlink ref="K596" location="AEO!A1" display="AEO" xr:uid="{00000000-0004-0000-0D00-0000E7060000}"/>
    <hyperlink ref="A597" r:id="rId1173" xr:uid="{00000000-0004-0000-0D00-0000E8060000}"/>
    <hyperlink ref="C597" r:id="rId1174" xr:uid="{00000000-0004-0000-0D00-0000E9060000}"/>
    <hyperlink ref="K597" location="AEO!A1" display="AEO" xr:uid="{00000000-0004-0000-0D00-0000EA060000}"/>
    <hyperlink ref="A598" r:id="rId1175" xr:uid="{00000000-0004-0000-0D00-0000EB060000}"/>
    <hyperlink ref="C598" r:id="rId1176" xr:uid="{00000000-0004-0000-0D00-0000EC060000}"/>
    <hyperlink ref="K598" location="AEO!A1" display="AEO" xr:uid="{00000000-0004-0000-0D00-0000ED060000}"/>
    <hyperlink ref="A599" r:id="rId1177" xr:uid="{00000000-0004-0000-0D00-0000EE060000}"/>
    <hyperlink ref="C599" r:id="rId1178" xr:uid="{00000000-0004-0000-0D00-0000EF060000}"/>
    <hyperlink ref="K599" location="AEO!A1" display="AEO" xr:uid="{00000000-0004-0000-0D00-0000F0060000}"/>
    <hyperlink ref="A600" r:id="rId1179" xr:uid="{00000000-0004-0000-0D00-0000F1060000}"/>
    <hyperlink ref="C600" r:id="rId1180" xr:uid="{00000000-0004-0000-0D00-0000F2060000}"/>
    <hyperlink ref="K600" location="AEO!A1" display="AEO" xr:uid="{00000000-0004-0000-0D00-0000F3060000}"/>
    <hyperlink ref="A601" r:id="rId1181" xr:uid="{00000000-0004-0000-0D00-0000F4060000}"/>
    <hyperlink ref="C601" r:id="rId1182" xr:uid="{00000000-0004-0000-0D00-0000F5060000}"/>
    <hyperlink ref="K601" location="AEO!A1" display="AEO" xr:uid="{00000000-0004-0000-0D00-0000F6060000}"/>
    <hyperlink ref="A602" r:id="rId1183" xr:uid="{00000000-0004-0000-0D00-0000F7060000}"/>
    <hyperlink ref="C602" r:id="rId1184" xr:uid="{00000000-0004-0000-0D00-0000F8060000}"/>
    <hyperlink ref="K602" location="AEO!A1" display="AEO" xr:uid="{00000000-0004-0000-0D00-0000F9060000}"/>
    <hyperlink ref="A603" r:id="rId1185" xr:uid="{00000000-0004-0000-0D00-0000FA060000}"/>
    <hyperlink ref="C603" r:id="rId1186" xr:uid="{00000000-0004-0000-0D00-0000FB060000}"/>
    <hyperlink ref="K603" location="AEO!A1" display="AEO" xr:uid="{00000000-0004-0000-0D00-0000FC060000}"/>
    <hyperlink ref="A604" r:id="rId1187" xr:uid="{00000000-0004-0000-0D00-0000FD060000}"/>
    <hyperlink ref="C604" r:id="rId1188" xr:uid="{00000000-0004-0000-0D00-0000FE060000}"/>
    <hyperlink ref="K604" location="AEO!A1" display="AEO" xr:uid="{00000000-0004-0000-0D00-0000FF060000}"/>
    <hyperlink ref="A605" r:id="rId1189" xr:uid="{00000000-0004-0000-0D00-000000070000}"/>
    <hyperlink ref="C605" r:id="rId1190" xr:uid="{00000000-0004-0000-0D00-000001070000}"/>
    <hyperlink ref="K605" location="AEO!A1" display="AEO" xr:uid="{00000000-0004-0000-0D00-000002070000}"/>
    <hyperlink ref="A606" r:id="rId1191" xr:uid="{00000000-0004-0000-0D00-000003070000}"/>
    <hyperlink ref="C606" r:id="rId1192" xr:uid="{00000000-0004-0000-0D00-000004070000}"/>
    <hyperlink ref="K606" location="AEO!A1" display="AEO" xr:uid="{00000000-0004-0000-0D00-000005070000}"/>
    <hyperlink ref="A607" r:id="rId1193" xr:uid="{00000000-0004-0000-0D00-000006070000}"/>
    <hyperlink ref="C607" r:id="rId1194" xr:uid="{00000000-0004-0000-0D00-000007070000}"/>
    <hyperlink ref="K607" location="AEO!A1" display="AEO" xr:uid="{00000000-0004-0000-0D00-000008070000}"/>
    <hyperlink ref="A608" r:id="rId1195" xr:uid="{00000000-0004-0000-0D00-000009070000}"/>
    <hyperlink ref="C608" r:id="rId1196" xr:uid="{00000000-0004-0000-0D00-00000A070000}"/>
    <hyperlink ref="K608" location="AEO!A1" display="AEO" xr:uid="{00000000-0004-0000-0D00-00000B070000}"/>
    <hyperlink ref="A609" r:id="rId1197" xr:uid="{00000000-0004-0000-0D00-00000C070000}"/>
    <hyperlink ref="C609" r:id="rId1198" xr:uid="{00000000-0004-0000-0D00-00000D070000}"/>
    <hyperlink ref="K609" location="AEO!A1" display="AEO" xr:uid="{00000000-0004-0000-0D00-00000E070000}"/>
    <hyperlink ref="A610" r:id="rId1199" xr:uid="{00000000-0004-0000-0D00-00000F070000}"/>
    <hyperlink ref="C610" r:id="rId1200" xr:uid="{00000000-0004-0000-0D00-000010070000}"/>
    <hyperlink ref="K610" location="AEO!A1" display="AEO" xr:uid="{00000000-0004-0000-0D00-000011070000}"/>
    <hyperlink ref="A611" r:id="rId1201" xr:uid="{00000000-0004-0000-0D00-000012070000}"/>
    <hyperlink ref="C611" r:id="rId1202" xr:uid="{00000000-0004-0000-0D00-000013070000}"/>
    <hyperlink ref="K611" location="AEO!A1" display="AEO" xr:uid="{00000000-0004-0000-0D00-000014070000}"/>
    <hyperlink ref="A612" r:id="rId1203" xr:uid="{00000000-0004-0000-0D00-000015070000}"/>
    <hyperlink ref="C612" r:id="rId1204" xr:uid="{00000000-0004-0000-0D00-000016070000}"/>
    <hyperlink ref="K612" location="AEO!A1" display="AEO" xr:uid="{00000000-0004-0000-0D00-000017070000}"/>
    <hyperlink ref="A613" r:id="rId1205" xr:uid="{00000000-0004-0000-0D00-000018070000}"/>
    <hyperlink ref="C613" r:id="rId1206" xr:uid="{00000000-0004-0000-0D00-000019070000}"/>
    <hyperlink ref="K613" location="AEO!A1" display="AEO" xr:uid="{00000000-0004-0000-0D00-00001A070000}"/>
    <hyperlink ref="A614" r:id="rId1207" xr:uid="{00000000-0004-0000-0D00-00001B070000}"/>
    <hyperlink ref="C614" r:id="rId1208" xr:uid="{00000000-0004-0000-0D00-00001C070000}"/>
    <hyperlink ref="K614" location="AEO!A1" display="AEO" xr:uid="{00000000-0004-0000-0D00-00001D070000}"/>
    <hyperlink ref="A615" r:id="rId1209" xr:uid="{00000000-0004-0000-0D00-00001E070000}"/>
    <hyperlink ref="C615" r:id="rId1210" xr:uid="{00000000-0004-0000-0D00-00001F070000}"/>
    <hyperlink ref="K615" location="AEO!A1" display="AEO" xr:uid="{00000000-0004-0000-0D00-000020070000}"/>
    <hyperlink ref="A616" r:id="rId1211" xr:uid="{00000000-0004-0000-0D00-000021070000}"/>
    <hyperlink ref="C616" r:id="rId1212" xr:uid="{00000000-0004-0000-0D00-000022070000}"/>
    <hyperlink ref="K616" location="AEO!A1" display="AEO" xr:uid="{00000000-0004-0000-0D00-000023070000}"/>
    <hyperlink ref="A617" r:id="rId1213" xr:uid="{00000000-0004-0000-0D00-000024070000}"/>
    <hyperlink ref="C617" r:id="rId1214" xr:uid="{00000000-0004-0000-0D00-000025070000}"/>
    <hyperlink ref="K617" location="AEO!A1" display="AEO" xr:uid="{00000000-0004-0000-0D00-000026070000}"/>
    <hyperlink ref="A618" r:id="rId1215" xr:uid="{00000000-0004-0000-0D00-000027070000}"/>
    <hyperlink ref="C618" r:id="rId1216" xr:uid="{00000000-0004-0000-0D00-000028070000}"/>
    <hyperlink ref="K618" location="AEO!A1" display="AEO" xr:uid="{00000000-0004-0000-0D00-000029070000}"/>
    <hyperlink ref="A619" r:id="rId1217" xr:uid="{00000000-0004-0000-0D00-00002A070000}"/>
    <hyperlink ref="C619" r:id="rId1218" xr:uid="{00000000-0004-0000-0D00-00002B070000}"/>
    <hyperlink ref="K619" location="AEO!A1" display="AEO" xr:uid="{00000000-0004-0000-0D00-00002C070000}"/>
    <hyperlink ref="A620" r:id="rId1219" xr:uid="{00000000-0004-0000-0D00-00002D070000}"/>
    <hyperlink ref="C620" r:id="rId1220" xr:uid="{00000000-0004-0000-0D00-00002E070000}"/>
    <hyperlink ref="K620" location="AEO!A1" display="AEO" xr:uid="{00000000-0004-0000-0D00-00002F070000}"/>
    <hyperlink ref="A621" r:id="rId1221" xr:uid="{00000000-0004-0000-0D00-000030070000}"/>
    <hyperlink ref="C621" r:id="rId1222" xr:uid="{00000000-0004-0000-0D00-000031070000}"/>
    <hyperlink ref="K621" location="AEO!A1" display="AEO" xr:uid="{00000000-0004-0000-0D00-000032070000}"/>
    <hyperlink ref="A622" r:id="rId1223" xr:uid="{00000000-0004-0000-0D00-000033070000}"/>
    <hyperlink ref="C622" r:id="rId1224" xr:uid="{00000000-0004-0000-0D00-000034070000}"/>
    <hyperlink ref="K622" location="AEO!A1" display="AEO" xr:uid="{00000000-0004-0000-0D00-000035070000}"/>
    <hyperlink ref="A623" r:id="rId1225" xr:uid="{00000000-0004-0000-0D00-000036070000}"/>
    <hyperlink ref="C623" r:id="rId1226" xr:uid="{00000000-0004-0000-0D00-000037070000}"/>
    <hyperlink ref="K623" location="AEO!A1" display="AEO" xr:uid="{00000000-0004-0000-0D00-000038070000}"/>
    <hyperlink ref="A624" r:id="rId1227" xr:uid="{00000000-0004-0000-0D00-000039070000}"/>
    <hyperlink ref="C624" r:id="rId1228" xr:uid="{00000000-0004-0000-0D00-00003A070000}"/>
    <hyperlink ref="K624" location="AEO!A1" display="AEO" xr:uid="{00000000-0004-0000-0D00-00003B070000}"/>
    <hyperlink ref="A625" r:id="rId1229" xr:uid="{00000000-0004-0000-0D00-00003C070000}"/>
    <hyperlink ref="C625" r:id="rId1230" xr:uid="{00000000-0004-0000-0D00-00003D070000}"/>
    <hyperlink ref="K625" location="AEO!A1" display="AEO" xr:uid="{00000000-0004-0000-0D00-00003E070000}"/>
    <hyperlink ref="A626" r:id="rId1231" xr:uid="{00000000-0004-0000-0D00-00003F070000}"/>
    <hyperlink ref="C626" r:id="rId1232" xr:uid="{00000000-0004-0000-0D00-000040070000}"/>
    <hyperlink ref="K626" location="AEO!A1" display="AEO" xr:uid="{00000000-0004-0000-0D00-000041070000}"/>
    <hyperlink ref="A627" r:id="rId1233" xr:uid="{00000000-0004-0000-0D00-000042070000}"/>
    <hyperlink ref="K627" location="AEO!A1" display="AEO" xr:uid="{00000000-0004-0000-0D00-000043070000}"/>
    <hyperlink ref="A628" r:id="rId1234" xr:uid="{00000000-0004-0000-0D00-000044070000}"/>
    <hyperlink ref="C628" r:id="rId1235" xr:uid="{00000000-0004-0000-0D00-000045070000}"/>
    <hyperlink ref="K628" location="AEO!A1" display="AEO" xr:uid="{00000000-0004-0000-0D00-000046070000}"/>
    <hyperlink ref="A629" r:id="rId1236" xr:uid="{00000000-0004-0000-0D00-000047070000}"/>
    <hyperlink ref="C629" r:id="rId1237" xr:uid="{00000000-0004-0000-0D00-000048070000}"/>
    <hyperlink ref="K629" location="AEO!A1" display="AEO" xr:uid="{00000000-0004-0000-0D00-000049070000}"/>
    <hyperlink ref="A630" r:id="rId1238" xr:uid="{00000000-0004-0000-0D00-00004A070000}"/>
    <hyperlink ref="C630" r:id="rId1239" xr:uid="{00000000-0004-0000-0D00-00004B070000}"/>
    <hyperlink ref="K630" location="AEO!A1" display="AEO" xr:uid="{00000000-0004-0000-0D00-00004C070000}"/>
    <hyperlink ref="A631" r:id="rId1240" xr:uid="{00000000-0004-0000-0D00-00004D070000}"/>
    <hyperlink ref="C631" r:id="rId1241" xr:uid="{00000000-0004-0000-0D00-00004E070000}"/>
    <hyperlink ref="K631" location="AEO!A1" display="AEO" xr:uid="{00000000-0004-0000-0D00-00004F070000}"/>
    <hyperlink ref="A632" r:id="rId1242" xr:uid="{00000000-0004-0000-0D00-000050070000}"/>
    <hyperlink ref="C632" r:id="rId1243" xr:uid="{00000000-0004-0000-0D00-000051070000}"/>
    <hyperlink ref="K632" location="AEO!A1" display="AEO" xr:uid="{00000000-0004-0000-0D00-000052070000}"/>
    <hyperlink ref="A633" r:id="rId1244" xr:uid="{00000000-0004-0000-0D00-000053070000}"/>
    <hyperlink ref="C633" r:id="rId1245" xr:uid="{00000000-0004-0000-0D00-000054070000}"/>
    <hyperlink ref="K633" location="AEO!A1" display="AEO" xr:uid="{00000000-0004-0000-0D00-000055070000}"/>
    <hyperlink ref="A634" r:id="rId1246" xr:uid="{00000000-0004-0000-0D00-000056070000}"/>
    <hyperlink ref="C634" r:id="rId1247" xr:uid="{00000000-0004-0000-0D00-000057070000}"/>
    <hyperlink ref="K634" location="AEO!A1" display="AEO" xr:uid="{00000000-0004-0000-0D00-000058070000}"/>
    <hyperlink ref="A635" r:id="rId1248" xr:uid="{00000000-0004-0000-0D00-000059070000}"/>
    <hyperlink ref="C635" r:id="rId1249" xr:uid="{00000000-0004-0000-0D00-00005A070000}"/>
    <hyperlink ref="K635" location="AEO!A1" display="AEO" xr:uid="{00000000-0004-0000-0D00-00005B070000}"/>
    <hyperlink ref="A636" r:id="rId1250" xr:uid="{00000000-0004-0000-0D00-00005C070000}"/>
    <hyperlink ref="C636" r:id="rId1251" xr:uid="{00000000-0004-0000-0D00-00005D070000}"/>
    <hyperlink ref="K636" location="AEO!A1" display="AEO" xr:uid="{00000000-0004-0000-0D00-00005E070000}"/>
    <hyperlink ref="A637" r:id="rId1252" xr:uid="{00000000-0004-0000-0D00-00005F070000}"/>
    <hyperlink ref="C637" r:id="rId1253" xr:uid="{00000000-0004-0000-0D00-000060070000}"/>
    <hyperlink ref="K637" location="AEO!A1" display="AEO" xr:uid="{00000000-0004-0000-0D00-000061070000}"/>
    <hyperlink ref="A638" r:id="rId1254" xr:uid="{00000000-0004-0000-0D00-000062070000}"/>
    <hyperlink ref="C638" r:id="rId1255" xr:uid="{00000000-0004-0000-0D00-000063070000}"/>
    <hyperlink ref="K638" location="AEO!A1" display="AEO" xr:uid="{00000000-0004-0000-0D00-000064070000}"/>
    <hyperlink ref="A639" r:id="rId1256" xr:uid="{00000000-0004-0000-0D00-000065070000}"/>
    <hyperlink ref="C639" r:id="rId1257" xr:uid="{00000000-0004-0000-0D00-000066070000}"/>
    <hyperlink ref="K639" location="AEO!A1" display="AEO" xr:uid="{00000000-0004-0000-0D00-000067070000}"/>
    <hyperlink ref="A640" r:id="rId1258" xr:uid="{00000000-0004-0000-0D00-000068070000}"/>
    <hyperlink ref="K640" location="AEO!A1" display="AEO" xr:uid="{00000000-0004-0000-0D00-000069070000}"/>
    <hyperlink ref="A641" r:id="rId1259" xr:uid="{00000000-0004-0000-0D00-00006A070000}"/>
    <hyperlink ref="C641" r:id="rId1260" xr:uid="{00000000-0004-0000-0D00-00006B070000}"/>
    <hyperlink ref="K641" location="AEO!A1" display="AEO" xr:uid="{00000000-0004-0000-0D00-00006C070000}"/>
    <hyperlink ref="A642" r:id="rId1261" xr:uid="{00000000-0004-0000-0D00-00006D070000}"/>
    <hyperlink ref="C642" r:id="rId1262" xr:uid="{00000000-0004-0000-0D00-00006E070000}"/>
    <hyperlink ref="K642" location="AEO!A1" display="AEO" xr:uid="{00000000-0004-0000-0D00-00006F070000}"/>
    <hyperlink ref="A643" r:id="rId1263" xr:uid="{00000000-0004-0000-0D00-000070070000}"/>
    <hyperlink ref="C643" r:id="rId1264" xr:uid="{00000000-0004-0000-0D00-000071070000}"/>
    <hyperlink ref="K643" location="AEO!A1" display="AEO" xr:uid="{00000000-0004-0000-0D00-000072070000}"/>
    <hyperlink ref="A644" r:id="rId1265" xr:uid="{00000000-0004-0000-0D00-000073070000}"/>
    <hyperlink ref="C644" r:id="rId1266" xr:uid="{00000000-0004-0000-0D00-000074070000}"/>
    <hyperlink ref="K644" location="AEO!A1" display="AEO" xr:uid="{00000000-0004-0000-0D00-000075070000}"/>
    <hyperlink ref="A645" r:id="rId1267" xr:uid="{00000000-0004-0000-0D00-000076070000}"/>
    <hyperlink ref="C645" r:id="rId1268" xr:uid="{00000000-0004-0000-0D00-000077070000}"/>
    <hyperlink ref="K645" location="AEO!A1" display="AEO" xr:uid="{00000000-0004-0000-0D00-000078070000}"/>
    <hyperlink ref="A646" r:id="rId1269" xr:uid="{00000000-0004-0000-0D00-000079070000}"/>
    <hyperlink ref="C646" r:id="rId1270" xr:uid="{00000000-0004-0000-0D00-00007A070000}"/>
    <hyperlink ref="K646" location="AEO!A1" display="AEO" xr:uid="{00000000-0004-0000-0D00-00007B070000}"/>
    <hyperlink ref="A647" r:id="rId1271" xr:uid="{00000000-0004-0000-0D00-00007C070000}"/>
    <hyperlink ref="C647" r:id="rId1272" xr:uid="{00000000-0004-0000-0D00-00007D070000}"/>
    <hyperlink ref="K647" location="AEO!A1" display="AEO" xr:uid="{00000000-0004-0000-0D00-00007E070000}"/>
    <hyperlink ref="A648" r:id="rId1273" xr:uid="{00000000-0004-0000-0D00-00007F070000}"/>
    <hyperlink ref="C648" r:id="rId1274" xr:uid="{00000000-0004-0000-0D00-000080070000}"/>
    <hyperlink ref="K648" location="AEO!A1" display="AEO" xr:uid="{00000000-0004-0000-0D00-000081070000}"/>
    <hyperlink ref="A649" r:id="rId1275" xr:uid="{00000000-0004-0000-0D00-000082070000}"/>
    <hyperlink ref="C649" r:id="rId1276" xr:uid="{00000000-0004-0000-0D00-000083070000}"/>
    <hyperlink ref="K649" location="AEO!A1" display="AEO" xr:uid="{00000000-0004-0000-0D00-000084070000}"/>
    <hyperlink ref="A650" r:id="rId1277" xr:uid="{00000000-0004-0000-0D00-000085070000}"/>
    <hyperlink ref="C650" r:id="rId1278" xr:uid="{00000000-0004-0000-0D00-000086070000}"/>
    <hyperlink ref="K650" location="AEO!A1" display="AEO" xr:uid="{00000000-0004-0000-0D00-000087070000}"/>
    <hyperlink ref="A651" r:id="rId1279" xr:uid="{00000000-0004-0000-0D00-000088070000}"/>
    <hyperlink ref="C651" r:id="rId1280" xr:uid="{00000000-0004-0000-0D00-000089070000}"/>
    <hyperlink ref="K651" location="AEO!A1" display="AEO" xr:uid="{00000000-0004-0000-0D00-00008A070000}"/>
    <hyperlink ref="A652" r:id="rId1281" xr:uid="{00000000-0004-0000-0D00-00008B070000}"/>
    <hyperlink ref="C652" r:id="rId1282" xr:uid="{00000000-0004-0000-0D00-00008C070000}"/>
    <hyperlink ref="K652" location="AEO!A1" display="AEO" xr:uid="{00000000-0004-0000-0D00-00008D070000}"/>
    <hyperlink ref="A653" r:id="rId1283" xr:uid="{00000000-0004-0000-0D00-00008E070000}"/>
    <hyperlink ref="C653" r:id="rId1284" xr:uid="{00000000-0004-0000-0D00-00008F070000}"/>
    <hyperlink ref="K653" location="AEO!A1" display="AEO" xr:uid="{00000000-0004-0000-0D00-000090070000}"/>
    <hyperlink ref="A654" r:id="rId1285" xr:uid="{00000000-0004-0000-0D00-000091070000}"/>
    <hyperlink ref="C654" r:id="rId1286" xr:uid="{00000000-0004-0000-0D00-000092070000}"/>
    <hyperlink ref="K654" location="AEO!A1" display="AEO" xr:uid="{00000000-0004-0000-0D00-000093070000}"/>
    <hyperlink ref="A655" r:id="rId1287" xr:uid="{00000000-0004-0000-0D00-000094070000}"/>
    <hyperlink ref="C655" r:id="rId1288" xr:uid="{00000000-0004-0000-0D00-000095070000}"/>
    <hyperlink ref="K655" location="AEO!A1" display="AEO" xr:uid="{00000000-0004-0000-0D00-000096070000}"/>
    <hyperlink ref="A656" r:id="rId1289" xr:uid="{00000000-0004-0000-0D00-000097070000}"/>
    <hyperlink ref="C656" r:id="rId1290" xr:uid="{00000000-0004-0000-0D00-000098070000}"/>
    <hyperlink ref="K656" location="AEO!A1" display="AEO" xr:uid="{00000000-0004-0000-0D00-000099070000}"/>
    <hyperlink ref="A657" r:id="rId1291" xr:uid="{00000000-0004-0000-0D00-00009A070000}"/>
    <hyperlink ref="C657" r:id="rId1292" xr:uid="{00000000-0004-0000-0D00-00009B070000}"/>
    <hyperlink ref="K657" location="AEO!A1" display="AEO" xr:uid="{00000000-0004-0000-0D00-00009C070000}"/>
    <hyperlink ref="A658" r:id="rId1293" xr:uid="{00000000-0004-0000-0D00-00009D070000}"/>
    <hyperlink ref="C658" r:id="rId1294" xr:uid="{00000000-0004-0000-0D00-00009E070000}"/>
    <hyperlink ref="K658" location="AEO!A1" display="AEO" xr:uid="{00000000-0004-0000-0D00-00009F070000}"/>
    <hyperlink ref="A659" r:id="rId1295" xr:uid="{00000000-0004-0000-0D00-0000A0070000}"/>
    <hyperlink ref="C659" r:id="rId1296" xr:uid="{00000000-0004-0000-0D00-0000A1070000}"/>
    <hyperlink ref="K659" location="AEO!A1" display="AEO" xr:uid="{00000000-0004-0000-0D00-0000A2070000}"/>
    <hyperlink ref="A660" r:id="rId1297" xr:uid="{00000000-0004-0000-0D00-0000A3070000}"/>
    <hyperlink ref="C660" r:id="rId1298" xr:uid="{00000000-0004-0000-0D00-0000A4070000}"/>
    <hyperlink ref="K660" location="AEO!A1" display="AEO" xr:uid="{00000000-0004-0000-0D00-0000A5070000}"/>
    <hyperlink ref="A661" r:id="rId1299" xr:uid="{00000000-0004-0000-0D00-0000A6070000}"/>
    <hyperlink ref="C661" r:id="rId1300" xr:uid="{00000000-0004-0000-0D00-0000A7070000}"/>
    <hyperlink ref="K661" location="AEO!A1" display="AEO" xr:uid="{00000000-0004-0000-0D00-0000A8070000}"/>
    <hyperlink ref="A662" r:id="rId1301" xr:uid="{00000000-0004-0000-0D00-0000A9070000}"/>
    <hyperlink ref="C662" r:id="rId1302" xr:uid="{00000000-0004-0000-0D00-0000AA070000}"/>
    <hyperlink ref="K662" location="AEO!A1" display="AEO" xr:uid="{00000000-0004-0000-0D00-0000AB070000}"/>
    <hyperlink ref="A663" r:id="rId1303" xr:uid="{00000000-0004-0000-0D00-0000AC070000}"/>
    <hyperlink ref="C663" r:id="rId1304" xr:uid="{00000000-0004-0000-0D00-0000AD070000}"/>
    <hyperlink ref="K663" location="AEO!A1" display="AEO" xr:uid="{00000000-0004-0000-0D00-0000AE070000}"/>
    <hyperlink ref="A664" r:id="rId1305" xr:uid="{00000000-0004-0000-0D00-0000AF070000}"/>
    <hyperlink ref="C664" r:id="rId1306" xr:uid="{00000000-0004-0000-0D00-0000B0070000}"/>
    <hyperlink ref="K664" location="AEO!A1" display="AEO" xr:uid="{00000000-0004-0000-0D00-0000B1070000}"/>
    <hyperlink ref="A665" r:id="rId1307" xr:uid="{00000000-0004-0000-0D00-0000B2070000}"/>
    <hyperlink ref="C665" r:id="rId1308" xr:uid="{00000000-0004-0000-0D00-0000B3070000}"/>
    <hyperlink ref="K665" location="AEO!A1" display="AEO" xr:uid="{00000000-0004-0000-0D00-0000B4070000}"/>
    <hyperlink ref="A666" r:id="rId1309" xr:uid="{00000000-0004-0000-0D00-0000B5070000}"/>
    <hyperlink ref="C666" r:id="rId1310" xr:uid="{00000000-0004-0000-0D00-0000B6070000}"/>
    <hyperlink ref="K666" location="AEO!A1" display="AEO" xr:uid="{00000000-0004-0000-0D00-0000B7070000}"/>
    <hyperlink ref="A667" r:id="rId1311" xr:uid="{00000000-0004-0000-0D00-0000B8070000}"/>
    <hyperlink ref="C667" r:id="rId1312" xr:uid="{00000000-0004-0000-0D00-0000B9070000}"/>
    <hyperlink ref="K667" location="AEO!A1" display="AEO" xr:uid="{00000000-0004-0000-0D00-0000BA070000}"/>
    <hyperlink ref="A668" r:id="rId1313" xr:uid="{00000000-0004-0000-0D00-0000BB070000}"/>
    <hyperlink ref="C668" r:id="rId1314" xr:uid="{00000000-0004-0000-0D00-0000BC070000}"/>
    <hyperlink ref="K668" location="AEO!A1" display="AEO" xr:uid="{00000000-0004-0000-0D00-0000BD070000}"/>
    <hyperlink ref="A669" r:id="rId1315" xr:uid="{00000000-0004-0000-0D00-0000BE070000}"/>
    <hyperlink ref="C669" r:id="rId1316" xr:uid="{00000000-0004-0000-0D00-0000BF070000}"/>
    <hyperlink ref="K669" location="AEO!A1" display="AEO" xr:uid="{00000000-0004-0000-0D00-0000C0070000}"/>
    <hyperlink ref="A670" r:id="rId1317" xr:uid="{00000000-0004-0000-0D00-0000C1070000}"/>
    <hyperlink ref="C670" r:id="rId1318" xr:uid="{00000000-0004-0000-0D00-0000C2070000}"/>
    <hyperlink ref="K670" location="AEO!A1" display="AEO" xr:uid="{00000000-0004-0000-0D00-0000C3070000}"/>
    <hyperlink ref="A671" r:id="rId1319" xr:uid="{00000000-0004-0000-0D00-0000C4070000}"/>
    <hyperlink ref="C671" r:id="rId1320" xr:uid="{00000000-0004-0000-0D00-0000C5070000}"/>
    <hyperlink ref="K671" location="AEO!A1" display="AEO" xr:uid="{00000000-0004-0000-0D00-0000C6070000}"/>
    <hyperlink ref="A672" r:id="rId1321" xr:uid="{00000000-0004-0000-0D00-0000C7070000}"/>
    <hyperlink ref="C672" r:id="rId1322" xr:uid="{00000000-0004-0000-0D00-0000C8070000}"/>
    <hyperlink ref="K672" location="AEO!A1" display="AEO" xr:uid="{00000000-0004-0000-0D00-0000C9070000}"/>
    <hyperlink ref="A673" r:id="rId1323" xr:uid="{00000000-0004-0000-0D00-0000CA070000}"/>
    <hyperlink ref="C673" r:id="rId1324" xr:uid="{00000000-0004-0000-0D00-0000CB070000}"/>
    <hyperlink ref="K673" location="AEO!A1" display="AEO" xr:uid="{00000000-0004-0000-0D00-0000CC070000}"/>
    <hyperlink ref="A674" r:id="rId1325" xr:uid="{00000000-0004-0000-0D00-0000CD070000}"/>
    <hyperlink ref="C674" r:id="rId1326" xr:uid="{00000000-0004-0000-0D00-0000CE070000}"/>
    <hyperlink ref="K674" location="AEO!A1" display="AEO" xr:uid="{00000000-0004-0000-0D00-0000CF070000}"/>
    <hyperlink ref="A675" r:id="rId1327" xr:uid="{00000000-0004-0000-0D00-0000D0070000}"/>
    <hyperlink ref="C675" r:id="rId1328" xr:uid="{00000000-0004-0000-0D00-0000D1070000}"/>
    <hyperlink ref="K675" location="AEO!A1" display="AEO" xr:uid="{00000000-0004-0000-0D00-0000D2070000}"/>
    <hyperlink ref="A676" r:id="rId1329" xr:uid="{00000000-0004-0000-0D00-0000D3070000}"/>
    <hyperlink ref="C676" r:id="rId1330" xr:uid="{00000000-0004-0000-0D00-0000D4070000}"/>
    <hyperlink ref="K676" location="AEO!A1" display="AEO" xr:uid="{00000000-0004-0000-0D00-0000D5070000}"/>
    <hyperlink ref="A677" r:id="rId1331" xr:uid="{00000000-0004-0000-0D00-0000D6070000}"/>
    <hyperlink ref="C677" r:id="rId1332" xr:uid="{00000000-0004-0000-0D00-0000D7070000}"/>
    <hyperlink ref="K677" location="AEO!A1" display="AEO" xr:uid="{00000000-0004-0000-0D00-0000D8070000}"/>
    <hyperlink ref="A678" r:id="rId1333" xr:uid="{00000000-0004-0000-0D00-0000D9070000}"/>
    <hyperlink ref="C678" r:id="rId1334" xr:uid="{00000000-0004-0000-0D00-0000DA070000}"/>
    <hyperlink ref="K678" location="AEO!A1" display="AEO" xr:uid="{00000000-0004-0000-0D00-0000DB070000}"/>
    <hyperlink ref="A679" r:id="rId1335" xr:uid="{00000000-0004-0000-0D00-0000DC070000}"/>
    <hyperlink ref="C679" r:id="rId1336" xr:uid="{00000000-0004-0000-0D00-0000DD070000}"/>
    <hyperlink ref="K679" location="AEO!A1" display="AEO" xr:uid="{00000000-0004-0000-0D00-0000DE070000}"/>
    <hyperlink ref="A680" r:id="rId1337" xr:uid="{00000000-0004-0000-0D00-0000DF070000}"/>
    <hyperlink ref="C680" r:id="rId1338" xr:uid="{00000000-0004-0000-0D00-0000E0070000}"/>
    <hyperlink ref="K680" location="AEO!A1" display="AEO" xr:uid="{00000000-0004-0000-0D00-0000E1070000}"/>
    <hyperlink ref="A681" r:id="rId1339" xr:uid="{00000000-0004-0000-0D00-0000E2070000}"/>
    <hyperlink ref="C681" r:id="rId1340" xr:uid="{00000000-0004-0000-0D00-0000E3070000}"/>
    <hyperlink ref="K681" location="AEO!A1" display="AEO" xr:uid="{00000000-0004-0000-0D00-0000E4070000}"/>
    <hyperlink ref="A682" r:id="rId1341" xr:uid="{00000000-0004-0000-0D00-0000E5070000}"/>
    <hyperlink ref="C682" r:id="rId1342" xr:uid="{00000000-0004-0000-0D00-0000E6070000}"/>
    <hyperlink ref="K682" location="AEO!A1" display="AEO" xr:uid="{00000000-0004-0000-0D00-0000E7070000}"/>
    <hyperlink ref="A683" r:id="rId1343" xr:uid="{00000000-0004-0000-0D00-0000E8070000}"/>
    <hyperlink ref="C683" r:id="rId1344" xr:uid="{00000000-0004-0000-0D00-0000E9070000}"/>
    <hyperlink ref="K683" location="AEO!A1" display="AEO" xr:uid="{00000000-0004-0000-0D00-0000EA070000}"/>
    <hyperlink ref="A684" r:id="rId1345" xr:uid="{00000000-0004-0000-0D00-0000EB070000}"/>
    <hyperlink ref="C684" r:id="rId1346" xr:uid="{00000000-0004-0000-0D00-0000EC070000}"/>
    <hyperlink ref="K684" location="AEO!A1" display="AEO" xr:uid="{00000000-0004-0000-0D00-0000ED070000}"/>
    <hyperlink ref="A685" r:id="rId1347" xr:uid="{00000000-0004-0000-0D00-0000EE070000}"/>
    <hyperlink ref="C685" r:id="rId1348" xr:uid="{00000000-0004-0000-0D00-0000EF070000}"/>
    <hyperlink ref="K685" location="AEO!A1" display="AEO" xr:uid="{00000000-0004-0000-0D00-0000F0070000}"/>
    <hyperlink ref="A686" r:id="rId1349" xr:uid="{00000000-0004-0000-0D00-0000F1070000}"/>
    <hyperlink ref="C686" r:id="rId1350" xr:uid="{00000000-0004-0000-0D00-0000F2070000}"/>
    <hyperlink ref="K686" location="AEO!A1" display="AEO" xr:uid="{00000000-0004-0000-0D00-0000F3070000}"/>
    <hyperlink ref="A687" r:id="rId1351" xr:uid="{00000000-0004-0000-0D00-0000F4070000}"/>
    <hyperlink ref="C687" r:id="rId1352" xr:uid="{00000000-0004-0000-0D00-0000F5070000}"/>
    <hyperlink ref="K687" location="Main!A1" display="Main" xr:uid="{00000000-0004-0000-0D00-0000F6070000}"/>
    <hyperlink ref="A688" r:id="rId1353" xr:uid="{00000000-0004-0000-0D00-0000F7070000}"/>
    <hyperlink ref="C688" r:id="rId1354" xr:uid="{00000000-0004-0000-0D00-0000F8070000}"/>
    <hyperlink ref="K688" location="Main!A1" display="Main" xr:uid="{00000000-0004-0000-0D00-0000F9070000}"/>
    <hyperlink ref="A689" r:id="rId1355" xr:uid="{00000000-0004-0000-0D00-0000FA070000}"/>
    <hyperlink ref="C689" r:id="rId1356" xr:uid="{00000000-0004-0000-0D00-0000FB070000}"/>
    <hyperlink ref="K689" location="Main!A1" display="Main" xr:uid="{00000000-0004-0000-0D00-0000FC070000}"/>
    <hyperlink ref="A690" r:id="rId1357" xr:uid="{00000000-0004-0000-0D00-0000FD070000}"/>
    <hyperlink ref="C690" r:id="rId1358" xr:uid="{00000000-0004-0000-0D00-0000FE070000}"/>
    <hyperlink ref="K690" location="Main!A1" display="Main" xr:uid="{00000000-0004-0000-0D00-0000FF070000}"/>
    <hyperlink ref="A691" r:id="rId1359" xr:uid="{00000000-0004-0000-0D00-000000080000}"/>
    <hyperlink ref="C691" r:id="rId1360" xr:uid="{00000000-0004-0000-0D00-000001080000}"/>
    <hyperlink ref="K691" location="Main!A1" display="Main" xr:uid="{00000000-0004-0000-0D00-000002080000}"/>
    <hyperlink ref="A692" r:id="rId1361" xr:uid="{00000000-0004-0000-0D00-000003080000}"/>
    <hyperlink ref="C692" r:id="rId1362" xr:uid="{00000000-0004-0000-0D00-000004080000}"/>
    <hyperlink ref="K692" location="Main!A1" display="Main" xr:uid="{00000000-0004-0000-0D00-000005080000}"/>
    <hyperlink ref="A693" r:id="rId1363" xr:uid="{00000000-0004-0000-0D00-000006080000}"/>
    <hyperlink ref="C693" r:id="rId1364" xr:uid="{00000000-0004-0000-0D00-000007080000}"/>
    <hyperlink ref="K693" location="Main!A1" display="Main" xr:uid="{00000000-0004-0000-0D00-000008080000}"/>
    <hyperlink ref="A694" r:id="rId1365" xr:uid="{00000000-0004-0000-0D00-000009080000}"/>
    <hyperlink ref="C694" r:id="rId1366" xr:uid="{00000000-0004-0000-0D00-00000A080000}"/>
    <hyperlink ref="K694" location="Main!A1" display="Main" xr:uid="{00000000-0004-0000-0D00-00000B080000}"/>
    <hyperlink ref="A695" r:id="rId1367" xr:uid="{00000000-0004-0000-0D00-00000C080000}"/>
    <hyperlink ref="C695" r:id="rId1368" xr:uid="{00000000-0004-0000-0D00-00000D080000}"/>
    <hyperlink ref="K695" location="Main!A1" display="Main" xr:uid="{00000000-0004-0000-0D00-00000E080000}"/>
    <hyperlink ref="A696" r:id="rId1369" xr:uid="{00000000-0004-0000-0D00-00000F080000}"/>
    <hyperlink ref="C696" r:id="rId1370" xr:uid="{00000000-0004-0000-0D00-000010080000}"/>
    <hyperlink ref="K696" location="Main!A1" display="Main" xr:uid="{00000000-0004-0000-0D00-000011080000}"/>
    <hyperlink ref="A697" r:id="rId1371" xr:uid="{00000000-0004-0000-0D00-000012080000}"/>
    <hyperlink ref="C697" r:id="rId1372" xr:uid="{00000000-0004-0000-0D00-000013080000}"/>
    <hyperlink ref="K697" location="Main!A1" display="Main" xr:uid="{00000000-0004-0000-0D00-000014080000}"/>
    <hyperlink ref="A698" r:id="rId1373" xr:uid="{00000000-0004-0000-0D00-000015080000}"/>
    <hyperlink ref="C698" r:id="rId1374" xr:uid="{00000000-0004-0000-0D00-000016080000}"/>
    <hyperlink ref="K698" location="Main!A1" display="Main" xr:uid="{00000000-0004-0000-0D00-000017080000}"/>
    <hyperlink ref="A699" r:id="rId1375" xr:uid="{00000000-0004-0000-0D00-000018080000}"/>
    <hyperlink ref="C699" r:id="rId1376" xr:uid="{00000000-0004-0000-0D00-000019080000}"/>
    <hyperlink ref="K699" location="Main!A1" display="Main" xr:uid="{00000000-0004-0000-0D00-00001A080000}"/>
    <hyperlink ref="A700" r:id="rId1377" xr:uid="{00000000-0004-0000-0D00-00001B080000}"/>
    <hyperlink ref="C700" r:id="rId1378" xr:uid="{00000000-0004-0000-0D00-00001C080000}"/>
    <hyperlink ref="K700" location="Main!A1" display="Main" xr:uid="{00000000-0004-0000-0D00-00001D080000}"/>
    <hyperlink ref="A701" r:id="rId1379" xr:uid="{00000000-0004-0000-0D00-00001E080000}"/>
    <hyperlink ref="C701" r:id="rId1380" xr:uid="{00000000-0004-0000-0D00-00001F080000}"/>
    <hyperlink ref="K701" location="Main!A1" display="Main" xr:uid="{00000000-0004-0000-0D00-000020080000}"/>
    <hyperlink ref="A702" r:id="rId1381" xr:uid="{00000000-0004-0000-0D00-000021080000}"/>
    <hyperlink ref="C702" r:id="rId1382" xr:uid="{00000000-0004-0000-0D00-000022080000}"/>
    <hyperlink ref="K702" location="Main!A1" display="Main" xr:uid="{00000000-0004-0000-0D00-000023080000}"/>
    <hyperlink ref="A703" r:id="rId1383" xr:uid="{00000000-0004-0000-0D00-000024080000}"/>
    <hyperlink ref="C703" r:id="rId1384" xr:uid="{00000000-0004-0000-0D00-000025080000}"/>
    <hyperlink ref="K703" location="Main!A1" display="Main" xr:uid="{00000000-0004-0000-0D00-000026080000}"/>
    <hyperlink ref="A704" r:id="rId1385" xr:uid="{00000000-0004-0000-0D00-000027080000}"/>
    <hyperlink ref="C704" r:id="rId1386" xr:uid="{00000000-0004-0000-0D00-000028080000}"/>
    <hyperlink ref="K704" location="Main!A1" display="Main" xr:uid="{00000000-0004-0000-0D00-000029080000}"/>
    <hyperlink ref="A705" r:id="rId1387" xr:uid="{00000000-0004-0000-0D00-00002A080000}"/>
    <hyperlink ref="C705" r:id="rId1388" xr:uid="{00000000-0004-0000-0D00-00002B080000}"/>
    <hyperlink ref="K705" location="Main!A1" display="Main" xr:uid="{00000000-0004-0000-0D00-00002C080000}"/>
    <hyperlink ref="A706" r:id="rId1389" xr:uid="{00000000-0004-0000-0D00-00002D080000}"/>
    <hyperlink ref="C706" r:id="rId1390" xr:uid="{00000000-0004-0000-0D00-00002E080000}"/>
    <hyperlink ref="K706" location="Main!A1" display="Main" xr:uid="{00000000-0004-0000-0D00-00002F080000}"/>
    <hyperlink ref="A707" r:id="rId1391" xr:uid="{00000000-0004-0000-0D00-000030080000}"/>
    <hyperlink ref="C707" r:id="rId1392" xr:uid="{00000000-0004-0000-0D00-000031080000}"/>
    <hyperlink ref="K707" location="Main!A1" display="Main" xr:uid="{00000000-0004-0000-0D00-000032080000}"/>
    <hyperlink ref="A708" r:id="rId1393" xr:uid="{00000000-0004-0000-0D00-000033080000}"/>
    <hyperlink ref="C708" r:id="rId1394" xr:uid="{00000000-0004-0000-0D00-000034080000}"/>
    <hyperlink ref="K708" location="Main!A1" display="Main" xr:uid="{00000000-0004-0000-0D00-000035080000}"/>
    <hyperlink ref="A709" r:id="rId1395" xr:uid="{00000000-0004-0000-0D00-000036080000}"/>
    <hyperlink ref="C709" r:id="rId1396" xr:uid="{00000000-0004-0000-0D00-000037080000}"/>
    <hyperlink ref="K709" location="Main!A1" display="Main" xr:uid="{00000000-0004-0000-0D00-000038080000}"/>
    <hyperlink ref="A710" r:id="rId1397" xr:uid="{00000000-0004-0000-0D00-000039080000}"/>
    <hyperlink ref="C710" r:id="rId1398" xr:uid="{00000000-0004-0000-0D00-00003A080000}"/>
    <hyperlink ref="K710" location="Main!A1" display="Main" xr:uid="{00000000-0004-0000-0D00-00003B080000}"/>
    <hyperlink ref="A711" r:id="rId1399" xr:uid="{00000000-0004-0000-0D00-00003C080000}"/>
    <hyperlink ref="C711" r:id="rId1400" xr:uid="{00000000-0004-0000-0D00-00003D080000}"/>
    <hyperlink ref="K711" location="Main!A1" display="Main" xr:uid="{00000000-0004-0000-0D00-00003E080000}"/>
    <hyperlink ref="A712" r:id="rId1401" xr:uid="{00000000-0004-0000-0D00-00003F080000}"/>
    <hyperlink ref="C712" r:id="rId1402" xr:uid="{00000000-0004-0000-0D00-000040080000}"/>
    <hyperlink ref="K712" location="Main!A1" display="Main" xr:uid="{00000000-0004-0000-0D00-000041080000}"/>
    <hyperlink ref="A713" r:id="rId1403" xr:uid="{00000000-0004-0000-0D00-000042080000}"/>
    <hyperlink ref="C713" r:id="rId1404" xr:uid="{00000000-0004-0000-0D00-000043080000}"/>
    <hyperlink ref="K713" location="Main!A1" display="Main" xr:uid="{00000000-0004-0000-0D00-000044080000}"/>
    <hyperlink ref="A714" r:id="rId1405" xr:uid="{00000000-0004-0000-0D00-000045080000}"/>
    <hyperlink ref="C714" r:id="rId1406" xr:uid="{00000000-0004-0000-0D00-000046080000}"/>
    <hyperlink ref="K714" location="Main!A1" display="Main" xr:uid="{00000000-0004-0000-0D00-000047080000}"/>
    <hyperlink ref="A715" r:id="rId1407" xr:uid="{00000000-0004-0000-0D00-000048080000}"/>
    <hyperlink ref="C715" r:id="rId1408" xr:uid="{00000000-0004-0000-0D00-000049080000}"/>
    <hyperlink ref="K715" location="Main!A1" display="Main" xr:uid="{00000000-0004-0000-0D00-00004A08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86"/>
  <sheetViews>
    <sheetView workbookViewId="0">
      <pane ySplit="1" topLeftCell="A2" activePane="bottomLeft" state="frozen"/>
      <selection pane="bottomLeft"/>
    </sheetView>
  </sheetViews>
  <sheetFormatPr defaultRowHeight="15" x14ac:dyDescent="0.25"/>
  <cols>
    <col min="1" max="1" width="45" customWidth="1"/>
    <col min="2" max="2" width="27" customWidth="1"/>
    <col min="3" max="3" width="25" customWidth="1"/>
    <col min="4" max="4" width="24" customWidth="1"/>
    <col min="5" max="6" width="17" customWidth="1"/>
    <col min="7" max="7" width="20" customWidth="1"/>
    <col min="8" max="9" width="23" customWidth="1"/>
    <col min="10" max="10" width="24" customWidth="1"/>
    <col min="11" max="11" width="23" customWidth="1"/>
  </cols>
  <sheetData>
    <row r="1" spans="1:13" ht="45" x14ac:dyDescent="0.25">
      <c r="A1" s="5" t="s">
        <v>118</v>
      </c>
      <c r="B1" s="5" t="s">
        <v>2087</v>
      </c>
      <c r="C1" s="5" t="s">
        <v>2088</v>
      </c>
      <c r="D1" s="5" t="s">
        <v>2089</v>
      </c>
      <c r="E1" s="5" t="s">
        <v>2090</v>
      </c>
      <c r="F1" s="5" t="s">
        <v>2091</v>
      </c>
      <c r="G1" s="5" t="s">
        <v>2092</v>
      </c>
      <c r="H1" s="5" t="s">
        <v>2093</v>
      </c>
      <c r="I1" s="5" t="s">
        <v>2094</v>
      </c>
      <c r="J1" s="5" t="s">
        <v>2095</v>
      </c>
      <c r="K1" s="5" t="s">
        <v>2096</v>
      </c>
      <c r="L1" s="5" t="s">
        <v>135</v>
      </c>
      <c r="M1" s="39" t="s">
        <v>136</v>
      </c>
    </row>
    <row r="2" spans="1:13" ht="30" customHeight="1" x14ac:dyDescent="0.25">
      <c r="A2" s="59" t="s">
        <v>682</v>
      </c>
      <c r="B2" s="8"/>
      <c r="C2" s="8"/>
      <c r="D2" s="8"/>
      <c r="E2" s="8"/>
      <c r="F2" s="8"/>
      <c r="G2" s="8"/>
      <c r="H2" s="8"/>
      <c r="I2" s="8"/>
      <c r="J2" s="8"/>
      <c r="K2" s="8"/>
      <c r="L2" s="9" t="str">
        <f>IFERROR(HYPERLINK("#Main!A"&amp;MATCH(A2,Main!A:A,0),"Open"),HYPERLINK("#Main!A1","Open"))</f>
        <v>Open</v>
      </c>
      <c r="M2" s="9"/>
    </row>
    <row r="3" spans="1:13" ht="15.75" x14ac:dyDescent="0.25">
      <c r="A3" s="58" t="s">
        <v>140</v>
      </c>
      <c r="B3" s="11"/>
      <c r="C3" s="11"/>
      <c r="D3" s="11"/>
      <c r="E3" s="11"/>
      <c r="F3" s="11"/>
      <c r="G3" s="11"/>
      <c r="H3" s="11"/>
      <c r="I3" s="11"/>
      <c r="J3" s="11"/>
      <c r="K3" s="11"/>
      <c r="L3" t="str">
        <f>IFERROR(HYPERLINK("#Main!A"&amp;MATCH(A3,Main!A:A,0),"Open"),HYPERLINK("#Main!A1","Open"))</f>
        <v>Open</v>
      </c>
    </row>
    <row r="4" spans="1:13" ht="30" customHeight="1" x14ac:dyDescent="0.25">
      <c r="A4" s="59" t="s">
        <v>674</v>
      </c>
      <c r="B4" s="8"/>
      <c r="C4" s="8"/>
      <c r="D4" s="8"/>
      <c r="E4" s="8"/>
      <c r="F4" s="8"/>
      <c r="G4" s="8"/>
      <c r="H4" s="8"/>
      <c r="I4" s="8"/>
      <c r="J4" s="8"/>
      <c r="K4" s="8"/>
      <c r="L4" s="9" t="str">
        <f>IFERROR(HYPERLINK("#Main!A"&amp;MATCH(A4,Main!A:A,0),"Open"),HYPERLINK("#Main!A1","Open"))</f>
        <v>Open</v>
      </c>
      <c r="M4" s="9"/>
    </row>
    <row r="5" spans="1:13" ht="30" customHeight="1" x14ac:dyDescent="0.25">
      <c r="A5" s="58" t="s">
        <v>642</v>
      </c>
      <c r="B5" s="11"/>
      <c r="C5" s="11"/>
      <c r="D5" s="11"/>
      <c r="E5" s="11"/>
      <c r="F5" s="11"/>
      <c r="G5" s="11"/>
      <c r="H5" s="11"/>
      <c r="I5" s="11"/>
      <c r="J5" s="11"/>
      <c r="K5" s="11"/>
      <c r="L5" t="str">
        <f>IFERROR(HYPERLINK("#Main!A"&amp;MATCH(A5,Main!A:A,0),"Open"),HYPERLINK("#Main!A1","Open"))</f>
        <v>Open</v>
      </c>
    </row>
    <row r="6" spans="1:13" ht="30" customHeight="1" x14ac:dyDescent="0.25">
      <c r="A6" s="59" t="s">
        <v>322</v>
      </c>
      <c r="B6" s="8"/>
      <c r="C6" s="8"/>
      <c r="D6" s="8"/>
      <c r="E6" s="8"/>
      <c r="F6" s="8"/>
      <c r="G6" s="8"/>
      <c r="H6" s="8"/>
      <c r="I6" s="8"/>
      <c r="J6" s="8"/>
      <c r="K6" s="8"/>
      <c r="L6" s="9" t="str">
        <f>IFERROR(HYPERLINK("#Main!A"&amp;MATCH(A6,Main!A:A,0),"Open"),HYPERLINK("#Main!A1","Open"))</f>
        <v>Open</v>
      </c>
      <c r="M6" s="9"/>
    </row>
    <row r="7" spans="1:13" ht="30" customHeight="1" x14ac:dyDescent="0.25">
      <c r="A7" s="58" t="s">
        <v>519</v>
      </c>
      <c r="B7" s="11"/>
      <c r="C7" s="11"/>
      <c r="D7" s="11"/>
      <c r="E7" s="11"/>
      <c r="F7" s="11"/>
      <c r="G7" s="11"/>
      <c r="H7" s="11"/>
      <c r="I7" s="11"/>
      <c r="J7" s="11"/>
      <c r="K7" s="11"/>
      <c r="L7" t="str">
        <f>IFERROR(HYPERLINK("#Main!A"&amp;MATCH(A7,Main!A:A,0),"Open"),HYPERLINK("#Main!A1","Open"))</f>
        <v>Open</v>
      </c>
    </row>
    <row r="8" spans="1:13" ht="30" customHeight="1" x14ac:dyDescent="0.25">
      <c r="A8" s="59" t="s">
        <v>551</v>
      </c>
      <c r="B8" s="8"/>
      <c r="C8" s="8"/>
      <c r="D8" s="8"/>
      <c r="E8" s="8"/>
      <c r="F8" s="8"/>
      <c r="G8" s="8"/>
      <c r="H8" s="8"/>
      <c r="I8" s="8"/>
      <c r="J8" s="8"/>
      <c r="K8" s="8"/>
      <c r="L8" s="9" t="str">
        <f>IFERROR(HYPERLINK("#Main!A"&amp;MATCH(A8,Main!A:A,0),"Open"),HYPERLINK("#Main!A1","Open"))</f>
        <v>Open</v>
      </c>
      <c r="M8" s="9"/>
    </row>
    <row r="9" spans="1:13" ht="30" customHeight="1" x14ac:dyDescent="0.25">
      <c r="A9" s="58" t="s">
        <v>606</v>
      </c>
      <c r="B9" s="11"/>
      <c r="C9" s="11"/>
      <c r="D9" s="11"/>
      <c r="E9" s="11"/>
      <c r="F9" s="11"/>
      <c r="G9" s="11"/>
      <c r="H9" s="11"/>
      <c r="I9" s="11"/>
      <c r="J9" s="11"/>
      <c r="K9" s="11"/>
      <c r="L9" t="str">
        <f>IFERROR(HYPERLINK("#Main!A"&amp;MATCH(A9,Main!A:A,0),"Open"),HYPERLINK("#Main!A1","Open"))</f>
        <v>Open</v>
      </c>
    </row>
    <row r="10" spans="1:13" ht="30" customHeight="1" x14ac:dyDescent="0.25">
      <c r="A10" s="59" t="s">
        <v>512</v>
      </c>
      <c r="B10" s="8"/>
      <c r="C10" s="8"/>
      <c r="D10" s="8"/>
      <c r="E10" s="8"/>
      <c r="F10" s="8"/>
      <c r="G10" s="8"/>
      <c r="H10" s="8"/>
      <c r="I10" s="8"/>
      <c r="J10" s="8"/>
      <c r="K10" s="8"/>
      <c r="L10" s="9" t="str">
        <f>IFERROR(HYPERLINK("#Main!A"&amp;MATCH(A10,Main!A:A,0),"Open"),HYPERLINK("#Main!A1","Open"))</f>
        <v>Open</v>
      </c>
      <c r="M10" s="9"/>
    </row>
    <row r="11" spans="1:13" ht="30" customHeight="1" x14ac:dyDescent="0.25">
      <c r="A11" s="58" t="s">
        <v>582</v>
      </c>
      <c r="B11" s="11"/>
      <c r="C11" s="11"/>
      <c r="D11" s="11"/>
      <c r="E11" s="11"/>
      <c r="F11" s="11"/>
      <c r="G11" s="11"/>
      <c r="H11" s="11"/>
      <c r="I11" s="11"/>
      <c r="J11" s="11"/>
      <c r="K11" s="11"/>
      <c r="L11" t="str">
        <f>IFERROR(HYPERLINK("#Main!A"&amp;MATCH(A11,Main!A:A,0),"Open"),HYPERLINK("#Main!A1","Open"))</f>
        <v>Open</v>
      </c>
    </row>
    <row r="12" spans="1:13" ht="30" customHeight="1" x14ac:dyDescent="0.25">
      <c r="A12" s="59" t="s">
        <v>658</v>
      </c>
      <c r="B12" s="8"/>
      <c r="C12" s="8"/>
      <c r="D12" s="8"/>
      <c r="E12" s="8"/>
      <c r="F12" s="8"/>
      <c r="G12" s="8"/>
      <c r="H12" s="8"/>
      <c r="I12" s="8"/>
      <c r="J12" s="8"/>
      <c r="K12" s="8"/>
      <c r="L12" s="9" t="str">
        <f>IFERROR(HYPERLINK("#Main!A"&amp;MATCH(A12,Main!A:A,0),"Open"),HYPERLINK("#Main!A1","Open"))</f>
        <v>Open</v>
      </c>
      <c r="M12" s="9"/>
    </row>
    <row r="13" spans="1:13" ht="30" customHeight="1" x14ac:dyDescent="0.25">
      <c r="A13" s="58" t="s">
        <v>156</v>
      </c>
      <c r="B13" s="11"/>
      <c r="C13" s="11"/>
      <c r="D13" s="11"/>
      <c r="E13" s="11"/>
      <c r="F13" s="11"/>
      <c r="G13" s="11"/>
      <c r="H13" s="11"/>
      <c r="I13" s="11"/>
      <c r="J13" s="11"/>
      <c r="K13" s="11"/>
      <c r="L13" t="str">
        <f>IFERROR(HYPERLINK("#Main!A"&amp;MATCH(A13,Main!A:A,0),"Open"),HYPERLINK("#Main!A1","Open"))</f>
        <v>Open</v>
      </c>
    </row>
    <row r="14" spans="1:13" ht="30" customHeight="1" x14ac:dyDescent="0.25">
      <c r="A14" s="59" t="s">
        <v>650</v>
      </c>
      <c r="B14" s="8"/>
      <c r="C14" s="8"/>
      <c r="D14" s="8"/>
      <c r="E14" s="8"/>
      <c r="F14" s="8"/>
      <c r="G14" s="8"/>
      <c r="H14" s="8"/>
      <c r="I14" s="8"/>
      <c r="J14" s="8"/>
      <c r="K14" s="8"/>
      <c r="L14" s="9" t="str">
        <f>IFERROR(HYPERLINK("#Main!A"&amp;MATCH(A14,Main!A:A,0),"Open"),HYPERLINK("#Main!A1","Open"))</f>
        <v>Open</v>
      </c>
      <c r="M14" s="9"/>
    </row>
    <row r="15" spans="1:13" ht="30" customHeight="1" x14ac:dyDescent="0.25">
      <c r="A15" s="58" t="s">
        <v>704</v>
      </c>
      <c r="B15" s="11"/>
      <c r="C15" s="11"/>
      <c r="D15" s="11"/>
      <c r="E15" s="11"/>
      <c r="F15" s="11"/>
      <c r="G15" s="11"/>
      <c r="H15" s="11"/>
      <c r="I15" s="11"/>
      <c r="J15" s="11"/>
      <c r="K15" s="11"/>
      <c r="L15" t="str">
        <f>IFERROR(HYPERLINK("#Main!A"&amp;MATCH(A15,Main!A:A,0),"Open"),HYPERLINK("#Main!A1","Open"))</f>
        <v>Open</v>
      </c>
    </row>
    <row r="16" spans="1:13" ht="30" customHeight="1" x14ac:dyDescent="0.25">
      <c r="A16" s="59" t="s">
        <v>148</v>
      </c>
      <c r="B16" s="8"/>
      <c r="C16" s="8"/>
      <c r="D16" s="8"/>
      <c r="E16" s="8"/>
      <c r="F16" s="8"/>
      <c r="G16" s="8"/>
      <c r="H16" s="8"/>
      <c r="I16" s="8"/>
      <c r="J16" s="8"/>
      <c r="K16" s="8"/>
      <c r="L16" s="9" t="str">
        <f>IFERROR(HYPERLINK("#Main!A"&amp;MATCH(A16,Main!A:A,0),"Open"),HYPERLINK("#Main!A1","Open"))</f>
        <v>Open</v>
      </c>
      <c r="M16" s="9"/>
    </row>
    <row r="17" spans="1:13" ht="30" customHeight="1" x14ac:dyDescent="0.25">
      <c r="A17" s="58" t="s">
        <v>497</v>
      </c>
      <c r="B17" s="11"/>
      <c r="C17" s="11"/>
      <c r="D17" s="11"/>
      <c r="E17" s="11"/>
      <c r="F17" s="11"/>
      <c r="G17" s="11"/>
      <c r="H17" s="11"/>
      <c r="I17" s="11"/>
      <c r="J17" s="11"/>
      <c r="K17" s="11"/>
      <c r="L17" t="str">
        <f>IFERROR(HYPERLINK("#Main!A"&amp;MATCH(A17,Main!A:A,0),"Open"),HYPERLINK("#Main!A1","Open"))</f>
        <v>Open</v>
      </c>
    </row>
    <row r="18" spans="1:13" ht="30" customHeight="1" x14ac:dyDescent="0.25">
      <c r="A18" s="59" t="s">
        <v>505</v>
      </c>
      <c r="B18" s="8"/>
      <c r="C18" s="8"/>
      <c r="D18" s="8"/>
      <c r="E18" s="8"/>
      <c r="F18" s="8"/>
      <c r="G18" s="8"/>
      <c r="H18" s="8"/>
      <c r="I18" s="8"/>
      <c r="J18" s="8"/>
      <c r="K18" s="8"/>
      <c r="L18" s="9" t="str">
        <f>IFERROR(HYPERLINK("#Main!A"&amp;MATCH(A18,Main!A:A,0),"Open"),HYPERLINK("#Main!A1","Open"))</f>
        <v>Open</v>
      </c>
      <c r="M18" s="9"/>
    </row>
    <row r="19" spans="1:13" ht="30" customHeight="1" x14ac:dyDescent="0.25">
      <c r="A19" s="58" t="s">
        <v>690</v>
      </c>
      <c r="B19" s="11"/>
      <c r="C19" s="11"/>
      <c r="D19" s="11"/>
      <c r="E19" s="11"/>
      <c r="F19" s="11"/>
      <c r="G19" s="11"/>
      <c r="H19" s="11"/>
      <c r="I19" s="11"/>
      <c r="J19" s="11"/>
      <c r="K19" s="11"/>
      <c r="L19" t="str">
        <f>IFERROR(HYPERLINK("#Main!A"&amp;MATCH(A19,Main!A:A,0),"Open"),HYPERLINK("#Main!A1","Open"))</f>
        <v>Open</v>
      </c>
    </row>
    <row r="20" spans="1:13" ht="30" customHeight="1" x14ac:dyDescent="0.25">
      <c r="A20" s="59" t="s">
        <v>306</v>
      </c>
      <c r="B20" s="8"/>
      <c r="C20" s="8"/>
      <c r="D20" s="8"/>
      <c r="E20" s="8"/>
      <c r="F20" s="8"/>
      <c r="G20" s="8"/>
      <c r="H20" s="8"/>
      <c r="I20" s="8"/>
      <c r="J20" s="8"/>
      <c r="K20" s="8"/>
      <c r="L20" s="9" t="str">
        <f>IFERROR(HYPERLINK("#Main!A"&amp;MATCH(A20,Main!A:A,0),"Open"),HYPERLINK("#Main!A1","Open"))</f>
        <v>Open</v>
      </c>
      <c r="M20" s="9"/>
    </row>
    <row r="21" spans="1:13" ht="30" customHeight="1" x14ac:dyDescent="0.25">
      <c r="A21" s="58" t="s">
        <v>314</v>
      </c>
      <c r="B21" s="11"/>
      <c r="C21" s="11"/>
      <c r="D21" s="11"/>
      <c r="E21" s="11"/>
      <c r="F21" s="11"/>
      <c r="G21" s="11"/>
      <c r="H21" s="11"/>
      <c r="I21" s="11"/>
      <c r="J21" s="11"/>
      <c r="K21" s="11"/>
      <c r="L21" t="str">
        <f>IFERROR(HYPERLINK("#Main!A"&amp;MATCH(A21,Main!A:A,0),"Open"),HYPERLINK("#Main!A1","Open"))</f>
        <v>Open</v>
      </c>
    </row>
    <row r="22" spans="1:13" ht="30" customHeight="1" x14ac:dyDescent="0.25">
      <c r="A22" s="59" t="s">
        <v>366</v>
      </c>
      <c r="B22" s="8"/>
      <c r="C22" s="8"/>
      <c r="D22" s="8"/>
      <c r="E22" s="8"/>
      <c r="F22" s="8"/>
      <c r="G22" s="8"/>
      <c r="H22" s="8"/>
      <c r="I22" s="8"/>
      <c r="J22" s="8"/>
      <c r="K22" s="8"/>
      <c r="L22" s="9" t="str">
        <f>IFERROR(HYPERLINK("#Main!A"&amp;MATCH(A22,Main!A:A,0),"Open"),HYPERLINK("#Main!A1","Open"))</f>
        <v>Open</v>
      </c>
      <c r="M22" s="9"/>
    </row>
    <row r="23" spans="1:13" ht="30" customHeight="1" x14ac:dyDescent="0.25">
      <c r="A23" s="58" t="s">
        <v>417</v>
      </c>
      <c r="B23" s="11"/>
      <c r="C23" s="11"/>
      <c r="D23" s="11"/>
      <c r="E23" s="11"/>
      <c r="F23" s="11"/>
      <c r="G23" s="11"/>
      <c r="H23" s="11"/>
      <c r="I23" s="11"/>
      <c r="J23" s="11"/>
      <c r="K23" s="11"/>
      <c r="L23" t="str">
        <f>IFERROR(HYPERLINK("#Main!A"&amp;MATCH(A23,Main!A:A,0),"Open"),HYPERLINK("#Main!A1","Open"))</f>
        <v>Open</v>
      </c>
    </row>
    <row r="24" spans="1:13" ht="30" customHeight="1" x14ac:dyDescent="0.25">
      <c r="A24" s="59" t="s">
        <v>290</v>
      </c>
      <c r="B24" s="8"/>
      <c r="C24" s="8"/>
      <c r="D24" s="8"/>
      <c r="E24" s="8"/>
      <c r="F24" s="8"/>
      <c r="G24" s="8"/>
      <c r="H24" s="8"/>
      <c r="I24" s="8"/>
      <c r="J24" s="8"/>
      <c r="K24" s="8"/>
      <c r="L24" s="9" t="str">
        <f>IFERROR(HYPERLINK("#Main!A"&amp;MATCH(A24,Main!A:A,0),"Open"),HYPERLINK("#Main!A1","Open"))</f>
        <v>Open</v>
      </c>
      <c r="M24" s="9"/>
    </row>
    <row r="25" spans="1:13" ht="30" customHeight="1" x14ac:dyDescent="0.25">
      <c r="A25" s="58" t="s">
        <v>188</v>
      </c>
      <c r="B25" s="11"/>
      <c r="C25" s="11"/>
      <c r="D25" s="11"/>
      <c r="E25" s="11"/>
      <c r="F25" s="11"/>
      <c r="G25" s="11"/>
      <c r="H25" s="11"/>
      <c r="I25" s="11"/>
      <c r="J25" s="11"/>
      <c r="K25" s="11"/>
      <c r="L25" t="str">
        <f>IFERROR(HYPERLINK("#Main!A"&amp;MATCH(A25,Main!A:A,0),"Open"),HYPERLINK("#Main!A1","Open"))</f>
        <v>Open</v>
      </c>
    </row>
    <row r="26" spans="1:13" ht="30" customHeight="1" x14ac:dyDescent="0.25">
      <c r="A26" s="59" t="s">
        <v>242</v>
      </c>
      <c r="B26" s="8"/>
      <c r="C26" s="8"/>
      <c r="D26" s="8"/>
      <c r="E26" s="8"/>
      <c r="F26" s="8"/>
      <c r="G26" s="8"/>
      <c r="H26" s="8"/>
      <c r="I26" s="8"/>
      <c r="J26" s="8"/>
      <c r="K26" s="8"/>
      <c r="L26" s="9" t="str">
        <f>IFERROR(HYPERLINK("#Main!A"&amp;MATCH(A26,Main!A:A,0),"Open"),HYPERLINK("#Main!A1","Open"))</f>
        <v>Open</v>
      </c>
      <c r="M26" s="9"/>
    </row>
    <row r="27" spans="1:13" ht="30" customHeight="1" x14ac:dyDescent="0.25">
      <c r="A27" s="58" t="s">
        <v>574</v>
      </c>
      <c r="B27" s="11"/>
      <c r="C27" s="11"/>
      <c r="D27" s="11"/>
      <c r="E27" s="11"/>
      <c r="F27" s="11"/>
      <c r="G27" s="11"/>
      <c r="H27" s="11"/>
      <c r="I27" s="11"/>
      <c r="J27" s="11"/>
      <c r="K27" s="11"/>
      <c r="L27" t="str">
        <f>IFERROR(HYPERLINK("#Main!A"&amp;MATCH(A27,Main!A:A,0),"Open"),HYPERLINK("#Main!A1","Open"))</f>
        <v>Open</v>
      </c>
    </row>
    <row r="28" spans="1:13" ht="30" customHeight="1" x14ac:dyDescent="0.25">
      <c r="A28" s="59" t="s">
        <v>627</v>
      </c>
      <c r="B28" s="8"/>
      <c r="C28" s="8"/>
      <c r="D28" s="8"/>
      <c r="E28" s="8"/>
      <c r="F28" s="8"/>
      <c r="G28" s="8"/>
      <c r="H28" s="8"/>
      <c r="I28" s="8"/>
      <c r="J28" s="8"/>
      <c r="K28" s="8"/>
      <c r="L28" s="9" t="str">
        <f>IFERROR(HYPERLINK("#Main!A"&amp;MATCH(A28,Main!A:A,0),"Open"),HYPERLINK("#Main!A1","Open"))</f>
        <v>Open</v>
      </c>
      <c r="M28" s="9"/>
    </row>
    <row r="29" spans="1:13" ht="30" customHeight="1" x14ac:dyDescent="0.25">
      <c r="A29" s="58" t="s">
        <v>274</v>
      </c>
      <c r="B29" s="11"/>
      <c r="C29" s="11"/>
      <c r="D29" s="11"/>
      <c r="E29" s="11"/>
      <c r="F29" s="11"/>
      <c r="G29" s="11"/>
      <c r="H29" s="11"/>
      <c r="I29" s="11"/>
      <c r="J29" s="11"/>
      <c r="K29" s="11"/>
      <c r="L29" t="str">
        <f>IFERROR(HYPERLINK("#Main!A"&amp;MATCH(A29,Main!A:A,0),"Open"),HYPERLINK("#Main!A1","Open"))</f>
        <v>Open</v>
      </c>
    </row>
    <row r="30" spans="1:13" ht="30" customHeight="1" x14ac:dyDescent="0.25">
      <c r="A30" s="59" t="s">
        <v>401</v>
      </c>
      <c r="B30" s="8"/>
      <c r="C30" s="8"/>
      <c r="D30" s="8"/>
      <c r="E30" s="8"/>
      <c r="F30" s="8"/>
      <c r="G30" s="8"/>
      <c r="H30" s="8"/>
      <c r="I30" s="8"/>
      <c r="J30" s="8"/>
      <c r="K30" s="8"/>
      <c r="L30" s="9" t="str">
        <f>IFERROR(HYPERLINK("#Main!A"&amp;MATCH(A30,Main!A:A,0),"Open"),HYPERLINK("#Main!A1","Open"))</f>
        <v>Open</v>
      </c>
      <c r="M30" s="9"/>
    </row>
    <row r="31" spans="1:13" ht="30" customHeight="1" x14ac:dyDescent="0.25">
      <c r="A31" s="58" t="s">
        <v>298</v>
      </c>
      <c r="B31" s="11"/>
      <c r="C31" s="11"/>
      <c r="D31" s="11"/>
      <c r="E31" s="11"/>
      <c r="F31" s="11"/>
      <c r="G31" s="11"/>
      <c r="H31" s="11"/>
      <c r="I31" s="11"/>
      <c r="J31" s="11"/>
      <c r="K31" s="11"/>
      <c r="L31" t="str">
        <f>IFERROR(HYPERLINK("#Main!A"&amp;MATCH(A31,Main!A:A,0),"Open"),HYPERLINK("#Main!A1","Open"))</f>
        <v>Open</v>
      </c>
    </row>
    <row r="32" spans="1:13" ht="30" customHeight="1" x14ac:dyDescent="0.25">
      <c r="A32" s="59" t="s">
        <v>481</v>
      </c>
      <c r="B32" s="8"/>
      <c r="C32" s="8"/>
      <c r="D32" s="8"/>
      <c r="E32" s="8"/>
      <c r="F32" s="8"/>
      <c r="G32" s="8"/>
      <c r="H32" s="8"/>
      <c r="I32" s="8"/>
      <c r="J32" s="8"/>
      <c r="K32" s="8"/>
      <c r="L32" s="9" t="str">
        <f>IFERROR(HYPERLINK("#Main!A"&amp;MATCH(A32,Main!A:A,0),"Open"),HYPERLINK("#Main!A1","Open"))</f>
        <v>Open</v>
      </c>
      <c r="M32" s="9"/>
    </row>
    <row r="33" spans="1:13" ht="30" customHeight="1" x14ac:dyDescent="0.25">
      <c r="A33" s="58" t="s">
        <v>172</v>
      </c>
      <c r="B33" s="11"/>
      <c r="C33" s="11"/>
      <c r="D33" s="11"/>
      <c r="E33" s="11"/>
      <c r="F33" s="11"/>
      <c r="G33" s="11"/>
      <c r="H33" s="11"/>
      <c r="I33" s="11"/>
      <c r="J33" s="11"/>
      <c r="K33" s="11"/>
      <c r="L33" t="str">
        <f>IFERROR(HYPERLINK("#Main!A"&amp;MATCH(A33,Main!A:A,0),"Open"),HYPERLINK("#Main!A1","Open"))</f>
        <v>Open</v>
      </c>
    </row>
    <row r="34" spans="1:13" ht="30" customHeight="1" x14ac:dyDescent="0.25">
      <c r="A34" s="59" t="s">
        <v>727</v>
      </c>
      <c r="B34" s="8"/>
      <c r="C34" s="8"/>
      <c r="D34" s="8"/>
      <c r="E34" s="8"/>
      <c r="F34" s="8"/>
      <c r="G34" s="8"/>
      <c r="H34" s="8"/>
      <c r="I34" s="8"/>
      <c r="J34" s="8"/>
      <c r="K34" s="8"/>
      <c r="L34" s="9" t="str">
        <f>IFERROR(HYPERLINK("#Main!A"&amp;MATCH(A34,Main!A:A,0),"Open"),HYPERLINK("#Main!A1","Open"))</f>
        <v>Open</v>
      </c>
      <c r="M34" s="9"/>
    </row>
    <row r="35" spans="1:13" ht="30" customHeight="1" x14ac:dyDescent="0.25">
      <c r="A35" s="58" t="s">
        <v>559</v>
      </c>
      <c r="B35" s="11"/>
      <c r="C35" s="11"/>
      <c r="D35" s="11"/>
      <c r="E35" s="11"/>
      <c r="F35" s="11"/>
      <c r="G35" s="11"/>
      <c r="H35" s="11"/>
      <c r="I35" s="11"/>
      <c r="J35" s="11"/>
      <c r="K35" s="11"/>
      <c r="L35" t="str">
        <f>IFERROR(HYPERLINK("#Main!A"&amp;MATCH(A35,Main!A:A,0),"Open"),HYPERLINK("#Main!A1","Open"))</f>
        <v>Open</v>
      </c>
    </row>
    <row r="36" spans="1:13" ht="30" customHeight="1" x14ac:dyDescent="0.25">
      <c r="A36" s="59" t="s">
        <v>393</v>
      </c>
      <c r="B36" s="8"/>
      <c r="C36" s="8"/>
      <c r="D36" s="8"/>
      <c r="E36" s="8"/>
      <c r="F36" s="8"/>
      <c r="G36" s="8"/>
      <c r="H36" s="8"/>
      <c r="I36" s="8"/>
      <c r="J36" s="8"/>
      <c r="K36" s="8"/>
      <c r="L36" s="9" t="str">
        <f>IFERROR(HYPERLINK("#Main!A"&amp;MATCH(A36,Main!A:A,0),"Open"),HYPERLINK("#Main!A1","Open"))</f>
        <v>Open</v>
      </c>
      <c r="M36" s="9"/>
    </row>
    <row r="37" spans="1:13" ht="30" customHeight="1" x14ac:dyDescent="0.25">
      <c r="A37" s="58" t="s">
        <v>566</v>
      </c>
      <c r="B37" s="11"/>
      <c r="C37" s="11"/>
      <c r="D37" s="11"/>
      <c r="E37" s="11"/>
      <c r="F37" s="11"/>
      <c r="G37" s="11"/>
      <c r="H37" s="11"/>
      <c r="I37" s="11"/>
      <c r="J37" s="11"/>
      <c r="K37" s="11"/>
      <c r="L37" t="str">
        <f>IFERROR(HYPERLINK("#Main!A"&amp;MATCH(A37,Main!A:A,0),"Open"),HYPERLINK("#Main!A1","Open"))</f>
        <v>Open</v>
      </c>
    </row>
    <row r="38" spans="1:13" ht="45" customHeight="1" x14ac:dyDescent="0.25">
      <c r="A38" s="59" t="s">
        <v>377</v>
      </c>
      <c r="B38" s="8"/>
      <c r="C38" s="8"/>
      <c r="D38" s="8"/>
      <c r="E38" s="8"/>
      <c r="F38" s="8"/>
      <c r="G38" s="8"/>
      <c r="H38" s="8"/>
      <c r="I38" s="8"/>
      <c r="J38" s="8"/>
      <c r="K38" s="8"/>
      <c r="L38" s="9" t="str">
        <f>IFERROR(HYPERLINK("#Main!A"&amp;MATCH(A38,Main!A:A,0),"Open"),HYPERLINK("#Main!A1","Open"))</f>
        <v>Open</v>
      </c>
      <c r="M38" s="9"/>
    </row>
    <row r="39" spans="1:13" ht="30" customHeight="1" x14ac:dyDescent="0.25">
      <c r="A39" s="58" t="s">
        <v>385</v>
      </c>
      <c r="B39" s="11"/>
      <c r="C39" s="11"/>
      <c r="D39" s="11"/>
      <c r="E39" s="11"/>
      <c r="F39" s="11"/>
      <c r="G39" s="11"/>
      <c r="H39" s="11"/>
      <c r="I39" s="11"/>
      <c r="J39" s="11"/>
      <c r="K39" s="11"/>
      <c r="L39" t="str">
        <f>IFERROR(HYPERLINK("#Main!A"&amp;MATCH(A39,Main!A:A,0),"Open"),HYPERLINK("#Main!A1","Open"))</f>
        <v>Open</v>
      </c>
    </row>
    <row r="40" spans="1:13" ht="30" customHeight="1" x14ac:dyDescent="0.25">
      <c r="A40" s="59" t="s">
        <v>358</v>
      </c>
      <c r="B40" s="8"/>
      <c r="C40" s="8"/>
      <c r="D40" s="8"/>
      <c r="E40" s="8"/>
      <c r="F40" s="8"/>
      <c r="G40" s="8"/>
      <c r="H40" s="8"/>
      <c r="I40" s="8"/>
      <c r="J40" s="8"/>
      <c r="K40" s="8"/>
      <c r="L40" s="9" t="str">
        <f>IFERROR(HYPERLINK("#Main!A"&amp;MATCH(A40,Main!A:A,0),"Open"),HYPERLINK("#Main!A1","Open"))</f>
        <v>Open</v>
      </c>
      <c r="M40" s="9"/>
    </row>
    <row r="41" spans="1:13" ht="30" customHeight="1" x14ac:dyDescent="0.25">
      <c r="A41" s="58" t="s">
        <v>196</v>
      </c>
      <c r="B41" s="11"/>
      <c r="C41" s="11"/>
      <c r="D41" s="11"/>
      <c r="E41" s="11"/>
      <c r="F41" s="11"/>
      <c r="G41" s="11"/>
      <c r="H41" s="11"/>
      <c r="I41" s="11"/>
      <c r="J41" s="11"/>
      <c r="K41" s="11"/>
      <c r="L41" t="str">
        <f>IFERROR(HYPERLINK("#Main!A"&amp;MATCH(A41,Main!A:A,0),"Open"),HYPERLINK("#Main!A1","Open"))</f>
        <v>Open</v>
      </c>
    </row>
    <row r="42" spans="1:13" ht="30" customHeight="1" x14ac:dyDescent="0.25">
      <c r="A42" s="59" t="s">
        <v>164</v>
      </c>
      <c r="B42" s="8"/>
      <c r="C42" s="8"/>
      <c r="D42" s="8"/>
      <c r="E42" s="8"/>
      <c r="F42" s="8"/>
      <c r="G42" s="8"/>
      <c r="H42" s="8"/>
      <c r="I42" s="8"/>
      <c r="J42" s="8"/>
      <c r="K42" s="8"/>
      <c r="L42" s="9" t="str">
        <f>IFERROR(HYPERLINK("#Main!A"&amp;MATCH(A42,Main!A:A,0),"Open"),HYPERLINK("#Main!A1","Open"))</f>
        <v>Open</v>
      </c>
      <c r="M42" s="9"/>
    </row>
    <row r="43" spans="1:13" ht="30" customHeight="1" x14ac:dyDescent="0.25">
      <c r="A43" s="58" t="s">
        <v>350</v>
      </c>
      <c r="B43" s="11"/>
      <c r="C43" s="11"/>
      <c r="D43" s="11"/>
      <c r="E43" s="11"/>
      <c r="F43" s="11"/>
      <c r="G43" s="11"/>
      <c r="H43" s="11"/>
      <c r="I43" s="11"/>
      <c r="J43" s="11"/>
      <c r="K43" s="11"/>
      <c r="L43" t="str">
        <f>IFERROR(HYPERLINK("#Main!A"&amp;MATCH(A43,Main!A:A,0),"Open"),HYPERLINK("#Main!A1","Open"))</f>
        <v>Open</v>
      </c>
    </row>
    <row r="44" spans="1:13" ht="30" customHeight="1" x14ac:dyDescent="0.25">
      <c r="A44" s="59" t="s">
        <v>374</v>
      </c>
      <c r="B44" s="8"/>
      <c r="C44" s="8"/>
      <c r="D44" s="8"/>
      <c r="E44" s="8"/>
      <c r="F44" s="8"/>
      <c r="G44" s="8"/>
      <c r="H44" s="8"/>
      <c r="I44" s="8"/>
      <c r="J44" s="8"/>
      <c r="K44" s="8"/>
      <c r="L44" s="9" t="str">
        <f>IFERROR(HYPERLINK("#Main!A"&amp;MATCH(A44,Main!A:A,0),"Open"),HYPERLINK("#Main!A1","Open"))</f>
        <v>Open</v>
      </c>
      <c r="M44" s="9"/>
    </row>
    <row r="45" spans="1:13" ht="45" customHeight="1" x14ac:dyDescent="0.25">
      <c r="A45" s="58" t="s">
        <v>409</v>
      </c>
      <c r="B45" s="11"/>
      <c r="C45" s="11"/>
      <c r="D45" s="11"/>
      <c r="E45" s="11"/>
      <c r="F45" s="11"/>
      <c r="G45" s="11"/>
      <c r="H45" s="11"/>
      <c r="I45" s="11"/>
      <c r="J45" s="11"/>
      <c r="K45" s="11"/>
      <c r="L45" t="str">
        <f>IFERROR(HYPERLINK("#Main!A"&amp;MATCH(A45,Main!A:A,0),"Open"),HYPERLINK("#Main!A1","Open"))</f>
        <v>Open</v>
      </c>
    </row>
    <row r="46" spans="1:13" ht="30" customHeight="1" x14ac:dyDescent="0.25">
      <c r="A46" s="59" t="s">
        <v>436</v>
      </c>
      <c r="B46" s="8"/>
      <c r="C46" s="8"/>
      <c r="D46" s="8"/>
      <c r="E46" s="8"/>
      <c r="F46" s="8"/>
      <c r="G46" s="8"/>
      <c r="H46" s="8"/>
      <c r="I46" s="8"/>
      <c r="J46" s="8"/>
      <c r="K46" s="8"/>
      <c r="L46" s="9" t="str">
        <f>IFERROR(HYPERLINK("#Main!A"&amp;MATCH(A46,Main!A:A,0),"Open"),HYPERLINK("#Main!A1","Open"))</f>
        <v>Open</v>
      </c>
      <c r="M46" s="9"/>
    </row>
    <row r="47" spans="1:13" ht="30" customHeight="1" x14ac:dyDescent="0.25">
      <c r="A47" s="58" t="s">
        <v>473</v>
      </c>
      <c r="B47" s="11"/>
      <c r="C47" s="11"/>
      <c r="D47" s="11"/>
      <c r="E47" s="11"/>
      <c r="F47" s="11"/>
      <c r="G47" s="11"/>
      <c r="H47" s="11"/>
      <c r="I47" s="11"/>
      <c r="J47" s="11"/>
      <c r="K47" s="11"/>
      <c r="L47" t="str">
        <f>IFERROR(HYPERLINK("#Main!A"&amp;MATCH(A47,Main!A:A,0),"Open"),HYPERLINK("#Main!A1","Open"))</f>
        <v>Open</v>
      </c>
    </row>
    <row r="48" spans="1:13" ht="30" customHeight="1" x14ac:dyDescent="0.25">
      <c r="A48" s="59" t="s">
        <v>489</v>
      </c>
      <c r="B48" s="8"/>
      <c r="C48" s="8"/>
      <c r="D48" s="8"/>
      <c r="E48" s="8"/>
      <c r="F48" s="8"/>
      <c r="G48" s="8"/>
      <c r="H48" s="8"/>
      <c r="I48" s="8"/>
      <c r="J48" s="8"/>
      <c r="K48" s="8"/>
      <c r="L48" s="9" t="str">
        <f>IFERROR(HYPERLINK("#Main!A"&amp;MATCH(A48,Main!A:A,0),"Open"),HYPERLINK("#Main!A1","Open"))</f>
        <v>Open</v>
      </c>
      <c r="M48" s="9"/>
    </row>
    <row r="49" spans="1:13" ht="30" customHeight="1" x14ac:dyDescent="0.25">
      <c r="A49" s="58" t="s">
        <v>338</v>
      </c>
      <c r="B49" s="11"/>
      <c r="C49" s="11"/>
      <c r="D49" s="11"/>
      <c r="E49" s="11"/>
      <c r="F49" s="11"/>
      <c r="G49" s="11"/>
      <c r="H49" s="11"/>
      <c r="I49" s="11"/>
      <c r="J49" s="11"/>
      <c r="K49" s="11"/>
      <c r="L49" t="str">
        <f>IFERROR(HYPERLINK("#Main!A"&amp;MATCH(A49,Main!A:A,0),"Open"),HYPERLINK("#Main!A1","Open"))</f>
        <v>Open</v>
      </c>
    </row>
    <row r="50" spans="1:13" ht="30" customHeight="1" x14ac:dyDescent="0.25">
      <c r="A50" s="59" t="s">
        <v>433</v>
      </c>
      <c r="B50" s="8"/>
      <c r="C50" s="8"/>
      <c r="D50" s="8"/>
      <c r="E50" s="8"/>
      <c r="F50" s="8"/>
      <c r="G50" s="8"/>
      <c r="H50" s="8"/>
      <c r="I50" s="8"/>
      <c r="J50" s="8"/>
      <c r="K50" s="8"/>
      <c r="L50" s="9" t="str">
        <f>IFERROR(HYPERLINK("#Main!A"&amp;MATCH(A50,Main!A:A,0),"Open"),HYPERLINK("#Main!A1","Open"))</f>
        <v>Open</v>
      </c>
      <c r="M50" s="9"/>
    </row>
    <row r="51" spans="1:13" ht="30" customHeight="1" x14ac:dyDescent="0.25">
      <c r="A51" s="58" t="s">
        <v>743</v>
      </c>
      <c r="B51" s="11"/>
      <c r="C51" s="11"/>
      <c r="D51" s="11"/>
      <c r="E51" s="11"/>
      <c r="F51" s="11"/>
      <c r="G51" s="11"/>
      <c r="H51" s="11"/>
      <c r="I51" s="11"/>
      <c r="J51" s="11"/>
      <c r="K51" s="11"/>
      <c r="L51" t="str">
        <f>IFERROR(HYPERLINK("#Main!A"&amp;MATCH(A51,Main!A:A,0),"Open"),HYPERLINK("#Main!A1","Open"))</f>
        <v>Open</v>
      </c>
    </row>
    <row r="52" spans="1:13" ht="30" customHeight="1" x14ac:dyDescent="0.25">
      <c r="A52" s="59" t="s">
        <v>598</v>
      </c>
      <c r="B52" s="8"/>
      <c r="C52" s="8"/>
      <c r="D52" s="8"/>
      <c r="E52" s="8"/>
      <c r="F52" s="8"/>
      <c r="G52" s="8"/>
      <c r="H52" s="8"/>
      <c r="I52" s="8"/>
      <c r="J52" s="8"/>
      <c r="K52" s="8"/>
      <c r="L52" s="9" t="str">
        <f>IFERROR(HYPERLINK("#Main!A"&amp;MATCH(A52,Main!A:A,0),"Open"),HYPERLINK("#Main!A1","Open"))</f>
        <v>Open</v>
      </c>
      <c r="M52" s="9"/>
    </row>
    <row r="53" spans="1:13" ht="30" customHeight="1" x14ac:dyDescent="0.25">
      <c r="A53" s="58" t="s">
        <v>735</v>
      </c>
      <c r="B53" s="11"/>
      <c r="C53" s="11"/>
      <c r="D53" s="11"/>
      <c r="E53" s="11"/>
      <c r="F53" s="11"/>
      <c r="G53" s="11"/>
      <c r="H53" s="11"/>
      <c r="I53" s="11"/>
      <c r="J53" s="11"/>
      <c r="K53" s="11"/>
      <c r="L53" t="str">
        <f>IFERROR(HYPERLINK("#Main!A"&amp;MATCH(A53,Main!A:A,0),"Open"),HYPERLINK("#Main!A1","Open"))</f>
        <v>Open</v>
      </c>
    </row>
    <row r="54" spans="1:13" ht="30" customHeight="1" x14ac:dyDescent="0.25">
      <c r="A54" s="59" t="s">
        <v>712</v>
      </c>
      <c r="B54" s="8"/>
      <c r="C54" s="8"/>
      <c r="D54" s="8"/>
      <c r="E54" s="8"/>
      <c r="F54" s="8"/>
      <c r="G54" s="8"/>
      <c r="H54" s="8"/>
      <c r="I54" s="8"/>
      <c r="J54" s="8"/>
      <c r="K54" s="8"/>
      <c r="L54" s="9" t="str">
        <f>IFERROR(HYPERLINK("#Main!A"&amp;MATCH(A54,Main!A:A,0),"Open"),HYPERLINK("#Main!A1","Open"))</f>
        <v>Open</v>
      </c>
      <c r="M54" s="9"/>
    </row>
    <row r="55" spans="1:13" ht="30" customHeight="1" x14ac:dyDescent="0.25">
      <c r="A55" s="58" t="s">
        <v>622</v>
      </c>
      <c r="B55" s="11"/>
      <c r="C55" s="11"/>
      <c r="D55" s="11"/>
      <c r="E55" s="11"/>
      <c r="F55" s="11"/>
      <c r="G55" s="11"/>
      <c r="H55" s="11"/>
      <c r="I55" s="11"/>
      <c r="J55" s="11"/>
      <c r="K55" s="11"/>
      <c r="L55" t="str">
        <f>IFERROR(HYPERLINK("#Main!A"&amp;MATCH(A55,Main!A:A,0),"Open"),HYPERLINK("#Main!A1","Open"))</f>
        <v>Open</v>
      </c>
    </row>
    <row r="56" spans="1:13" ht="30" customHeight="1" x14ac:dyDescent="0.25">
      <c r="A56" s="59" t="s">
        <v>535</v>
      </c>
      <c r="B56" s="8"/>
      <c r="C56" s="8"/>
      <c r="D56" s="8"/>
      <c r="E56" s="8"/>
      <c r="F56" s="8"/>
      <c r="G56" s="8"/>
      <c r="H56" s="8"/>
      <c r="I56" s="8"/>
      <c r="J56" s="8"/>
      <c r="K56" s="8"/>
      <c r="L56" s="9" t="str">
        <f>IFERROR(HYPERLINK("#Main!A"&amp;MATCH(A56,Main!A:A,0),"Open"),HYPERLINK("#Main!A1","Open"))</f>
        <v>Open</v>
      </c>
      <c r="M56" s="9"/>
    </row>
    <row r="57" spans="1:13" ht="30" customHeight="1" x14ac:dyDescent="0.25">
      <c r="A57" s="58" t="s">
        <v>527</v>
      </c>
      <c r="B57" s="11"/>
      <c r="C57" s="11"/>
      <c r="D57" s="11"/>
      <c r="E57" s="11"/>
      <c r="F57" s="11"/>
      <c r="G57" s="11"/>
      <c r="H57" s="11"/>
      <c r="I57" s="11"/>
      <c r="J57" s="11"/>
      <c r="K57" s="11"/>
      <c r="L57" t="str">
        <f>IFERROR(HYPERLINK("#Main!A"&amp;MATCH(A57,Main!A:A,0),"Open"),HYPERLINK("#Main!A1","Open"))</f>
        <v>Open</v>
      </c>
    </row>
    <row r="58" spans="1:13" ht="30" customHeight="1" x14ac:dyDescent="0.25">
      <c r="A58" s="59" t="s">
        <v>590</v>
      </c>
      <c r="B58" s="8"/>
      <c r="C58" s="8"/>
      <c r="D58" s="8"/>
      <c r="E58" s="8"/>
      <c r="F58" s="8"/>
      <c r="G58" s="8"/>
      <c r="H58" s="8"/>
      <c r="I58" s="8"/>
      <c r="J58" s="8"/>
      <c r="K58" s="8"/>
      <c r="L58" s="9" t="str">
        <f>IFERROR(HYPERLINK("#Main!A"&amp;MATCH(A58,Main!A:A,0),"Open"),HYPERLINK("#Main!A1","Open"))</f>
        <v>Open</v>
      </c>
      <c r="M58" s="9"/>
    </row>
    <row r="59" spans="1:13" ht="30" customHeight="1" x14ac:dyDescent="0.25">
      <c r="A59" s="58" t="s">
        <v>758</v>
      </c>
      <c r="B59" s="11"/>
      <c r="C59" s="11"/>
      <c r="D59" s="11"/>
      <c r="E59" s="11"/>
      <c r="F59" s="11"/>
      <c r="G59" s="11"/>
      <c r="H59" s="11"/>
      <c r="I59" s="11"/>
      <c r="J59" s="11"/>
      <c r="K59" s="11"/>
      <c r="L59" t="str">
        <f>IFERROR(HYPERLINK("#Main!A"&amp;MATCH(A59,Main!A:A,0),"Open"),HYPERLINK("#Main!A1","Open"))</f>
        <v>Open</v>
      </c>
    </row>
    <row r="60" spans="1:13" ht="30" customHeight="1" x14ac:dyDescent="0.25">
      <c r="A60" s="59" t="s">
        <v>282</v>
      </c>
      <c r="B60" s="8"/>
      <c r="C60" s="8"/>
      <c r="D60" s="8"/>
      <c r="E60" s="8"/>
      <c r="F60" s="8"/>
      <c r="G60" s="8"/>
      <c r="H60" s="8"/>
      <c r="I60" s="8"/>
      <c r="J60" s="8"/>
      <c r="K60" s="8"/>
      <c r="L60" s="9" t="str">
        <f>IFERROR(HYPERLINK("#Main!A"&amp;MATCH(A60,Main!A:A,0),"Open"),HYPERLINK("#Main!A1","Open"))</f>
        <v>Open</v>
      </c>
      <c r="M60" s="9"/>
    </row>
    <row r="61" spans="1:13" ht="30" customHeight="1" x14ac:dyDescent="0.25">
      <c r="A61" s="58" t="s">
        <v>766</v>
      </c>
      <c r="B61" s="11"/>
      <c r="C61" s="11"/>
      <c r="D61" s="11"/>
      <c r="E61" s="11"/>
      <c r="F61" s="11"/>
      <c r="G61" s="11"/>
      <c r="H61" s="11"/>
      <c r="I61" s="11"/>
      <c r="J61" s="11"/>
      <c r="K61" s="11"/>
      <c r="L61" t="str">
        <f>IFERROR(HYPERLINK("#Main!A"&amp;MATCH(A61,Main!A:A,0),"Open"),HYPERLINK("#Main!A1","Open"))</f>
        <v>Open</v>
      </c>
    </row>
    <row r="62" spans="1:13" ht="30" customHeight="1" x14ac:dyDescent="0.25">
      <c r="A62" s="59" t="s">
        <v>614</v>
      </c>
      <c r="B62" s="8"/>
      <c r="C62" s="8"/>
      <c r="D62" s="8"/>
      <c r="E62" s="8"/>
      <c r="F62" s="8"/>
      <c r="G62" s="8"/>
      <c r="H62" s="8"/>
      <c r="I62" s="8"/>
      <c r="J62" s="8"/>
      <c r="K62" s="8"/>
      <c r="L62" s="9" t="str">
        <f>IFERROR(HYPERLINK("#Main!A"&amp;MATCH(A62,Main!A:A,0),"Open"),HYPERLINK("#Main!A1","Open"))</f>
        <v>Open</v>
      </c>
      <c r="M62" s="9"/>
    </row>
    <row r="63" spans="1:13" ht="30" customHeight="1" x14ac:dyDescent="0.25">
      <c r="A63" s="58" t="s">
        <v>425</v>
      </c>
      <c r="B63" s="11"/>
      <c r="C63" s="11"/>
      <c r="D63" s="11"/>
      <c r="E63" s="11"/>
      <c r="F63" s="11"/>
      <c r="G63" s="11"/>
      <c r="H63" s="11"/>
      <c r="I63" s="11"/>
      <c r="J63" s="11"/>
      <c r="K63" s="11"/>
      <c r="L63" t="str">
        <f>IFERROR(HYPERLINK("#Main!A"&amp;MATCH(A63,Main!A:A,0),"Open"),HYPERLINK("#Main!A1","Open"))</f>
        <v>Open</v>
      </c>
    </row>
    <row r="64" spans="1:13" ht="30" customHeight="1" x14ac:dyDescent="0.25">
      <c r="A64" s="59" t="s">
        <v>210</v>
      </c>
      <c r="B64" s="8"/>
      <c r="C64" s="8"/>
      <c r="D64" s="8"/>
      <c r="E64" s="8"/>
      <c r="F64" s="8"/>
      <c r="G64" s="8"/>
      <c r="H64" s="8"/>
      <c r="I64" s="8"/>
      <c r="J64" s="8"/>
      <c r="K64" s="8"/>
      <c r="L64" s="9" t="str">
        <f>IFERROR(HYPERLINK("#Main!A"&amp;MATCH(A64,Main!A:A,0),"Open"),HYPERLINK("#Main!A1","Open"))</f>
        <v>Open</v>
      </c>
      <c r="M64" s="9"/>
    </row>
    <row r="65" spans="1:13" ht="30" customHeight="1" x14ac:dyDescent="0.25">
      <c r="A65" s="58" t="s">
        <v>258</v>
      </c>
      <c r="B65" s="11"/>
      <c r="C65" s="11"/>
      <c r="D65" s="11"/>
      <c r="E65" s="11"/>
      <c r="F65" s="11"/>
      <c r="G65" s="11"/>
      <c r="H65" s="11"/>
      <c r="I65" s="11"/>
      <c r="J65" s="11"/>
      <c r="K65" s="11"/>
      <c r="L65" t="str">
        <f>IFERROR(HYPERLINK("#Main!A"&amp;MATCH(A65,Main!A:A,0),"Open"),HYPERLINK("#Main!A1","Open"))</f>
        <v>Open</v>
      </c>
    </row>
    <row r="66" spans="1:13" ht="30" customHeight="1" x14ac:dyDescent="0.25">
      <c r="A66" s="59" t="s">
        <v>250</v>
      </c>
      <c r="B66" s="8"/>
      <c r="C66" s="8"/>
      <c r="D66" s="8"/>
      <c r="E66" s="8"/>
      <c r="F66" s="8"/>
      <c r="G66" s="8"/>
      <c r="H66" s="8"/>
      <c r="I66" s="8"/>
      <c r="J66" s="8"/>
      <c r="K66" s="8"/>
      <c r="L66" s="9" t="str">
        <f>IFERROR(HYPERLINK("#Main!A"&amp;MATCH(A66,Main!A:A,0),"Open"),HYPERLINK("#Main!A1","Open"))</f>
        <v>Open</v>
      </c>
      <c r="M66" s="9"/>
    </row>
    <row r="67" spans="1:13" ht="30" customHeight="1" x14ac:dyDescent="0.25">
      <c r="A67" s="58" t="s">
        <v>266</v>
      </c>
      <c r="B67" s="11"/>
      <c r="C67" s="11"/>
      <c r="D67" s="11"/>
      <c r="E67" s="11"/>
      <c r="F67" s="11"/>
      <c r="G67" s="11"/>
      <c r="H67" s="11"/>
      <c r="I67" s="11"/>
      <c r="J67" s="11"/>
      <c r="K67" s="11"/>
      <c r="L67" t="str">
        <f>IFERROR(HYPERLINK("#Main!A"&amp;MATCH(A67,Main!A:A,0),"Open"),HYPERLINK("#Main!A1","Open"))</f>
        <v>Open</v>
      </c>
    </row>
    <row r="68" spans="1:13" ht="30" customHeight="1" x14ac:dyDescent="0.25">
      <c r="A68" s="59" t="s">
        <v>543</v>
      </c>
      <c r="B68" s="8"/>
      <c r="C68" s="8"/>
      <c r="D68" s="8"/>
      <c r="E68" s="8"/>
      <c r="F68" s="8"/>
      <c r="G68" s="8"/>
      <c r="H68" s="8"/>
      <c r="I68" s="8"/>
      <c r="J68" s="8"/>
      <c r="K68" s="8"/>
      <c r="L68" s="9" t="str">
        <f>IFERROR(HYPERLINK("#Main!A"&amp;MATCH(A68,Main!A:A,0),"Open"),HYPERLINK("#Main!A1","Open"))</f>
        <v>Open</v>
      </c>
      <c r="M68" s="9"/>
    </row>
    <row r="69" spans="1:13" ht="30" customHeight="1" x14ac:dyDescent="0.25">
      <c r="A69" s="58" t="s">
        <v>99</v>
      </c>
      <c r="B69" s="11"/>
      <c r="C69" s="11"/>
      <c r="D69" s="11"/>
      <c r="E69" s="11"/>
      <c r="F69" s="11"/>
      <c r="G69" s="11"/>
      <c r="H69" s="11"/>
      <c r="I69" s="11"/>
      <c r="J69" s="11"/>
      <c r="K69" s="11"/>
      <c r="L69" t="str">
        <f>IFERROR(HYPERLINK("#Main!A"&amp;MATCH(A69,Main!A:A,0),"Open"),HYPERLINK("#Main!A1","Open"))</f>
        <v>Open</v>
      </c>
    </row>
    <row r="70" spans="1:13" ht="30" customHeight="1" x14ac:dyDescent="0.25">
      <c r="A70" s="59" t="s">
        <v>226</v>
      </c>
      <c r="B70" s="8"/>
      <c r="C70" s="8"/>
      <c r="D70" s="8"/>
      <c r="E70" s="8"/>
      <c r="F70" s="8"/>
      <c r="G70" s="8"/>
      <c r="H70" s="8"/>
      <c r="I70" s="8"/>
      <c r="J70" s="8"/>
      <c r="K70" s="8"/>
      <c r="L70" s="9" t="str">
        <f>IFERROR(HYPERLINK("#Main!A"&amp;MATCH(A70,Main!A:A,0),"Open"),HYPERLINK("#Main!A1","Open"))</f>
        <v>Open</v>
      </c>
      <c r="M70" s="9"/>
    </row>
    <row r="71" spans="1:13" ht="30" customHeight="1" x14ac:dyDescent="0.25">
      <c r="A71" s="58" t="s">
        <v>234</v>
      </c>
      <c r="B71" s="11"/>
      <c r="C71" s="11"/>
      <c r="D71" s="11"/>
      <c r="E71" s="11"/>
      <c r="F71" s="11"/>
      <c r="G71" s="11"/>
      <c r="H71" s="11"/>
      <c r="I71" s="11"/>
      <c r="J71" s="11"/>
      <c r="K71" s="11"/>
      <c r="L71" t="str">
        <f>IFERROR(HYPERLINK("#Main!A"&amp;MATCH(A71,Main!A:A,0),"Open"),HYPERLINK("#Main!A1","Open"))</f>
        <v>Open</v>
      </c>
    </row>
    <row r="72" spans="1:13" ht="30" customHeight="1" x14ac:dyDescent="0.25">
      <c r="A72" s="59" t="s">
        <v>218</v>
      </c>
      <c r="B72" s="8"/>
      <c r="C72" s="8"/>
      <c r="D72" s="8"/>
      <c r="E72" s="8"/>
      <c r="F72" s="8"/>
      <c r="G72" s="8"/>
      <c r="H72" s="8"/>
      <c r="I72" s="8"/>
      <c r="J72" s="8"/>
      <c r="K72" s="8"/>
      <c r="L72" s="9" t="str">
        <f>IFERROR(HYPERLINK("#Main!A"&amp;MATCH(A72,Main!A:A,0),"Open"),HYPERLINK("#Main!A1","Open"))</f>
        <v>Open</v>
      </c>
      <c r="M72" s="9"/>
    </row>
    <row r="73" spans="1:13" ht="30" customHeight="1" x14ac:dyDescent="0.25">
      <c r="A73" s="58" t="s">
        <v>342</v>
      </c>
      <c r="B73" s="11"/>
      <c r="C73" s="11"/>
      <c r="D73" s="11"/>
      <c r="E73" s="11"/>
      <c r="F73" s="11"/>
      <c r="G73" s="11"/>
      <c r="H73" s="11"/>
      <c r="I73" s="11"/>
      <c r="J73" s="11"/>
      <c r="K73" s="11"/>
      <c r="L73" t="str">
        <f>IFERROR(HYPERLINK("#Main!A"&amp;MATCH(A73,Main!A:A,0),"Open"),HYPERLINK("#Main!A1","Open"))</f>
        <v>Open</v>
      </c>
    </row>
    <row r="74" spans="1:13" ht="30" customHeight="1" x14ac:dyDescent="0.25">
      <c r="A74" s="59" t="s">
        <v>774</v>
      </c>
      <c r="B74" s="8"/>
      <c r="C74" s="8"/>
      <c r="D74" s="8"/>
      <c r="E74" s="8"/>
      <c r="F74" s="8"/>
      <c r="G74" s="8"/>
      <c r="H74" s="8"/>
      <c r="I74" s="8"/>
      <c r="J74" s="8"/>
      <c r="K74" s="8"/>
      <c r="L74" s="9" t="str">
        <f>IFERROR(HYPERLINK("#Main!A"&amp;MATCH(A74,Main!A:A,0),"Open"),HYPERLINK("#Main!A1","Open"))</f>
        <v>Open</v>
      </c>
      <c r="M74" s="9"/>
    </row>
    <row r="75" spans="1:13" ht="30" customHeight="1" x14ac:dyDescent="0.25">
      <c r="A75" s="58" t="s">
        <v>750</v>
      </c>
      <c r="B75" s="11"/>
      <c r="C75" s="11"/>
      <c r="D75" s="11"/>
      <c r="E75" s="11"/>
      <c r="F75" s="11"/>
      <c r="G75" s="11"/>
      <c r="H75" s="11"/>
      <c r="I75" s="11"/>
      <c r="J75" s="11"/>
      <c r="K75" s="11"/>
      <c r="L75" t="str">
        <f>IFERROR(HYPERLINK("#Main!A"&amp;MATCH(A75,Main!A:A,0),"Open"),HYPERLINK("#Main!A1","Open"))</f>
        <v>Open</v>
      </c>
    </row>
    <row r="76" spans="1:13" ht="30" customHeight="1" x14ac:dyDescent="0.25">
      <c r="A76" s="59" t="s">
        <v>465</v>
      </c>
      <c r="B76" s="8"/>
      <c r="C76" s="8"/>
      <c r="D76" s="8"/>
      <c r="E76" s="8"/>
      <c r="F76" s="8"/>
      <c r="G76" s="8"/>
      <c r="H76" s="8"/>
      <c r="I76" s="8"/>
      <c r="J76" s="8"/>
      <c r="K76" s="8"/>
      <c r="L76" s="9" t="str">
        <f>IFERROR(HYPERLINK("#Main!A"&amp;MATCH(A76,Main!A:A,0),"Open"),HYPERLINK("#Main!A1","Open"))</f>
        <v>Open</v>
      </c>
      <c r="M76" s="9"/>
    </row>
    <row r="77" spans="1:13" ht="30" customHeight="1" x14ac:dyDescent="0.25">
      <c r="A77" s="58" t="s">
        <v>457</v>
      </c>
      <c r="B77" s="11"/>
      <c r="C77" s="11"/>
      <c r="D77" s="11"/>
      <c r="E77" s="11"/>
      <c r="F77" s="11"/>
      <c r="G77" s="11"/>
      <c r="H77" s="11"/>
      <c r="I77" s="11"/>
      <c r="J77" s="11"/>
      <c r="K77" s="11"/>
      <c r="L77" t="str">
        <f>IFERROR(HYPERLINK("#Main!A"&amp;MATCH(A77,Main!A:A,0),"Open"),HYPERLINK("#Main!A1","Open"))</f>
        <v>Open</v>
      </c>
    </row>
    <row r="78" spans="1:13" ht="30" customHeight="1" x14ac:dyDescent="0.25">
      <c r="A78" s="59" t="s">
        <v>449</v>
      </c>
      <c r="B78" s="8"/>
      <c r="C78" s="8"/>
      <c r="D78" s="8"/>
      <c r="E78" s="8"/>
      <c r="F78" s="8"/>
      <c r="G78" s="8"/>
      <c r="H78" s="8"/>
      <c r="I78" s="8"/>
      <c r="J78" s="8"/>
      <c r="K78" s="8"/>
      <c r="L78" s="9" t="str">
        <f>IFERROR(HYPERLINK("#Main!A"&amp;MATCH(A78,Main!A:A,0),"Open"),HYPERLINK("#Main!A1","Open"))</f>
        <v>Open</v>
      </c>
      <c r="M78" s="9"/>
    </row>
    <row r="79" spans="1:13" ht="30" customHeight="1" x14ac:dyDescent="0.25">
      <c r="A79" s="58" t="s">
        <v>444</v>
      </c>
      <c r="B79" s="11"/>
      <c r="C79" s="11"/>
      <c r="D79" s="11"/>
      <c r="E79" s="11"/>
      <c r="F79" s="11"/>
      <c r="G79" s="11"/>
      <c r="H79" s="11"/>
      <c r="I79" s="11"/>
      <c r="J79" s="11"/>
      <c r="K79" s="11"/>
      <c r="L79" t="str">
        <f>IFERROR(HYPERLINK("#Main!A"&amp;MATCH(A79,Main!A:A,0),"Open"),HYPERLINK("#Main!A1","Open"))</f>
        <v>Open</v>
      </c>
    </row>
    <row r="80" spans="1:13" ht="30" customHeight="1" x14ac:dyDescent="0.25">
      <c r="A80" s="59" t="s">
        <v>330</v>
      </c>
      <c r="B80" s="8"/>
      <c r="C80" s="8"/>
      <c r="D80" s="8"/>
      <c r="E80" s="8"/>
      <c r="F80" s="8"/>
      <c r="G80" s="8"/>
      <c r="H80" s="8"/>
      <c r="I80" s="8"/>
      <c r="J80" s="8"/>
      <c r="K80" s="8"/>
      <c r="L80" s="9" t="str">
        <f>IFERROR(HYPERLINK("#Main!A"&amp;MATCH(A80,Main!A:A,0),"Open"),HYPERLINK("#Main!A1","Open"))</f>
        <v>Open</v>
      </c>
      <c r="M80" s="9"/>
    </row>
    <row r="81" spans="1:13" ht="30" customHeight="1" x14ac:dyDescent="0.25">
      <c r="A81" s="58" t="s">
        <v>782</v>
      </c>
      <c r="B81" s="11"/>
      <c r="C81" s="11"/>
      <c r="D81" s="11"/>
      <c r="E81" s="11"/>
      <c r="F81" s="11"/>
      <c r="G81" s="11"/>
      <c r="H81" s="11"/>
      <c r="I81" s="11"/>
      <c r="J81" s="11"/>
      <c r="K81" s="11"/>
      <c r="L81" t="str">
        <f>IFERROR(HYPERLINK("#Main!A"&amp;MATCH(A81,Main!A:A,0),"Open"),HYPERLINK("#Main!A1","Open"))</f>
        <v>Open</v>
      </c>
    </row>
    <row r="82" spans="1:13" ht="30" customHeight="1" x14ac:dyDescent="0.25">
      <c r="A82" s="59" t="s">
        <v>720</v>
      </c>
      <c r="B82" s="8"/>
      <c r="C82" s="8"/>
      <c r="D82" s="8"/>
      <c r="E82" s="8"/>
      <c r="F82" s="8"/>
      <c r="G82" s="8"/>
      <c r="H82" s="8"/>
      <c r="I82" s="8"/>
      <c r="J82" s="8"/>
      <c r="K82" s="8"/>
      <c r="L82" s="9" t="str">
        <f>IFERROR(HYPERLINK("#Main!A"&amp;MATCH(A82,Main!A:A,0),"Open"),HYPERLINK("#Main!A1","Open"))</f>
        <v>Open</v>
      </c>
      <c r="M82" s="9"/>
    </row>
    <row r="83" spans="1:13" ht="30" customHeight="1" x14ac:dyDescent="0.25">
      <c r="A83" s="58" t="s">
        <v>635</v>
      </c>
      <c r="B83" s="11"/>
      <c r="C83" s="11"/>
      <c r="D83" s="11"/>
      <c r="E83" s="11"/>
      <c r="F83" s="11"/>
      <c r="G83" s="11"/>
      <c r="H83" s="11"/>
      <c r="I83" s="11"/>
      <c r="J83" s="11"/>
      <c r="K83" s="11"/>
      <c r="L83" t="str">
        <f>IFERROR(HYPERLINK("#Main!A"&amp;MATCH(A83,Main!A:A,0),"Open"),HYPERLINK("#Main!A1","Open"))</f>
        <v>Open</v>
      </c>
    </row>
    <row r="84" spans="1:13" ht="30" customHeight="1" x14ac:dyDescent="0.25">
      <c r="A84" s="59" t="s">
        <v>180</v>
      </c>
      <c r="B84" s="8"/>
      <c r="C84" s="8"/>
      <c r="D84" s="8"/>
      <c r="E84" s="8"/>
      <c r="F84" s="8"/>
      <c r="G84" s="8"/>
      <c r="H84" s="8"/>
      <c r="I84" s="8"/>
      <c r="J84" s="8"/>
      <c r="K84" s="8"/>
      <c r="L84" s="9" t="str">
        <f>IFERROR(HYPERLINK("#Main!A"&amp;MATCH(A84,Main!A:A,0),"Open"),HYPERLINK("#Main!A1","Open"))</f>
        <v>Open</v>
      </c>
      <c r="M84" s="9"/>
    </row>
    <row r="85" spans="1:13" ht="30" customHeight="1" x14ac:dyDescent="0.25">
      <c r="A85" s="58" t="s">
        <v>698</v>
      </c>
      <c r="B85" s="11"/>
      <c r="C85" s="11"/>
      <c r="D85" s="11"/>
      <c r="E85" s="11"/>
      <c r="F85" s="11"/>
      <c r="G85" s="11"/>
      <c r="H85" s="11"/>
      <c r="I85" s="11"/>
      <c r="J85" s="11"/>
      <c r="K85" s="11"/>
      <c r="L85" t="str">
        <f>IFERROR(HYPERLINK("#Main!A"&amp;MATCH(A85,Main!A:A,0),"Open"),HYPERLINK("#Main!A1","Open"))</f>
        <v>Open</v>
      </c>
    </row>
    <row r="86" spans="1:13" ht="30" customHeight="1" x14ac:dyDescent="0.25">
      <c r="A86" s="59" t="s">
        <v>666</v>
      </c>
      <c r="B86" s="8"/>
      <c r="C86" s="8"/>
      <c r="D86" s="8"/>
      <c r="E86" s="8"/>
      <c r="F86" s="8"/>
      <c r="G86" s="8"/>
      <c r="H86" s="8"/>
      <c r="I86" s="8"/>
      <c r="J86" s="8"/>
      <c r="K86" s="8"/>
      <c r="L86" s="9" t="str">
        <f>IFERROR(HYPERLINK("#Main!A"&amp;MATCH(A86,Main!A:A,0),"Open"),HYPERLINK("#Main!A1","Open"))</f>
        <v>Open</v>
      </c>
      <c r="M86" s="9"/>
    </row>
  </sheetData>
  <autoFilter ref="A1:M86" xr:uid="{00000000-0009-0000-0000-00000E000000}"/>
  <dataValidations count="13">
    <dataValidation type="custom" allowBlank="1" showInputMessage="1" promptTitle="URL" prompt="URL. Use this URL to inspect the page directly or jump to related tabs." sqref="A1" xr:uid="{00000000-0002-0000-0E00-000000000000}">
      <formula1>TRUE</formula1>
    </dataValidation>
    <dataValidation type="custom" allowBlank="1" showInputMessage="1" promptTitle="Strict-Transport-Security" prompt="Strict-Transport-Security. Review this metric to identify risk, then use linked tabs for details and remediation." sqref="B1" xr:uid="{00000000-0002-0000-0E00-000001000000}">
      <formula1>TRUE</formula1>
    </dataValidation>
    <dataValidation type="custom" allowBlank="1" showInputMessage="1" promptTitle="Content-Security-Policy" prompt="Content-Security-Policy. Review this metric to identify risk, then use linked tabs for details and remediation." sqref="C1" xr:uid="{00000000-0002-0000-0E00-000002000000}">
      <formula1>TRUE</formula1>
    </dataValidation>
    <dataValidation type="custom" allowBlank="1" showInputMessage="1" promptTitle="X-Content-Type-Options" prompt="X-Content-Type-Options. Review this metric to identify risk, then use linked tabs for details and remediation." sqref="D1" xr:uid="{00000000-0002-0000-0E00-000003000000}">
      <formula1>TRUE</formula1>
    </dataValidation>
    <dataValidation type="custom" allowBlank="1" showInputMessage="1" promptTitle="X-Frame-Options" prompt="X-Frame-Options. Review this metric to identify risk, then use linked tabs for details and remediation." sqref="E1" xr:uid="{00000000-0002-0000-0E00-000004000000}">
      <formula1>TRUE</formula1>
    </dataValidation>
    <dataValidation type="custom" allowBlank="1" showInputMessage="1" promptTitle="Referrer-Policy" prompt="Referrer-Policy. Review this metric to identify risk, then use linked tabs for details and remediation." sqref="F1" xr:uid="{00000000-0002-0000-0E00-000005000000}">
      <formula1>TRUE</formula1>
    </dataValidation>
    <dataValidation type="custom" allowBlank="1" showInputMessage="1" promptTitle="Permissions-Policy" prompt="Permissions-Policy. Review this metric to identify risk, then use linked tabs for details and remediation." sqref="G1" xr:uid="{00000000-0002-0000-0E00-000006000000}">
      <formula1>TRUE</formula1>
    </dataValidation>
    <dataValidation type="custom" allowBlank="1" showInputMessage="1" promptTitle="Robots.txt Accessible" prompt="Robots.txt Accessible. Review this metric to identify risk, then use linked tabs for details and remediation." sqref="H1" xr:uid="{00000000-0002-0000-0E00-000007000000}">
      <formula1>TRUE</formula1>
    </dataValidation>
    <dataValidation type="custom" allowBlank="1" showInputMessage="1" promptTitle="Sitemap in Robots.txt" prompt="Sitemap in Robots.txt. Review this metric to identify risk, then use linked tabs for details and remediation." sqref="I1" xr:uid="{00000000-0002-0000-0E00-000008000000}">
      <formula1>TRUE</formula1>
    </dataValidation>
    <dataValidation type="custom" allowBlank="1" showInputMessage="1" promptTitle="Robots.txt Crawl-Delay" prompt="Robots.txt Crawl-Delay. Review this metric to identify risk, then use linked tabs for details and remediation." sqref="J1" xr:uid="{00000000-0002-0000-0E00-000009000000}">
      <formula1>TRUE</formula1>
    </dataValidation>
    <dataValidation type="custom" allowBlank="1" showInputMessage="1" promptTitle="Robots.txt Disallow /" prompt="Robots.txt Disallow /. Review this metric to identify risk, then use linked tabs for details and remediation." sqref="K1" xr:uid="{00000000-0002-0000-0E00-00000A000000}">
      <formula1>TRUE</formula1>
    </dataValidation>
    <dataValidation type="custom" allowBlank="1" showInputMessage="1" promptTitle="Open in Main" prompt="Navigation helper. Click to jump directly to the related record in another tab." sqref="L1" xr:uid="{00000000-0002-0000-0E00-00000B000000}">
      <formula1>TRUE</formula1>
    </dataValidation>
    <dataValidation type="custom" allowBlank="1" showInputMessage="1" promptTitle="BACK TO DASHBOARD" prompt="BACK TO DASHBOARD. Review this metric to identify risk, then use linked tabs for details and remediation." sqref="M1" xr:uid="{00000000-0002-0000-0E00-00000C000000}">
      <formula1>TRUE</formula1>
    </dataValidation>
  </dataValidations>
  <hyperlinks>
    <hyperlink ref="M1" location="Dashboard!A1" display="BACK TO DASHBOARD" xr:uid="{00000000-0004-0000-0E00-000000000000}"/>
    <hyperlink ref="A2" r:id="rId1" xr:uid="{00000000-0004-0000-0E00-000001000000}"/>
    <hyperlink ref="A3" r:id="rId2" xr:uid="{00000000-0004-0000-0E00-000002000000}"/>
    <hyperlink ref="A4" r:id="rId3" xr:uid="{00000000-0004-0000-0E00-000003000000}"/>
    <hyperlink ref="A5" r:id="rId4" xr:uid="{00000000-0004-0000-0E00-000004000000}"/>
    <hyperlink ref="A6" r:id="rId5" xr:uid="{00000000-0004-0000-0E00-000005000000}"/>
    <hyperlink ref="A7" r:id="rId6" xr:uid="{00000000-0004-0000-0E00-000006000000}"/>
    <hyperlink ref="A8" r:id="rId7" xr:uid="{00000000-0004-0000-0E00-000007000000}"/>
    <hyperlink ref="A9" r:id="rId8" xr:uid="{00000000-0004-0000-0E00-000008000000}"/>
    <hyperlink ref="A10" r:id="rId9" xr:uid="{00000000-0004-0000-0E00-000009000000}"/>
    <hyperlink ref="A11" r:id="rId10" xr:uid="{00000000-0004-0000-0E00-00000A000000}"/>
    <hyperlink ref="A12" r:id="rId11" xr:uid="{00000000-0004-0000-0E00-00000B000000}"/>
    <hyperlink ref="A13" r:id="rId12" xr:uid="{00000000-0004-0000-0E00-00000C000000}"/>
    <hyperlink ref="A14" r:id="rId13" xr:uid="{00000000-0004-0000-0E00-00000D000000}"/>
    <hyperlink ref="A15" r:id="rId14" xr:uid="{00000000-0004-0000-0E00-00000E000000}"/>
    <hyperlink ref="A16" r:id="rId15" xr:uid="{00000000-0004-0000-0E00-00000F000000}"/>
    <hyperlink ref="A17" r:id="rId16" xr:uid="{00000000-0004-0000-0E00-000010000000}"/>
    <hyperlink ref="A18" r:id="rId17" xr:uid="{00000000-0004-0000-0E00-000011000000}"/>
    <hyperlink ref="A19" r:id="rId18" xr:uid="{00000000-0004-0000-0E00-000012000000}"/>
    <hyperlink ref="A20" r:id="rId19" xr:uid="{00000000-0004-0000-0E00-000013000000}"/>
    <hyperlink ref="A21" r:id="rId20" xr:uid="{00000000-0004-0000-0E00-000014000000}"/>
    <hyperlink ref="A22" r:id="rId21" xr:uid="{00000000-0004-0000-0E00-000015000000}"/>
    <hyperlink ref="A23" r:id="rId22" xr:uid="{00000000-0004-0000-0E00-000016000000}"/>
    <hyperlink ref="A24" r:id="rId23" xr:uid="{00000000-0004-0000-0E00-000017000000}"/>
    <hyperlink ref="A25" r:id="rId24" xr:uid="{00000000-0004-0000-0E00-000018000000}"/>
    <hyperlink ref="A26" r:id="rId25" xr:uid="{00000000-0004-0000-0E00-000019000000}"/>
    <hyperlink ref="A27" r:id="rId26" xr:uid="{00000000-0004-0000-0E00-00001A000000}"/>
    <hyperlink ref="A28" r:id="rId27" xr:uid="{00000000-0004-0000-0E00-00001B000000}"/>
    <hyperlink ref="A29" r:id="rId28" xr:uid="{00000000-0004-0000-0E00-00001C000000}"/>
    <hyperlink ref="A30" r:id="rId29" xr:uid="{00000000-0004-0000-0E00-00001D000000}"/>
    <hyperlink ref="A31" r:id="rId30" xr:uid="{00000000-0004-0000-0E00-00001E000000}"/>
    <hyperlink ref="A32" r:id="rId31" xr:uid="{00000000-0004-0000-0E00-00001F000000}"/>
    <hyperlink ref="A33" r:id="rId32" xr:uid="{00000000-0004-0000-0E00-000020000000}"/>
    <hyperlink ref="A34" r:id="rId33" xr:uid="{00000000-0004-0000-0E00-000021000000}"/>
    <hyperlink ref="A35" r:id="rId34" xr:uid="{00000000-0004-0000-0E00-000022000000}"/>
    <hyperlink ref="A36" r:id="rId35" xr:uid="{00000000-0004-0000-0E00-000023000000}"/>
    <hyperlink ref="A37" r:id="rId36" xr:uid="{00000000-0004-0000-0E00-000024000000}"/>
    <hyperlink ref="A38" r:id="rId37" xr:uid="{00000000-0004-0000-0E00-000025000000}"/>
    <hyperlink ref="A39" r:id="rId38" xr:uid="{00000000-0004-0000-0E00-000026000000}"/>
    <hyperlink ref="A40" r:id="rId39" xr:uid="{00000000-0004-0000-0E00-000027000000}"/>
    <hyperlink ref="A41" r:id="rId40" xr:uid="{00000000-0004-0000-0E00-000028000000}"/>
    <hyperlink ref="A42" r:id="rId41" xr:uid="{00000000-0004-0000-0E00-000029000000}"/>
    <hyperlink ref="A43" r:id="rId42" xr:uid="{00000000-0004-0000-0E00-00002A000000}"/>
    <hyperlink ref="A44" r:id="rId43" xr:uid="{00000000-0004-0000-0E00-00002B000000}"/>
    <hyperlink ref="A45" r:id="rId44" xr:uid="{00000000-0004-0000-0E00-00002C000000}"/>
    <hyperlink ref="A46" r:id="rId45" xr:uid="{00000000-0004-0000-0E00-00002D000000}"/>
    <hyperlink ref="A47" r:id="rId46" xr:uid="{00000000-0004-0000-0E00-00002E000000}"/>
    <hyperlink ref="A48" r:id="rId47" xr:uid="{00000000-0004-0000-0E00-00002F000000}"/>
    <hyperlink ref="A49" r:id="rId48" xr:uid="{00000000-0004-0000-0E00-000030000000}"/>
    <hyperlink ref="A50" r:id="rId49" xr:uid="{00000000-0004-0000-0E00-000031000000}"/>
    <hyperlink ref="A51" r:id="rId50" xr:uid="{00000000-0004-0000-0E00-000032000000}"/>
    <hyperlink ref="A52" r:id="rId51" xr:uid="{00000000-0004-0000-0E00-000033000000}"/>
    <hyperlink ref="A53" r:id="rId52" xr:uid="{00000000-0004-0000-0E00-000034000000}"/>
    <hyperlink ref="A54" r:id="rId53" xr:uid="{00000000-0004-0000-0E00-000035000000}"/>
    <hyperlink ref="A55" r:id="rId54" xr:uid="{00000000-0004-0000-0E00-000036000000}"/>
    <hyperlink ref="A56" r:id="rId55" xr:uid="{00000000-0004-0000-0E00-000037000000}"/>
    <hyperlink ref="A57" r:id="rId56" xr:uid="{00000000-0004-0000-0E00-000038000000}"/>
    <hyperlink ref="A58" r:id="rId57" xr:uid="{00000000-0004-0000-0E00-000039000000}"/>
    <hyperlink ref="A59" r:id="rId58" xr:uid="{00000000-0004-0000-0E00-00003A000000}"/>
    <hyperlink ref="A60" r:id="rId59" xr:uid="{00000000-0004-0000-0E00-00003B000000}"/>
    <hyperlink ref="A61" r:id="rId60" xr:uid="{00000000-0004-0000-0E00-00003C000000}"/>
    <hyperlink ref="A62" r:id="rId61" xr:uid="{00000000-0004-0000-0E00-00003D000000}"/>
    <hyperlink ref="A63" r:id="rId62" xr:uid="{00000000-0004-0000-0E00-00003E000000}"/>
    <hyperlink ref="A64" r:id="rId63" xr:uid="{00000000-0004-0000-0E00-00003F000000}"/>
    <hyperlink ref="A65" r:id="rId64" xr:uid="{00000000-0004-0000-0E00-000040000000}"/>
    <hyperlink ref="A66" r:id="rId65" xr:uid="{00000000-0004-0000-0E00-000041000000}"/>
    <hyperlink ref="A67" r:id="rId66" xr:uid="{00000000-0004-0000-0E00-000042000000}"/>
    <hyperlink ref="A68" r:id="rId67" xr:uid="{00000000-0004-0000-0E00-000043000000}"/>
    <hyperlink ref="A69" r:id="rId68" xr:uid="{00000000-0004-0000-0E00-000044000000}"/>
    <hyperlink ref="A70" r:id="rId69" xr:uid="{00000000-0004-0000-0E00-000045000000}"/>
    <hyperlink ref="A71" r:id="rId70" xr:uid="{00000000-0004-0000-0E00-000046000000}"/>
    <hyperlink ref="A72" r:id="rId71" xr:uid="{00000000-0004-0000-0E00-000047000000}"/>
    <hyperlink ref="A73" r:id="rId72" xr:uid="{00000000-0004-0000-0E00-000048000000}"/>
    <hyperlink ref="A74" r:id="rId73" xr:uid="{00000000-0004-0000-0E00-000049000000}"/>
    <hyperlink ref="A75" r:id="rId74" xr:uid="{00000000-0004-0000-0E00-00004A000000}"/>
    <hyperlink ref="A76" r:id="rId75" xr:uid="{00000000-0004-0000-0E00-00004B000000}"/>
    <hyperlink ref="A77" r:id="rId76" xr:uid="{00000000-0004-0000-0E00-00004C000000}"/>
    <hyperlink ref="A78" r:id="rId77" xr:uid="{00000000-0004-0000-0E00-00004D000000}"/>
    <hyperlink ref="A79" r:id="rId78" xr:uid="{00000000-0004-0000-0E00-00004E000000}"/>
    <hyperlink ref="A80" r:id="rId79" xr:uid="{00000000-0004-0000-0E00-00004F000000}"/>
    <hyperlink ref="A81" r:id="rId80" xr:uid="{00000000-0004-0000-0E00-000050000000}"/>
    <hyperlink ref="A82" r:id="rId81" xr:uid="{00000000-0004-0000-0E00-000051000000}"/>
    <hyperlink ref="A83" r:id="rId82" xr:uid="{00000000-0004-0000-0E00-000052000000}"/>
    <hyperlink ref="A84" r:id="rId83" xr:uid="{00000000-0004-0000-0E00-000053000000}"/>
    <hyperlink ref="A85" r:id="rId84" xr:uid="{00000000-0004-0000-0E00-000054000000}"/>
    <hyperlink ref="A86" r:id="rId85" xr:uid="{00000000-0004-0000-0E00-000055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6"/>
  <sheetViews>
    <sheetView workbookViewId="0">
      <pane ySplit="1" topLeftCell="A2" activePane="bottomLeft" state="frozen"/>
      <selection pane="bottomLeft"/>
    </sheetView>
  </sheetViews>
  <sheetFormatPr defaultRowHeight="15" x14ac:dyDescent="0.25"/>
  <cols>
    <col min="1" max="1" width="24" customWidth="1"/>
    <col min="2" max="2" width="13" customWidth="1"/>
    <col min="3" max="3" width="60" customWidth="1"/>
    <col min="4" max="4" width="31" customWidth="1"/>
    <col min="5" max="5" width="18" customWidth="1"/>
    <col min="6" max="6" width="60" customWidth="1"/>
  </cols>
  <sheetData>
    <row r="1" spans="1:7" ht="45" x14ac:dyDescent="0.25">
      <c r="A1" s="4" t="s">
        <v>1</v>
      </c>
      <c r="B1" s="4" t="s">
        <v>88</v>
      </c>
      <c r="C1" s="4" t="s">
        <v>1216</v>
      </c>
      <c r="D1" s="4" t="s">
        <v>2097</v>
      </c>
      <c r="E1" s="4" t="s">
        <v>1220</v>
      </c>
      <c r="F1" s="4" t="s">
        <v>2098</v>
      </c>
      <c r="G1" s="39" t="s">
        <v>136</v>
      </c>
    </row>
    <row r="2" spans="1:7" ht="409.5" x14ac:dyDescent="0.25">
      <c r="A2" s="8" t="s">
        <v>110</v>
      </c>
      <c r="B2" s="61" t="s">
        <v>67</v>
      </c>
      <c r="C2" s="48" t="s">
        <v>858</v>
      </c>
      <c r="D2" s="51" t="s">
        <v>2099</v>
      </c>
      <c r="E2" s="71" t="s">
        <v>9</v>
      </c>
      <c r="F2" s="51" t="s">
        <v>2100</v>
      </c>
      <c r="G2" s="9"/>
    </row>
    <row r="3" spans="1:7" ht="15.75" x14ac:dyDescent="0.25">
      <c r="A3" s="11" t="s">
        <v>110</v>
      </c>
      <c r="B3" s="61" t="s">
        <v>67</v>
      </c>
      <c r="C3" s="42" t="s">
        <v>842</v>
      </c>
      <c r="D3" s="55" t="s">
        <v>57</v>
      </c>
      <c r="E3" s="72" t="s">
        <v>9</v>
      </c>
      <c r="F3" s="55" t="s">
        <v>2101</v>
      </c>
    </row>
    <row r="4" spans="1:7" ht="409.5" x14ac:dyDescent="0.25">
      <c r="A4" s="6" t="s">
        <v>110</v>
      </c>
      <c r="B4" s="64" t="s">
        <v>68</v>
      </c>
      <c r="C4" s="48" t="s">
        <v>880</v>
      </c>
      <c r="D4" s="51" t="s">
        <v>2099</v>
      </c>
      <c r="E4" s="71" t="s">
        <v>9</v>
      </c>
      <c r="F4" s="51" t="s">
        <v>2100</v>
      </c>
      <c r="G4" s="9"/>
    </row>
    <row r="5" spans="1:7" ht="409.5" x14ac:dyDescent="0.25">
      <c r="A5" s="6" t="s">
        <v>110</v>
      </c>
      <c r="B5" s="64" t="s">
        <v>68</v>
      </c>
      <c r="C5" s="42" t="s">
        <v>877</v>
      </c>
      <c r="D5" s="55" t="s">
        <v>2099</v>
      </c>
      <c r="E5" s="72" t="s">
        <v>9</v>
      </c>
      <c r="F5" s="55" t="s">
        <v>2100</v>
      </c>
    </row>
    <row r="6" spans="1:7" ht="409.5" x14ac:dyDescent="0.25">
      <c r="A6" s="6" t="s">
        <v>110</v>
      </c>
      <c r="B6" s="64" t="s">
        <v>68</v>
      </c>
      <c r="C6" s="48" t="s">
        <v>874</v>
      </c>
      <c r="D6" s="51" t="s">
        <v>2099</v>
      </c>
      <c r="E6" s="71" t="s">
        <v>9</v>
      </c>
      <c r="F6" s="51" t="s">
        <v>2100</v>
      </c>
      <c r="G6" s="9"/>
    </row>
    <row r="7" spans="1:7" x14ac:dyDescent="0.25">
      <c r="A7" s="6" t="s">
        <v>110</v>
      </c>
      <c r="B7" s="11"/>
      <c r="C7" s="11"/>
      <c r="D7" s="55"/>
      <c r="E7" s="11"/>
      <c r="F7" s="55" t="s">
        <v>2102</v>
      </c>
    </row>
    <row r="8" spans="1:7" ht="60" x14ac:dyDescent="0.25">
      <c r="A8" s="8" t="s">
        <v>2103</v>
      </c>
      <c r="B8" s="49" t="s">
        <v>66</v>
      </c>
      <c r="C8" s="48" t="s">
        <v>834</v>
      </c>
      <c r="D8" s="51" t="s">
        <v>2104</v>
      </c>
      <c r="E8" s="71" t="s">
        <v>7</v>
      </c>
      <c r="F8" s="51" t="s">
        <v>2105</v>
      </c>
      <c r="G8" s="9"/>
    </row>
    <row r="9" spans="1:7" ht="60" x14ac:dyDescent="0.25">
      <c r="A9" s="11" t="s">
        <v>2103</v>
      </c>
      <c r="B9" s="49" t="s">
        <v>66</v>
      </c>
      <c r="C9" s="42" t="s">
        <v>830</v>
      </c>
      <c r="D9" s="55" t="s">
        <v>2104</v>
      </c>
      <c r="E9" s="72" t="s">
        <v>7</v>
      </c>
      <c r="F9" s="55" t="s">
        <v>2105</v>
      </c>
    </row>
    <row r="10" spans="1:7" ht="15.75" x14ac:dyDescent="0.25">
      <c r="A10" s="8" t="s">
        <v>2103</v>
      </c>
      <c r="B10" s="49" t="s">
        <v>66</v>
      </c>
      <c r="C10" s="48" t="s">
        <v>827</v>
      </c>
      <c r="D10" s="51" t="s">
        <v>57</v>
      </c>
      <c r="E10" s="71" t="s">
        <v>11</v>
      </c>
      <c r="F10" s="51" t="s">
        <v>2106</v>
      </c>
      <c r="G10" s="9"/>
    </row>
    <row r="11" spans="1:7" ht="15.75" x14ac:dyDescent="0.25">
      <c r="A11" s="11" t="s">
        <v>2103</v>
      </c>
      <c r="B11" s="49" t="s">
        <v>66</v>
      </c>
      <c r="C11" s="42" t="s">
        <v>826</v>
      </c>
      <c r="D11" s="55" t="s">
        <v>57</v>
      </c>
      <c r="E11" s="72" t="s">
        <v>7</v>
      </c>
      <c r="F11" s="55" t="s">
        <v>2106</v>
      </c>
    </row>
    <row r="12" spans="1:7" ht="15.75" x14ac:dyDescent="0.25">
      <c r="A12" s="8" t="s">
        <v>2103</v>
      </c>
      <c r="B12" s="49" t="s">
        <v>66</v>
      </c>
      <c r="C12" s="48" t="s">
        <v>818</v>
      </c>
      <c r="D12" s="51" t="s">
        <v>57</v>
      </c>
      <c r="E12" s="71" t="s">
        <v>12</v>
      </c>
      <c r="F12" s="51" t="s">
        <v>2106</v>
      </c>
      <c r="G12" s="9"/>
    </row>
    <row r="13" spans="1:7" ht="15.75" x14ac:dyDescent="0.25">
      <c r="A13" s="11" t="s">
        <v>2103</v>
      </c>
      <c r="B13" s="49" t="s">
        <v>66</v>
      </c>
      <c r="C13" s="42" t="s">
        <v>810</v>
      </c>
      <c r="D13" s="55" t="s">
        <v>57</v>
      </c>
      <c r="E13" s="72" t="s">
        <v>12</v>
      </c>
      <c r="F13" s="55" t="s">
        <v>2106</v>
      </c>
    </row>
    <row r="14" spans="1:7" ht="15.75" x14ac:dyDescent="0.25">
      <c r="A14" s="8" t="s">
        <v>2103</v>
      </c>
      <c r="B14" s="49" t="s">
        <v>66</v>
      </c>
      <c r="C14" s="48" t="s">
        <v>822</v>
      </c>
      <c r="D14" s="51" t="s">
        <v>57</v>
      </c>
      <c r="E14" s="71" t="s">
        <v>7</v>
      </c>
      <c r="F14" s="51" t="s">
        <v>2106</v>
      </c>
      <c r="G14" s="9"/>
    </row>
    <row r="15" spans="1:7" ht="409.5" x14ac:dyDescent="0.25">
      <c r="A15" s="11" t="s">
        <v>2103</v>
      </c>
      <c r="B15" s="61" t="s">
        <v>67</v>
      </c>
      <c r="C15" s="42" t="s">
        <v>858</v>
      </c>
      <c r="D15" s="55" t="s">
        <v>2099</v>
      </c>
      <c r="E15" s="72" t="s">
        <v>9</v>
      </c>
      <c r="F15" s="55" t="s">
        <v>2107</v>
      </c>
    </row>
    <row r="16" spans="1:7" ht="409.5" x14ac:dyDescent="0.25">
      <c r="A16" s="8" t="s">
        <v>2103</v>
      </c>
      <c r="B16" s="61" t="s">
        <v>67</v>
      </c>
      <c r="C16" s="48" t="s">
        <v>857</v>
      </c>
      <c r="D16" s="51" t="s">
        <v>2108</v>
      </c>
      <c r="E16" s="71" t="s">
        <v>7</v>
      </c>
      <c r="F16" s="51" t="s">
        <v>2109</v>
      </c>
      <c r="G16" s="9"/>
    </row>
    <row r="17" spans="1:7" ht="405" x14ac:dyDescent="0.25">
      <c r="A17" s="11" t="s">
        <v>2103</v>
      </c>
      <c r="B17" s="61" t="s">
        <v>67</v>
      </c>
      <c r="C17" s="42" t="s">
        <v>852</v>
      </c>
      <c r="D17" s="55" t="s">
        <v>2110</v>
      </c>
      <c r="E17" s="72" t="s">
        <v>7</v>
      </c>
      <c r="F17" s="55" t="s">
        <v>2111</v>
      </c>
    </row>
    <row r="18" spans="1:7" ht="120" x14ac:dyDescent="0.25">
      <c r="A18" s="8" t="s">
        <v>2103</v>
      </c>
      <c r="B18" s="61" t="s">
        <v>67</v>
      </c>
      <c r="C18" s="48" t="s">
        <v>853</v>
      </c>
      <c r="D18" s="51" t="s">
        <v>2112</v>
      </c>
      <c r="E18" s="71" t="s">
        <v>7</v>
      </c>
      <c r="F18" s="51" t="s">
        <v>2113</v>
      </c>
      <c r="G18" s="9"/>
    </row>
    <row r="19" spans="1:7" ht="15.75" x14ac:dyDescent="0.25">
      <c r="A19" s="11" t="s">
        <v>2103</v>
      </c>
      <c r="B19" s="61" t="s">
        <v>67</v>
      </c>
      <c r="C19" s="42" t="s">
        <v>841</v>
      </c>
      <c r="D19" s="55" t="s">
        <v>57</v>
      </c>
      <c r="E19" s="72" t="s">
        <v>7</v>
      </c>
      <c r="F19" s="55" t="s">
        <v>2106</v>
      </c>
    </row>
    <row r="20" spans="1:7" ht="15.75" x14ac:dyDescent="0.25">
      <c r="A20" s="8" t="s">
        <v>2103</v>
      </c>
      <c r="B20" s="61" t="s">
        <v>67</v>
      </c>
      <c r="C20" s="48" t="s">
        <v>850</v>
      </c>
      <c r="D20" s="51" t="s">
        <v>57</v>
      </c>
      <c r="E20" s="71" t="s">
        <v>12</v>
      </c>
      <c r="F20" s="51" t="s">
        <v>2106</v>
      </c>
      <c r="G20" s="9"/>
    </row>
    <row r="21" spans="1:7" ht="15.75" x14ac:dyDescent="0.25">
      <c r="A21" s="11" t="s">
        <v>2103</v>
      </c>
      <c r="B21" s="61" t="s">
        <v>67</v>
      </c>
      <c r="C21" s="42" t="s">
        <v>845</v>
      </c>
      <c r="D21" s="55" t="s">
        <v>57</v>
      </c>
      <c r="E21" s="72" t="s">
        <v>7</v>
      </c>
      <c r="F21" s="55" t="s">
        <v>2106</v>
      </c>
    </row>
    <row r="22" spans="1:7" ht="15.75" x14ac:dyDescent="0.25">
      <c r="A22" s="8" t="s">
        <v>2103</v>
      </c>
      <c r="B22" s="61" t="s">
        <v>67</v>
      </c>
      <c r="C22" s="48" t="s">
        <v>851</v>
      </c>
      <c r="D22" s="51" t="s">
        <v>57</v>
      </c>
      <c r="E22" s="71" t="s">
        <v>7</v>
      </c>
      <c r="F22" s="51" t="s">
        <v>2106</v>
      </c>
      <c r="G22" s="9"/>
    </row>
    <row r="23" spans="1:7" ht="15.75" x14ac:dyDescent="0.25">
      <c r="A23" s="11" t="s">
        <v>2103</v>
      </c>
      <c r="B23" s="61" t="s">
        <v>67</v>
      </c>
      <c r="C23" s="42" t="s">
        <v>846</v>
      </c>
      <c r="D23" s="55" t="s">
        <v>57</v>
      </c>
      <c r="E23" s="72" t="s">
        <v>7</v>
      </c>
      <c r="F23" s="55" t="s">
        <v>2106</v>
      </c>
    </row>
    <row r="24" spans="1:7" ht="15.75" x14ac:dyDescent="0.25">
      <c r="A24" s="8" t="s">
        <v>2103</v>
      </c>
      <c r="B24" s="61" t="s">
        <v>67</v>
      </c>
      <c r="C24" s="48" t="s">
        <v>842</v>
      </c>
      <c r="D24" s="51" t="s">
        <v>57</v>
      </c>
      <c r="E24" s="71" t="s">
        <v>9</v>
      </c>
      <c r="F24" s="51" t="s">
        <v>2106</v>
      </c>
      <c r="G24" s="9"/>
    </row>
    <row r="25" spans="1:7" ht="15.75" x14ac:dyDescent="0.25">
      <c r="A25" s="11" t="s">
        <v>2103</v>
      </c>
      <c r="B25" s="61" t="s">
        <v>67</v>
      </c>
      <c r="C25" s="42" t="s">
        <v>847</v>
      </c>
      <c r="D25" s="55" t="s">
        <v>57</v>
      </c>
      <c r="E25" s="72" t="s">
        <v>7</v>
      </c>
      <c r="F25" s="55" t="s">
        <v>2106</v>
      </c>
    </row>
    <row r="26" spans="1:7" ht="15.75" x14ac:dyDescent="0.25">
      <c r="A26" s="8" t="s">
        <v>2103</v>
      </c>
      <c r="B26" s="61" t="s">
        <v>67</v>
      </c>
      <c r="C26" s="48" t="s">
        <v>837</v>
      </c>
      <c r="D26" s="51" t="s">
        <v>57</v>
      </c>
      <c r="E26" s="71" t="s">
        <v>7</v>
      </c>
      <c r="F26" s="51" t="s">
        <v>2106</v>
      </c>
      <c r="G26" s="9"/>
    </row>
    <row r="27" spans="1:7" ht="409.5" x14ac:dyDescent="0.25">
      <c r="A27" s="6" t="s">
        <v>2103</v>
      </c>
      <c r="B27" s="64" t="s">
        <v>68</v>
      </c>
      <c r="C27" s="42" t="s">
        <v>883</v>
      </c>
      <c r="D27" s="55" t="s">
        <v>2099</v>
      </c>
      <c r="E27" s="72" t="s">
        <v>7</v>
      </c>
      <c r="F27" s="55" t="s">
        <v>2107</v>
      </c>
    </row>
    <row r="28" spans="1:7" ht="409.5" x14ac:dyDescent="0.25">
      <c r="A28" s="6" t="s">
        <v>2103</v>
      </c>
      <c r="B28" s="64" t="s">
        <v>68</v>
      </c>
      <c r="C28" s="48" t="s">
        <v>880</v>
      </c>
      <c r="D28" s="51" t="s">
        <v>2099</v>
      </c>
      <c r="E28" s="71" t="s">
        <v>7</v>
      </c>
      <c r="F28" s="51" t="s">
        <v>2107</v>
      </c>
      <c r="G28" s="9"/>
    </row>
    <row r="29" spans="1:7" ht="409.5" x14ac:dyDescent="0.25">
      <c r="A29" s="6" t="s">
        <v>2103</v>
      </c>
      <c r="B29" s="64" t="s">
        <v>68</v>
      </c>
      <c r="C29" s="42" t="s">
        <v>877</v>
      </c>
      <c r="D29" s="55" t="s">
        <v>2099</v>
      </c>
      <c r="E29" s="72" t="s">
        <v>7</v>
      </c>
      <c r="F29" s="55" t="s">
        <v>2107</v>
      </c>
    </row>
    <row r="30" spans="1:7" ht="409.5" x14ac:dyDescent="0.25">
      <c r="A30" s="6" t="s">
        <v>2103</v>
      </c>
      <c r="B30" s="64" t="s">
        <v>68</v>
      </c>
      <c r="C30" s="48" t="s">
        <v>872</v>
      </c>
      <c r="D30" s="51" t="s">
        <v>2099</v>
      </c>
      <c r="E30" s="71" t="s">
        <v>7</v>
      </c>
      <c r="F30" s="51" t="s">
        <v>2107</v>
      </c>
      <c r="G30" s="9"/>
    </row>
    <row r="31" spans="1:7" ht="409.5" x14ac:dyDescent="0.25">
      <c r="A31" s="6" t="s">
        <v>2103</v>
      </c>
      <c r="B31" s="64" t="s">
        <v>68</v>
      </c>
      <c r="C31" s="42" t="s">
        <v>102</v>
      </c>
      <c r="D31" s="55" t="s">
        <v>2099</v>
      </c>
      <c r="E31" s="72" t="s">
        <v>7</v>
      </c>
      <c r="F31" s="55" t="s">
        <v>2107</v>
      </c>
    </row>
    <row r="32" spans="1:7" ht="409.5" x14ac:dyDescent="0.25">
      <c r="A32" s="6" t="s">
        <v>2103</v>
      </c>
      <c r="B32" s="64" t="s">
        <v>68</v>
      </c>
      <c r="C32" s="48" t="s">
        <v>873</v>
      </c>
      <c r="D32" s="51" t="s">
        <v>2099</v>
      </c>
      <c r="E32" s="71" t="s">
        <v>7</v>
      </c>
      <c r="F32" s="51" t="s">
        <v>2107</v>
      </c>
      <c r="G32" s="9"/>
    </row>
    <row r="33" spans="1:7" ht="409.5" x14ac:dyDescent="0.25">
      <c r="A33" s="6" t="s">
        <v>2103</v>
      </c>
      <c r="B33" s="64" t="s">
        <v>68</v>
      </c>
      <c r="C33" s="42" t="s">
        <v>874</v>
      </c>
      <c r="D33" s="55" t="s">
        <v>2099</v>
      </c>
      <c r="E33" s="72" t="s">
        <v>9</v>
      </c>
      <c r="F33" s="55" t="s">
        <v>2107</v>
      </c>
    </row>
    <row r="34" spans="1:7" ht="409.5" x14ac:dyDescent="0.25">
      <c r="A34" s="6" t="s">
        <v>2103</v>
      </c>
      <c r="B34" s="64" t="s">
        <v>68</v>
      </c>
      <c r="C34" s="48" t="s">
        <v>884</v>
      </c>
      <c r="D34" s="51" t="s">
        <v>2114</v>
      </c>
      <c r="E34" s="71" t="s">
        <v>7</v>
      </c>
      <c r="F34" s="51" t="s">
        <v>2115</v>
      </c>
      <c r="G34" s="9"/>
    </row>
    <row r="35" spans="1:7" ht="60" x14ac:dyDescent="0.25">
      <c r="A35" s="6" t="s">
        <v>2103</v>
      </c>
      <c r="B35" s="64" t="s">
        <v>68</v>
      </c>
      <c r="C35" s="42" t="s">
        <v>869</v>
      </c>
      <c r="D35" s="55" t="s">
        <v>2104</v>
      </c>
      <c r="E35" s="72" t="s">
        <v>7</v>
      </c>
      <c r="F35" s="55" t="s">
        <v>2116</v>
      </c>
    </row>
    <row r="36" spans="1:7" ht="60" x14ac:dyDescent="0.25">
      <c r="A36" s="6" t="s">
        <v>2103</v>
      </c>
      <c r="B36" s="64" t="s">
        <v>68</v>
      </c>
      <c r="C36" s="48" t="s">
        <v>871</v>
      </c>
      <c r="D36" s="51" t="s">
        <v>2104</v>
      </c>
      <c r="E36" s="71" t="s">
        <v>7</v>
      </c>
      <c r="F36" s="51" t="s">
        <v>2105</v>
      </c>
      <c r="G36" s="9"/>
    </row>
    <row r="37" spans="1:7" ht="15.75" x14ac:dyDescent="0.25">
      <c r="A37" s="6" t="s">
        <v>2103</v>
      </c>
      <c r="B37" s="64" t="s">
        <v>68</v>
      </c>
      <c r="C37" s="42" t="s">
        <v>867</v>
      </c>
      <c r="D37" s="55" t="s">
        <v>57</v>
      </c>
      <c r="E37" s="72" t="s">
        <v>7</v>
      </c>
      <c r="F37" s="55" t="s">
        <v>2106</v>
      </c>
    </row>
    <row r="38" spans="1:7" ht="15.75" x14ac:dyDescent="0.25">
      <c r="A38" s="6" t="s">
        <v>2103</v>
      </c>
      <c r="B38" s="64" t="s">
        <v>68</v>
      </c>
      <c r="C38" s="48" t="s">
        <v>865</v>
      </c>
      <c r="D38" s="51" t="s">
        <v>57</v>
      </c>
      <c r="E38" s="71" t="s">
        <v>7</v>
      </c>
      <c r="F38" s="51" t="s">
        <v>2106</v>
      </c>
      <c r="G38" s="9"/>
    </row>
    <row r="39" spans="1:7" ht="15.75" x14ac:dyDescent="0.25">
      <c r="A39" s="6" t="s">
        <v>2103</v>
      </c>
      <c r="B39" s="64" t="s">
        <v>68</v>
      </c>
      <c r="C39" s="42" t="s">
        <v>866</v>
      </c>
      <c r="D39" s="55" t="s">
        <v>57</v>
      </c>
      <c r="E39" s="72" t="s">
        <v>7</v>
      </c>
      <c r="F39" s="55" t="s">
        <v>2106</v>
      </c>
    </row>
    <row r="40" spans="1:7" ht="15.75" x14ac:dyDescent="0.25">
      <c r="A40" s="6" t="s">
        <v>2103</v>
      </c>
      <c r="B40" s="64" t="s">
        <v>68</v>
      </c>
      <c r="C40" s="48" t="s">
        <v>861</v>
      </c>
      <c r="D40" s="51" t="s">
        <v>57</v>
      </c>
      <c r="E40" s="71" t="s">
        <v>7</v>
      </c>
      <c r="F40" s="51" t="s">
        <v>2106</v>
      </c>
      <c r="G40" s="9"/>
    </row>
    <row r="41" spans="1:7" ht="15.75" x14ac:dyDescent="0.25">
      <c r="A41" s="6" t="s">
        <v>2103</v>
      </c>
      <c r="B41" s="64" t="s">
        <v>68</v>
      </c>
      <c r="C41" s="42" t="s">
        <v>868</v>
      </c>
      <c r="D41" s="55" t="s">
        <v>57</v>
      </c>
      <c r="E41" s="72" t="s">
        <v>7</v>
      </c>
      <c r="F41" s="55" t="s">
        <v>2106</v>
      </c>
    </row>
    <row r="42" spans="1:7" x14ac:dyDescent="0.25">
      <c r="A42" s="6" t="s">
        <v>2103</v>
      </c>
      <c r="B42" s="8"/>
      <c r="C42" s="8"/>
      <c r="D42" s="51"/>
      <c r="E42" s="8"/>
      <c r="F42" s="51"/>
      <c r="G42" s="9"/>
    </row>
    <row r="43" spans="1:7" x14ac:dyDescent="0.25">
      <c r="A43" s="6" t="s">
        <v>2117</v>
      </c>
      <c r="B43" s="11"/>
      <c r="C43" s="11"/>
      <c r="D43" s="55"/>
      <c r="E43" s="11"/>
      <c r="F43" s="55"/>
    </row>
    <row r="44" spans="1:7" ht="75" x14ac:dyDescent="0.25">
      <c r="A44" s="8" t="s">
        <v>2117</v>
      </c>
      <c r="B44" s="49" t="s">
        <v>66</v>
      </c>
      <c r="C44" s="8" t="s">
        <v>2118</v>
      </c>
      <c r="D44" s="51" t="s">
        <v>2104</v>
      </c>
      <c r="E44" s="71" t="s">
        <v>14</v>
      </c>
      <c r="F44" s="51" t="s">
        <v>2119</v>
      </c>
      <c r="G44" s="9"/>
    </row>
    <row r="45" spans="1:7" ht="75" x14ac:dyDescent="0.25">
      <c r="A45" s="11" t="s">
        <v>2117</v>
      </c>
      <c r="B45" s="49" t="s">
        <v>66</v>
      </c>
      <c r="C45" s="11" t="s">
        <v>2120</v>
      </c>
      <c r="D45" s="55" t="s">
        <v>2104</v>
      </c>
      <c r="E45" s="72" t="s">
        <v>14</v>
      </c>
      <c r="F45" s="55" t="s">
        <v>2119</v>
      </c>
    </row>
    <row r="46" spans="1:7" x14ac:dyDescent="0.25">
      <c r="A46" s="6" t="s">
        <v>2121</v>
      </c>
      <c r="B46" s="8"/>
      <c r="C46" s="8"/>
      <c r="D46" s="51"/>
      <c r="E46" s="8"/>
      <c r="F46" s="51"/>
      <c r="G46" s="9"/>
    </row>
    <row r="47" spans="1:7" ht="15.75" x14ac:dyDescent="0.25">
      <c r="A47" s="6" t="s">
        <v>2121</v>
      </c>
      <c r="B47" s="64" t="s">
        <v>68</v>
      </c>
      <c r="C47" s="11" t="s">
        <v>2122</v>
      </c>
      <c r="D47" s="55" t="s">
        <v>2123</v>
      </c>
      <c r="E47" s="72" t="s">
        <v>22</v>
      </c>
      <c r="F47" s="55"/>
    </row>
    <row r="48" spans="1:7" ht="15.75" x14ac:dyDescent="0.25">
      <c r="A48" s="6" t="s">
        <v>2121</v>
      </c>
      <c r="B48" s="64" t="s">
        <v>68</v>
      </c>
      <c r="C48" s="8" t="s">
        <v>2124</v>
      </c>
      <c r="D48" s="51" t="s">
        <v>2123</v>
      </c>
      <c r="E48" s="71" t="s">
        <v>22</v>
      </c>
      <c r="F48" s="51"/>
      <c r="G48" s="9"/>
    </row>
    <row r="49" spans="1:7" ht="15.75" x14ac:dyDescent="0.25">
      <c r="A49" s="6" t="s">
        <v>2121</v>
      </c>
      <c r="B49" s="64" t="s">
        <v>68</v>
      </c>
      <c r="C49" s="11" t="s">
        <v>2125</v>
      </c>
      <c r="D49" s="55" t="s">
        <v>2123</v>
      </c>
      <c r="E49" s="72" t="s">
        <v>22</v>
      </c>
      <c r="F49" s="55"/>
    </row>
    <row r="50" spans="1:7" ht="15.75" x14ac:dyDescent="0.25">
      <c r="A50" s="6" t="s">
        <v>2121</v>
      </c>
      <c r="B50" s="64" t="s">
        <v>68</v>
      </c>
      <c r="C50" s="8" t="s">
        <v>2126</v>
      </c>
      <c r="D50" s="51" t="s">
        <v>2123</v>
      </c>
      <c r="E50" s="71" t="s">
        <v>22</v>
      </c>
      <c r="F50" s="51"/>
      <c r="G50" s="9"/>
    </row>
    <row r="51" spans="1:7" ht="15.75" x14ac:dyDescent="0.25">
      <c r="A51" s="6" t="s">
        <v>2121</v>
      </c>
      <c r="B51" s="64" t="s">
        <v>68</v>
      </c>
      <c r="C51" s="11" t="s">
        <v>2127</v>
      </c>
      <c r="D51" s="55" t="s">
        <v>2123</v>
      </c>
      <c r="E51" s="72" t="s">
        <v>22</v>
      </c>
      <c r="F51" s="55"/>
    </row>
    <row r="52" spans="1:7" ht="15.75" x14ac:dyDescent="0.25">
      <c r="A52" s="6" t="s">
        <v>2121</v>
      </c>
      <c r="B52" s="64" t="s">
        <v>68</v>
      </c>
      <c r="C52" s="8" t="s">
        <v>2128</v>
      </c>
      <c r="D52" s="51" t="s">
        <v>2123</v>
      </c>
      <c r="E52" s="71" t="s">
        <v>22</v>
      </c>
      <c r="F52" s="51"/>
      <c r="G52" s="9"/>
    </row>
    <row r="53" spans="1:7" ht="15.75" x14ac:dyDescent="0.25">
      <c r="A53" s="6" t="s">
        <v>2121</v>
      </c>
      <c r="B53" s="64" t="s">
        <v>68</v>
      </c>
      <c r="C53" s="11" t="s">
        <v>2129</v>
      </c>
      <c r="D53" s="55" t="s">
        <v>2123</v>
      </c>
      <c r="E53" s="72" t="s">
        <v>22</v>
      </c>
      <c r="F53" s="55"/>
    </row>
    <row r="54" spans="1:7" ht="15.75" x14ac:dyDescent="0.25">
      <c r="A54" s="6" t="s">
        <v>2121</v>
      </c>
      <c r="B54" s="64" t="s">
        <v>68</v>
      </c>
      <c r="C54" s="8" t="s">
        <v>2130</v>
      </c>
      <c r="D54" s="51" t="s">
        <v>2123</v>
      </c>
      <c r="E54" s="71" t="s">
        <v>22</v>
      </c>
      <c r="F54" s="51"/>
      <c r="G54" s="9"/>
    </row>
    <row r="55" spans="1:7" ht="15.75" x14ac:dyDescent="0.25">
      <c r="A55" s="6" t="s">
        <v>2121</v>
      </c>
      <c r="B55" s="64" t="s">
        <v>68</v>
      </c>
      <c r="C55" s="11" t="s">
        <v>2131</v>
      </c>
      <c r="D55" s="55" t="s">
        <v>2132</v>
      </c>
      <c r="E55" s="72" t="s">
        <v>22</v>
      </c>
      <c r="F55" s="55"/>
    </row>
    <row r="56" spans="1:7" ht="15.75" x14ac:dyDescent="0.25">
      <c r="A56" s="6" t="s">
        <v>2121</v>
      </c>
      <c r="B56" s="64" t="s">
        <v>68</v>
      </c>
      <c r="C56" s="8" t="s">
        <v>2133</v>
      </c>
      <c r="D56" s="51" t="s">
        <v>2132</v>
      </c>
      <c r="E56" s="71" t="s">
        <v>22</v>
      </c>
      <c r="F56" s="51"/>
      <c r="G56" s="9"/>
    </row>
    <row r="57" spans="1:7" ht="15.75" x14ac:dyDescent="0.25">
      <c r="A57" s="6" t="s">
        <v>2121</v>
      </c>
      <c r="B57" s="64" t="s">
        <v>68</v>
      </c>
      <c r="C57" s="11" t="s">
        <v>2134</v>
      </c>
      <c r="D57" s="55" t="s">
        <v>2132</v>
      </c>
      <c r="E57" s="72" t="s">
        <v>22</v>
      </c>
      <c r="F57" s="55"/>
    </row>
    <row r="58" spans="1:7" ht="15.75" x14ac:dyDescent="0.25">
      <c r="A58" s="6" t="s">
        <v>2121</v>
      </c>
      <c r="B58" s="64" t="s">
        <v>68</v>
      </c>
      <c r="C58" s="8" t="s">
        <v>2135</v>
      </c>
      <c r="D58" s="51" t="s">
        <v>2132</v>
      </c>
      <c r="E58" s="71" t="s">
        <v>22</v>
      </c>
      <c r="F58" s="51"/>
      <c r="G58" s="9"/>
    </row>
    <row r="59" spans="1:7" ht="15.75" x14ac:dyDescent="0.25">
      <c r="A59" s="6" t="s">
        <v>2121</v>
      </c>
      <c r="B59" s="64" t="s">
        <v>68</v>
      </c>
      <c r="C59" s="11" t="s">
        <v>2136</v>
      </c>
      <c r="D59" s="55" t="s">
        <v>2132</v>
      </c>
      <c r="E59" s="72" t="s">
        <v>22</v>
      </c>
      <c r="F59" s="55"/>
    </row>
    <row r="60" spans="1:7" ht="15.75" x14ac:dyDescent="0.25">
      <c r="A60" s="6" t="s">
        <v>2121</v>
      </c>
      <c r="B60" s="64" t="s">
        <v>68</v>
      </c>
      <c r="C60" s="8" t="s">
        <v>2137</v>
      </c>
      <c r="D60" s="51" t="s">
        <v>2132</v>
      </c>
      <c r="E60" s="71" t="s">
        <v>22</v>
      </c>
      <c r="F60" s="51"/>
      <c r="G60" s="9"/>
    </row>
    <row r="61" spans="1:7" ht="15.75" x14ac:dyDescent="0.25">
      <c r="A61" s="6" t="s">
        <v>2121</v>
      </c>
      <c r="B61" s="64" t="s">
        <v>68</v>
      </c>
      <c r="C61" s="11" t="s">
        <v>2138</v>
      </c>
      <c r="D61" s="55" t="s">
        <v>2132</v>
      </c>
      <c r="E61" s="72" t="s">
        <v>22</v>
      </c>
      <c r="F61" s="55"/>
    </row>
    <row r="62" spans="1:7" ht="15.75" x14ac:dyDescent="0.25">
      <c r="A62" s="6" t="s">
        <v>2121</v>
      </c>
      <c r="B62" s="64" t="s">
        <v>68</v>
      </c>
      <c r="C62" s="8" t="s">
        <v>2139</v>
      </c>
      <c r="D62" s="51" t="s">
        <v>2132</v>
      </c>
      <c r="E62" s="71" t="s">
        <v>22</v>
      </c>
      <c r="F62" s="51"/>
      <c r="G62" s="9"/>
    </row>
    <row r="63" spans="1:7" ht="15.75" x14ac:dyDescent="0.25">
      <c r="A63" s="6" t="s">
        <v>2121</v>
      </c>
      <c r="B63" s="64" t="s">
        <v>68</v>
      </c>
      <c r="C63" s="11" t="s">
        <v>2140</v>
      </c>
      <c r="D63" s="55" t="s">
        <v>2141</v>
      </c>
      <c r="E63" s="72" t="s">
        <v>22</v>
      </c>
      <c r="F63" s="55"/>
    </row>
    <row r="64" spans="1:7" ht="15.75" x14ac:dyDescent="0.25">
      <c r="A64" s="6" t="s">
        <v>2121</v>
      </c>
      <c r="B64" s="64" t="s">
        <v>68</v>
      </c>
      <c r="C64" s="8" t="s">
        <v>2142</v>
      </c>
      <c r="D64" s="51" t="s">
        <v>2143</v>
      </c>
      <c r="E64" s="71" t="s">
        <v>22</v>
      </c>
      <c r="F64" s="51"/>
      <c r="G64" s="9"/>
    </row>
    <row r="65" spans="1:7" ht="15.75" x14ac:dyDescent="0.25">
      <c r="A65" s="6" t="s">
        <v>2121</v>
      </c>
      <c r="B65" s="64" t="s">
        <v>68</v>
      </c>
      <c r="C65" s="11" t="s">
        <v>2144</v>
      </c>
      <c r="D65" s="55" t="s">
        <v>2145</v>
      </c>
      <c r="E65" s="72" t="s">
        <v>22</v>
      </c>
      <c r="F65" s="55"/>
    </row>
    <row r="66" spans="1:7" ht="15.75" x14ac:dyDescent="0.25">
      <c r="A66" s="6" t="s">
        <v>2121</v>
      </c>
      <c r="B66" s="64" t="s">
        <v>68</v>
      </c>
      <c r="C66" s="8" t="s">
        <v>2146</v>
      </c>
      <c r="D66" s="51" t="s">
        <v>2104</v>
      </c>
      <c r="E66" s="71" t="s">
        <v>22</v>
      </c>
      <c r="F66" s="51"/>
      <c r="G66" s="9"/>
    </row>
  </sheetData>
  <autoFilter ref="A1:G66" xr:uid="{00000000-0009-0000-0000-00000F000000}"/>
  <dataValidations count="8">
    <dataValidation type="custom" allowBlank="1" showInputMessage="1" promptTitle="Section" prompt="Summary grouping/navigation field. Use with hyperlinks to jump into detailed tabs." sqref="A1" xr:uid="{00000000-0002-0000-0F00-000000000000}">
      <formula1>TRUE</formula1>
    </dataValidation>
    <dataValidation type="custom" allowBlank="1" showInputMessage="1" promptTitle="Severity" prompt="Issue impact level. Fix: Resolve Critical first, then Warning, then improvement opportunities." sqref="B1" xr:uid="{00000000-0002-0000-0F00-000001000000}">
      <formula1>TRUE</formula1>
    </dataValidation>
    <dataValidation type="custom" allowBlank="1" showInputMessage="1" promptTitle="Issue" prompt="Issue. Review this metric to identify risk, then use linked tabs for details and remediation." sqref="C1" xr:uid="{00000000-0002-0000-0F00-000002000000}">
      <formula1>TRUE</formula1>
    </dataValidation>
    <dataValidation type="custom" allowBlank="1" showInputMessage="1" promptTitle="Affected URL Count" prompt="Affected URL Count. Use this URL to inspect the page directly or jump to related tabs." sqref="D1" xr:uid="{00000000-0002-0000-0F00-000003000000}">
      <formula1>TRUE</formula1>
    </dataValidation>
    <dataValidation type="custom" allowBlank="1" showInputMessage="1" promptTitle="Reference Tab" prompt="Summary grouping/navigation field. Use with hyperlinks to jump into detailed tabs." sqref="E1" xr:uid="{00000000-0002-0000-0F00-000004000000}">
      <formula1>TRUE</formula1>
    </dataValidation>
    <dataValidation type="custom" allowBlank="1" showInputMessage="1" promptTitle="Affected URLs (sample)" prompt="Affected URLs (sample). Use this URL to inspect the page directly or jump to related tabs." sqref="F1" xr:uid="{00000000-0002-0000-0F00-000005000000}">
      <formula1>TRUE</formula1>
    </dataValidation>
    <dataValidation type="custom" allowBlank="1" showInputMessage="1" promptTitle="BACK TO DASHBOARD" prompt="BACK TO DASHBOARD. Review this metric to identify risk, then use linked tabs for details and remediation." sqref="G1" xr:uid="{00000000-0002-0000-0F00-000006000000}">
      <formula1>TRUE</formula1>
    </dataValidation>
    <dataValidation type="custom" allowBlank="1" showInputMessage="1" promptTitle="Severity" prompt="Impact level of the issue. Fix: Resolve Critical first, then Warning, then Observation opportunities." sqref="B1" xr:uid="{00000000-0002-0000-0F00-000007000000}">
      <formula1>TRUE</formula1>
    </dataValidation>
  </dataValidations>
  <hyperlinks>
    <hyperlink ref="G1" location="Dashboard!A1" display="BACK TO DASHBOARD" xr:uid="{00000000-0004-0000-0F00-000000000000}"/>
    <hyperlink ref="C2" location="FixPlan!A20" display="Low AEO Readiness Score" xr:uid="{00000000-0004-0000-0F00-000001000000}"/>
    <hyperlink ref="E2" location="AEO!A1" display="AEO" xr:uid="{00000000-0004-0000-0F00-000002000000}"/>
    <hyperlink ref="C3" location="FixPlan!A11" display="Missing FAQ/QA Schema" xr:uid="{00000000-0004-0000-0F00-000003000000}"/>
    <hyperlink ref="E3" location="AEO!A1" display="AEO" xr:uid="{00000000-0004-0000-0F00-000004000000}"/>
    <hyperlink ref="C4" location="FixPlan!A33" display="No 40-60 Word Answer Paragraphs" xr:uid="{00000000-0004-0000-0F00-000005000000}"/>
    <hyperlink ref="E4" location="AEO!A1" display="AEO" xr:uid="{00000000-0004-0000-0F00-000006000000}"/>
    <hyperlink ref="C5" location="FixPlan!A32" display="No Answer-Friendly Structure" xr:uid="{00000000-0004-0000-0F00-000007000000}"/>
    <hyperlink ref="E5" location="AEO!A1" display="AEO" xr:uid="{00000000-0004-0000-0F00-000008000000}"/>
    <hyperlink ref="C6" location="FixPlan!A31" display="No Question Headings" xr:uid="{00000000-0004-0000-0F00-000009000000}"/>
    <hyperlink ref="E6" location="AEO!A1" display="AEO" xr:uid="{00000000-0004-0000-0F00-00000A000000}"/>
    <hyperlink ref="C8" location="FixPlan!A8" display="Missing Title" xr:uid="{00000000-0004-0000-0F00-00000B000000}"/>
    <hyperlink ref="E8" location="Technical!A1" display="Technical" xr:uid="{00000000-0004-0000-0F00-00000C000000}"/>
    <hyperlink ref="C9" location="FixPlan!A7" display="Non-200 Status" xr:uid="{00000000-0004-0000-0F00-00000D000000}"/>
    <hyperlink ref="E9" location="Technical!A1" display="Technical" xr:uid="{00000000-0004-0000-0F00-00000E000000}"/>
    <hyperlink ref="C10" location="FixPlan!A6" display="Broken Internal Links" xr:uid="{00000000-0004-0000-0F00-00000F000000}"/>
    <hyperlink ref="E10" location="Links!A1" display="Links" xr:uid="{00000000-0004-0000-0F00-000010000000}"/>
    <hyperlink ref="C11" location="FixPlan!A5" display="CWV LCP Above 4.0s" xr:uid="{00000000-0004-0000-0F00-000011000000}"/>
    <hyperlink ref="E11" location="Technical!A1" display="Technical" xr:uid="{00000000-0004-0000-0F00-000012000000}"/>
    <hyperlink ref="C12" location="FixPlan!A3" display="Canonical Points Elsewhere" xr:uid="{00000000-0004-0000-0F00-000013000000}"/>
    <hyperlink ref="E12" location="Indexability!A1" display="Indexability" xr:uid="{00000000-0004-0000-0F00-000014000000}"/>
    <hyperlink ref="C13" location="FixPlan!A2" display="Noindex Directive" xr:uid="{00000000-0004-0000-0F00-000015000000}"/>
    <hyperlink ref="E13" location="Indexability!A1" display="Indexability" xr:uid="{00000000-0004-0000-0F00-000016000000}"/>
    <hyperlink ref="C14" location="FixPlan!A4" display="Robots.txt Disallow Root" xr:uid="{00000000-0004-0000-0F00-000017000000}"/>
    <hyperlink ref="E14" location="Technical!A1" display="Technical" xr:uid="{00000000-0004-0000-0F00-000018000000}"/>
    <hyperlink ref="C15" location="FixPlan!A20" display="Low AEO Readiness Score" xr:uid="{00000000-0004-0000-0F00-000019000000}"/>
    <hyperlink ref="E15" location="AEO!A1" display="AEO" xr:uid="{00000000-0004-0000-0F00-00001A000000}"/>
    <hyperlink ref="C16" location="FixPlan!A19" display="Missing H1" xr:uid="{00000000-0004-0000-0F00-00001B000000}"/>
    <hyperlink ref="E16" location="Technical!A1" display="Technical" xr:uid="{00000000-0004-0000-0F00-00001C000000}"/>
    <hyperlink ref="C17" location="FixPlan!A17" display="Multiple H1" xr:uid="{00000000-0004-0000-0F00-00001D000000}"/>
    <hyperlink ref="E17" location="Technical!A1" display="Technical" xr:uid="{00000000-0004-0000-0F00-00001E000000}"/>
    <hyperlink ref="C18" location="FixPlan!A18" display="Missing Meta Description" xr:uid="{00000000-0004-0000-0F00-00001F000000}"/>
    <hyperlink ref="E18" location="Technical!A1" display="Technical" xr:uid="{00000000-0004-0000-0F00-000020000000}"/>
    <hyperlink ref="C19" location="FixPlan!A10" display="CWV LCP Needs Improvement (2.5-4.0s)" xr:uid="{00000000-0004-0000-0F00-000021000000}"/>
    <hyperlink ref="E19" location="Technical!A1" display="Technical" xr:uid="{00000000-0004-0000-0F00-000022000000}"/>
    <hyperlink ref="C20" location="FixPlan!A15" display="Canonical Missing" xr:uid="{00000000-0004-0000-0F00-000023000000}"/>
    <hyperlink ref="E20" location="Indexability!A1" display="Indexability" xr:uid="{00000000-0004-0000-0F00-000024000000}"/>
    <hyperlink ref="C21" location="FixPlan!A12" display="Deep URL (&gt;3 clicks)" xr:uid="{00000000-0004-0000-0F00-000025000000}"/>
    <hyperlink ref="E21" location="Technical!A1" display="Technical" xr:uid="{00000000-0004-0000-0F00-000026000000}"/>
    <hyperlink ref="C22" location="FixPlan!A16" display="Hreflang Without Reciprocity" xr:uid="{00000000-0004-0000-0F00-000027000000}"/>
    <hyperlink ref="E22" location="Technical!A1" display="Technical" xr:uid="{00000000-0004-0000-0F00-000028000000}"/>
    <hyperlink ref="C23" location="FixPlan!A13" display="Low Image Alt Coverage" xr:uid="{00000000-0004-0000-0F00-000029000000}"/>
    <hyperlink ref="E23" location="Technical!A1" display="Technical" xr:uid="{00000000-0004-0000-0F00-00002A000000}"/>
    <hyperlink ref="C24" location="FixPlan!A11" display="Missing FAQ/QA Schema" xr:uid="{00000000-0004-0000-0F00-00002B000000}"/>
    <hyperlink ref="E24" location="AEO!A1" display="AEO" xr:uid="{00000000-0004-0000-0F00-00002C000000}"/>
    <hyperlink ref="C25" location="FixPlan!A14" display="Mixed Content" xr:uid="{00000000-0004-0000-0F00-00002D000000}"/>
    <hyperlink ref="E25" location="Technical!A1" display="Technical" xr:uid="{00000000-0004-0000-0F00-00002E000000}"/>
    <hyperlink ref="C26" location="FixPlan!A9" display="Redirect Chains" xr:uid="{00000000-0004-0000-0F00-00002F000000}"/>
    <hyperlink ref="E26" location="Technical!A1" display="Technical" xr:uid="{00000000-0004-0000-0F00-000030000000}"/>
    <hyperlink ref="C27" location="FixPlan!A34" display="AI Crawlers Not Explicitly Allowed" xr:uid="{00000000-0004-0000-0F00-000031000000}"/>
    <hyperlink ref="E27" location="Technical!A1" display="Technical" xr:uid="{00000000-0004-0000-0F00-000032000000}"/>
    <hyperlink ref="C28" location="FixPlan!A33" display="No 40-60 Word Answer Paragraphs" xr:uid="{00000000-0004-0000-0F00-000033000000}"/>
    <hyperlink ref="E28" location="Technical!A1" display="Technical" xr:uid="{00000000-0004-0000-0F00-000034000000}"/>
    <hyperlink ref="C29" location="FixPlan!A32" display="No Answer-Friendly Structure" xr:uid="{00000000-0004-0000-0F00-000035000000}"/>
    <hyperlink ref="E29" location="Technical!A1" display="Technical" xr:uid="{00000000-0004-0000-0F00-000036000000}"/>
    <hyperlink ref="C30" location="FixPlan!A29" display="No Cache-Control Header" xr:uid="{00000000-0004-0000-0F00-000037000000}"/>
    <hyperlink ref="E30" location="Technical!A1" display="Technical" xr:uid="{00000000-0004-0000-0F00-000038000000}"/>
    <hyperlink ref="C31" location="FixPlan!A28" display="No Compression Header" xr:uid="{00000000-0004-0000-0F00-000039000000}"/>
    <hyperlink ref="E31" location="Technical!A1" display="Technical" xr:uid="{00000000-0004-0000-0F00-00003A000000}"/>
    <hyperlink ref="C32" location="FixPlan!A30" display="No ETag Header" xr:uid="{00000000-0004-0000-0F00-00003B000000}"/>
    <hyperlink ref="E32" location="Technical!A1" display="Technical" xr:uid="{00000000-0004-0000-0F00-00003C000000}"/>
    <hyperlink ref="C33" location="FixPlan!A31" display="No Question Headings" xr:uid="{00000000-0004-0000-0F00-00003D000000}"/>
    <hyperlink ref="E33" location="AEO!A1" display="AEO" xr:uid="{00000000-0004-0000-0F00-00003E000000}"/>
    <hyperlink ref="C34" location="FixPlan!A35" display="Thin Content" xr:uid="{00000000-0004-0000-0F00-00003F000000}"/>
    <hyperlink ref="E34" location="Technical!A1" display="Technical" xr:uid="{00000000-0004-0000-0F00-000040000000}"/>
    <hyperlink ref="C35" location="FixPlan!A26" display="Image Filename Quality Issues" xr:uid="{00000000-0004-0000-0F00-000041000000}"/>
    <hyperlink ref="E35" location="Technical!A1" display="Technical" xr:uid="{00000000-0004-0000-0F00-000042000000}"/>
    <hyperlink ref="C36" location="FixPlan!A27" display="Low Regional Authority" xr:uid="{00000000-0004-0000-0F00-000043000000}"/>
    <hyperlink ref="E36" location="Technical!A1" display="Technical" xr:uid="{00000000-0004-0000-0F00-000044000000}"/>
    <hyperlink ref="C37" location="FixPlan!A24" display="CLS Above 0.1" xr:uid="{00000000-0004-0000-0F00-000045000000}"/>
    <hyperlink ref="E37" location="Technical!A1" display="Technical" xr:uid="{00000000-0004-0000-0F00-000046000000}"/>
    <hyperlink ref="C38" location="FixPlan!A22" display="Generic Anchor Text Present" xr:uid="{00000000-0004-0000-0F00-000047000000}"/>
    <hyperlink ref="E38" location="Technical!A1" display="Technical" xr:uid="{00000000-0004-0000-0F00-000048000000}"/>
    <hyperlink ref="C39" location="FixPlan!A23" display="INP Above 100ms" xr:uid="{00000000-0004-0000-0F00-000049000000}"/>
    <hyperlink ref="E39" location="Technical!A1" display="Technical" xr:uid="{00000000-0004-0000-0F00-00004A000000}"/>
    <hyperlink ref="C40" location="FixPlan!A21" display="Uses URL Parameters" xr:uid="{00000000-0004-0000-0F00-00004B000000}"/>
    <hyperlink ref="E40" location="Technical!A1" display="Technical" xr:uid="{00000000-0004-0000-0F00-00004C000000}"/>
    <hyperlink ref="C41" location="FixPlan!A25" display="llms.txt Missing" xr:uid="{00000000-0004-0000-0F00-00004D000000}"/>
    <hyperlink ref="E41" location="Technical!A1" display="Technical" xr:uid="{00000000-0004-0000-0F00-00004E000000}"/>
    <hyperlink ref="E44" location="Priority URLs!A1" display="Priority URLs" xr:uid="{00000000-0004-0000-0F00-00004F000000}"/>
    <hyperlink ref="E45" location="Priority URLs!A1" display="Priority URLs" xr:uid="{00000000-0004-0000-0F00-000050000000}"/>
    <hyperlink ref="E47" location="TemplateClusters!A1" display="TemplateClusters" xr:uid="{00000000-0004-0000-0F00-000051000000}"/>
    <hyperlink ref="E48" location="TemplateClusters!A1" display="TemplateClusters" xr:uid="{00000000-0004-0000-0F00-000052000000}"/>
    <hyperlink ref="E49" location="TemplateClusters!A1" display="TemplateClusters" xr:uid="{00000000-0004-0000-0F00-000053000000}"/>
    <hyperlink ref="E50" location="TemplateClusters!A1" display="TemplateClusters" xr:uid="{00000000-0004-0000-0F00-000054000000}"/>
    <hyperlink ref="E51" location="TemplateClusters!A1" display="TemplateClusters" xr:uid="{00000000-0004-0000-0F00-000055000000}"/>
    <hyperlink ref="E52" location="TemplateClusters!A1" display="TemplateClusters" xr:uid="{00000000-0004-0000-0F00-000056000000}"/>
    <hyperlink ref="E53" location="TemplateClusters!A1" display="TemplateClusters" xr:uid="{00000000-0004-0000-0F00-000057000000}"/>
    <hyperlink ref="E54" location="TemplateClusters!A1" display="TemplateClusters" xr:uid="{00000000-0004-0000-0F00-000058000000}"/>
    <hyperlink ref="E55" location="TemplateClusters!A1" display="TemplateClusters" xr:uid="{00000000-0004-0000-0F00-000059000000}"/>
    <hyperlink ref="E56" location="TemplateClusters!A1" display="TemplateClusters" xr:uid="{00000000-0004-0000-0F00-00005A000000}"/>
    <hyperlink ref="E57" location="TemplateClusters!A1" display="TemplateClusters" xr:uid="{00000000-0004-0000-0F00-00005B000000}"/>
    <hyperlink ref="E58" location="TemplateClusters!A1" display="TemplateClusters" xr:uid="{00000000-0004-0000-0F00-00005C000000}"/>
    <hyperlink ref="E59" location="TemplateClusters!A1" display="TemplateClusters" xr:uid="{00000000-0004-0000-0F00-00005D000000}"/>
    <hyperlink ref="E60" location="TemplateClusters!A1" display="TemplateClusters" xr:uid="{00000000-0004-0000-0F00-00005E000000}"/>
    <hyperlink ref="E61" location="TemplateClusters!A1" display="TemplateClusters" xr:uid="{00000000-0004-0000-0F00-00005F000000}"/>
    <hyperlink ref="E62" location="TemplateClusters!A1" display="TemplateClusters" xr:uid="{00000000-0004-0000-0F00-000060000000}"/>
    <hyperlink ref="E63" location="TemplateClusters!A1" display="TemplateClusters" xr:uid="{00000000-0004-0000-0F00-000061000000}"/>
    <hyperlink ref="E64" location="TemplateClusters!A1" display="TemplateClusters" xr:uid="{00000000-0004-0000-0F00-000062000000}"/>
    <hyperlink ref="E65" location="TemplateClusters!A1" display="TemplateClusters" xr:uid="{00000000-0004-0000-0F00-000063000000}"/>
    <hyperlink ref="E66" location="TemplateClusters!A1" display="TemplateClusters" xr:uid="{00000000-0004-0000-0F00-000064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9"/>
  <sheetViews>
    <sheetView workbookViewId="0">
      <pane ySplit="1" topLeftCell="A2" activePane="bottomLeft" state="frozen"/>
      <selection pane="bottomLeft" activeCell="D28" sqref="D28"/>
    </sheetView>
  </sheetViews>
  <sheetFormatPr defaultRowHeight="15" x14ac:dyDescent="0.25"/>
  <cols>
    <col min="1" max="1" width="13" customWidth="1"/>
    <col min="2" max="2" width="31" customWidth="1"/>
    <col min="3" max="3" width="60" customWidth="1"/>
    <col min="4" max="5" width="38" customWidth="1"/>
  </cols>
  <sheetData>
    <row r="1" spans="1:6" ht="45" x14ac:dyDescent="0.25">
      <c r="A1" s="4" t="s">
        <v>1</v>
      </c>
      <c r="B1" s="4" t="s">
        <v>2147</v>
      </c>
      <c r="C1" s="4" t="s">
        <v>2148</v>
      </c>
      <c r="D1" s="4" t="s">
        <v>2149</v>
      </c>
      <c r="E1" s="4" t="s">
        <v>2150</v>
      </c>
      <c r="F1" s="39" t="s">
        <v>136</v>
      </c>
    </row>
    <row r="2" spans="1:6" x14ac:dyDescent="0.25">
      <c r="A2" s="6" t="s">
        <v>2151</v>
      </c>
      <c r="B2" s="8" t="s">
        <v>2152</v>
      </c>
      <c r="C2" s="8" t="s">
        <v>2153</v>
      </c>
      <c r="D2" s="8" t="s">
        <v>2154</v>
      </c>
      <c r="E2" s="8" t="s">
        <v>2155</v>
      </c>
      <c r="F2" s="9"/>
    </row>
    <row r="3" spans="1:6" x14ac:dyDescent="0.25">
      <c r="A3" s="6" t="s">
        <v>2151</v>
      </c>
      <c r="B3" s="11" t="s">
        <v>2156</v>
      </c>
      <c r="C3" s="11" t="s">
        <v>2157</v>
      </c>
      <c r="D3" s="11" t="s">
        <v>2158</v>
      </c>
      <c r="E3" s="11" t="s">
        <v>2159</v>
      </c>
    </row>
    <row r="4" spans="1:6" x14ac:dyDescent="0.25">
      <c r="A4" s="6" t="s">
        <v>2151</v>
      </c>
      <c r="B4" s="8" t="s">
        <v>2160</v>
      </c>
      <c r="C4" s="8" t="s">
        <v>2161</v>
      </c>
      <c r="D4" s="8" t="s">
        <v>2162</v>
      </c>
      <c r="E4" s="8" t="s">
        <v>2163</v>
      </c>
      <c r="F4" s="9"/>
    </row>
    <row r="5" spans="1:6" x14ac:dyDescent="0.25">
      <c r="A5" s="6" t="s">
        <v>2164</v>
      </c>
      <c r="B5" s="11" t="s">
        <v>2165</v>
      </c>
      <c r="C5" s="11" t="s">
        <v>2166</v>
      </c>
      <c r="D5" s="11" t="s">
        <v>2167</v>
      </c>
      <c r="E5" s="11" t="s">
        <v>2168</v>
      </c>
    </row>
    <row r="6" spans="1:6" x14ac:dyDescent="0.25">
      <c r="A6" s="6" t="s">
        <v>2164</v>
      </c>
      <c r="B6" s="8" t="s">
        <v>2169</v>
      </c>
      <c r="C6" s="8" t="s">
        <v>2170</v>
      </c>
      <c r="D6" s="8" t="s">
        <v>2171</v>
      </c>
      <c r="E6" s="8" t="s">
        <v>2172</v>
      </c>
      <c r="F6" s="9"/>
    </row>
    <row r="7" spans="1:6" x14ac:dyDescent="0.25">
      <c r="A7" s="6" t="s">
        <v>88</v>
      </c>
      <c r="B7" s="11" t="s">
        <v>66</v>
      </c>
      <c r="C7" s="11" t="s">
        <v>2173</v>
      </c>
      <c r="D7" s="11" t="s">
        <v>2174</v>
      </c>
      <c r="E7" s="11" t="s">
        <v>2168</v>
      </c>
    </row>
    <row r="8" spans="1:6" x14ac:dyDescent="0.25">
      <c r="A8" s="6" t="s">
        <v>88</v>
      </c>
      <c r="B8" s="8" t="s">
        <v>67</v>
      </c>
      <c r="C8" s="8" t="s">
        <v>2175</v>
      </c>
      <c r="D8" s="8" t="s">
        <v>2176</v>
      </c>
      <c r="E8" s="8" t="s">
        <v>2168</v>
      </c>
      <c r="F8" s="9"/>
    </row>
    <row r="9" spans="1:6" x14ac:dyDescent="0.25">
      <c r="A9" s="6" t="s">
        <v>88</v>
      </c>
      <c r="B9" s="11" t="s">
        <v>68</v>
      </c>
      <c r="C9" s="11" t="s">
        <v>2177</v>
      </c>
      <c r="D9" s="11" t="s">
        <v>2178</v>
      </c>
      <c r="E9" s="11" t="s">
        <v>2179</v>
      </c>
    </row>
    <row r="10" spans="1:6" x14ac:dyDescent="0.25">
      <c r="A10" s="6" t="s">
        <v>2180</v>
      </c>
      <c r="B10" s="8" t="s">
        <v>893</v>
      </c>
      <c r="C10" s="8" t="s">
        <v>2181</v>
      </c>
      <c r="D10" s="8" t="s">
        <v>2182</v>
      </c>
      <c r="E10" s="8" t="s">
        <v>2183</v>
      </c>
      <c r="F10" s="9"/>
    </row>
    <row r="11" spans="1:6" x14ac:dyDescent="0.25">
      <c r="A11" s="6" t="s">
        <v>2180</v>
      </c>
      <c r="B11" s="11" t="s">
        <v>1178</v>
      </c>
      <c r="C11" s="11" t="s">
        <v>2184</v>
      </c>
      <c r="D11" s="11" t="s">
        <v>2185</v>
      </c>
      <c r="E11" s="11" t="s">
        <v>9</v>
      </c>
    </row>
    <row r="12" spans="1:6" x14ac:dyDescent="0.25">
      <c r="A12" s="6" t="s">
        <v>2186</v>
      </c>
      <c r="B12" s="8" t="s">
        <v>922</v>
      </c>
      <c r="C12" s="8" t="s">
        <v>2187</v>
      </c>
      <c r="D12" s="8" t="s">
        <v>2188</v>
      </c>
      <c r="E12" s="8" t="s">
        <v>2189</v>
      </c>
      <c r="F12" s="9"/>
    </row>
    <row r="13" spans="1:6" x14ac:dyDescent="0.25">
      <c r="A13" s="6" t="s">
        <v>11</v>
      </c>
      <c r="B13" s="11" t="s">
        <v>1203</v>
      </c>
      <c r="C13" s="11" t="s">
        <v>2190</v>
      </c>
      <c r="D13" s="11" t="s">
        <v>2191</v>
      </c>
      <c r="E13" s="11" t="s">
        <v>2192</v>
      </c>
    </row>
    <row r="14" spans="1:6" x14ac:dyDescent="0.25">
      <c r="A14" s="6" t="s">
        <v>8</v>
      </c>
      <c r="B14" s="8" t="s">
        <v>1165</v>
      </c>
      <c r="C14" s="8" t="s">
        <v>2193</v>
      </c>
      <c r="D14" s="8" t="s">
        <v>2194</v>
      </c>
      <c r="E14" s="8" t="s">
        <v>8</v>
      </c>
      <c r="F14" s="9"/>
    </row>
    <row r="15" spans="1:6" x14ac:dyDescent="0.25">
      <c r="A15" s="6" t="s">
        <v>9</v>
      </c>
      <c r="B15" s="11" t="s">
        <v>1182</v>
      </c>
      <c r="C15" s="11" t="s">
        <v>2195</v>
      </c>
      <c r="D15" s="11" t="s">
        <v>2196</v>
      </c>
      <c r="E15" s="11" t="s">
        <v>9</v>
      </c>
    </row>
    <row r="16" spans="1:6" x14ac:dyDescent="0.25">
      <c r="A16" s="6" t="s">
        <v>2197</v>
      </c>
      <c r="B16" s="8" t="s">
        <v>2198</v>
      </c>
      <c r="C16" s="8" t="s">
        <v>2199</v>
      </c>
      <c r="D16" s="8" t="s">
        <v>2200</v>
      </c>
      <c r="E16" s="8" t="s">
        <v>2201</v>
      </c>
      <c r="F16" s="9"/>
    </row>
    <row r="17" spans="1:6" x14ac:dyDescent="0.25">
      <c r="A17" s="6" t="s">
        <v>2197</v>
      </c>
      <c r="B17" s="11" t="s">
        <v>2202</v>
      </c>
      <c r="C17" s="11" t="s">
        <v>2203</v>
      </c>
      <c r="D17" s="11" t="s">
        <v>2204</v>
      </c>
      <c r="E17" s="11" t="s">
        <v>2201</v>
      </c>
    </row>
    <row r="18" spans="1:6" x14ac:dyDescent="0.25">
      <c r="A18" s="6" t="s">
        <v>2197</v>
      </c>
      <c r="B18" s="8" t="s">
        <v>2205</v>
      </c>
      <c r="C18" s="8" t="s">
        <v>2206</v>
      </c>
      <c r="D18" s="8" t="s">
        <v>2207</v>
      </c>
      <c r="E18" s="8" t="s">
        <v>2201</v>
      </c>
      <c r="F18" s="9"/>
    </row>
    <row r="19" spans="1:6" x14ac:dyDescent="0.25">
      <c r="A19" s="6" t="s">
        <v>2197</v>
      </c>
      <c r="B19" s="11" t="s">
        <v>2208</v>
      </c>
      <c r="C19" s="11" t="s">
        <v>2209</v>
      </c>
      <c r="D19" s="11" t="s">
        <v>2210</v>
      </c>
      <c r="E19" s="11" t="s">
        <v>2201</v>
      </c>
    </row>
  </sheetData>
  <autoFilter ref="A1:F19" xr:uid="{00000000-0009-0000-0000-000010000000}"/>
  <dataValidations count="6">
    <dataValidation type="custom" allowBlank="1" showInputMessage="1" promptTitle="Section" prompt="Summary grouping/navigation field. Use with hyperlinks to jump into detailed tabs." sqref="A1" xr:uid="{00000000-0002-0000-1000-000000000000}">
      <formula1>TRUE</formula1>
    </dataValidation>
    <dataValidation type="custom" allowBlank="1" showInputMessage="1" promptTitle="Term" prompt="Term. Review this metric to identify risk, then use linked tabs for details and remediation." sqref="B1" xr:uid="{00000000-0002-0000-1000-000001000000}">
      <formula1>TRUE</formula1>
    </dataValidation>
    <dataValidation type="custom" allowBlank="1" showInputMessage="1" promptTitle="Meaning" prompt="Meaning. Review this metric to identify risk, then use linked tabs for details and remediation." sqref="C1" xr:uid="{00000000-0002-0000-1000-000002000000}">
      <formula1>TRUE</formula1>
    </dataValidation>
    <dataValidation type="custom" allowBlank="1" showInputMessage="1" promptTitle="Values/Threshold" prompt="Values/Threshold. Review this metric to identify risk, then use linked tabs for details and remediation." sqref="D1" xr:uid="{00000000-0002-0000-1000-000003000000}">
      <formula1>TRUE</formula1>
    </dataValidation>
    <dataValidation type="custom" allowBlank="1" showInputMessage="1" promptTitle="Related Tabs" prompt="Related Tabs. Review this metric to identify risk, then use linked tabs for details and remediation." sqref="E1" xr:uid="{00000000-0002-0000-1000-000004000000}">
      <formula1>TRUE</formula1>
    </dataValidation>
    <dataValidation type="custom" allowBlank="1" showInputMessage="1" promptTitle="BACK TO DASHBOARD" prompt="BACK TO DASHBOARD. Review this metric to identify risk, then use linked tabs for details and remediation." sqref="F1" xr:uid="{00000000-0002-0000-1000-000005000000}">
      <formula1>TRUE</formula1>
    </dataValidation>
  </dataValidations>
  <hyperlinks>
    <hyperlink ref="F1" location="Dashboard!A1" display="BACK TO DASHBOARD" xr:uid="{00000000-0004-0000-1000-000000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
  <sheetViews>
    <sheetView workbookViewId="0"/>
  </sheetViews>
  <sheetFormatPr defaultRowHeight="15" x14ac:dyDescent="0.25"/>
  <cols>
    <col min="1" max="1" width="6" customWidth="1"/>
  </cols>
  <sheetData>
    <row r="1" spans="1:2" ht="30" x14ac:dyDescent="0.25">
      <c r="A1" s="5" t="s">
        <v>2211</v>
      </c>
      <c r="B1" s="73" t="s">
        <v>136</v>
      </c>
    </row>
  </sheetData>
  <dataValidations count="1">
    <dataValidation type="custom" allowBlank="1" showInputMessage="1" promptTitle="BACK TO DASHBOARD" prompt="BACK TO DASHBOARD. Review this metric to identify risk, then use linked tabs for details and remediation." sqref="B1" xr:uid="{00000000-0002-0000-1100-000000000000}">
      <formula1>TRUE</formula1>
    </dataValidation>
  </dataValidations>
  <hyperlinks>
    <hyperlink ref="B1" location="Dashboard!A1" display="BACK TO DASHBOARD" xr:uid="{00000000-0004-0000-11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86"/>
  <sheetViews>
    <sheetView workbookViewId="0">
      <pane ySplit="1" topLeftCell="A2" activePane="bottomLeft" state="frozen"/>
      <selection pane="bottomLeft"/>
    </sheetView>
  </sheetViews>
  <sheetFormatPr defaultRowHeight="15" x14ac:dyDescent="0.25"/>
  <cols>
    <col min="1" max="1" width="45" customWidth="1"/>
    <col min="2" max="2" width="13" customWidth="1"/>
    <col min="3" max="3" width="60" customWidth="1"/>
    <col min="4" max="4" width="20" customWidth="1"/>
    <col min="5" max="5" width="24" customWidth="1"/>
    <col min="6" max="6" width="46" customWidth="1"/>
    <col min="7" max="7" width="26" customWidth="1"/>
    <col min="8" max="9" width="31" customWidth="1"/>
    <col min="10" max="10" width="24" customWidth="1"/>
  </cols>
  <sheetData>
    <row r="1" spans="1:12" ht="45" x14ac:dyDescent="0.25">
      <c r="A1" s="5" t="s">
        <v>118</v>
      </c>
      <c r="B1" s="5" t="s">
        <v>2212</v>
      </c>
      <c r="C1" s="5" t="s">
        <v>2213</v>
      </c>
      <c r="D1" s="5" t="s">
        <v>2214</v>
      </c>
      <c r="E1" s="5" t="s">
        <v>2215</v>
      </c>
      <c r="F1" s="5" t="s">
        <v>2216</v>
      </c>
      <c r="G1" s="5" t="s">
        <v>2217</v>
      </c>
      <c r="H1" s="5" t="s">
        <v>869</v>
      </c>
      <c r="I1" s="5" t="s">
        <v>2218</v>
      </c>
      <c r="J1" s="5" t="s">
        <v>2219</v>
      </c>
      <c r="K1" s="5" t="s">
        <v>135</v>
      </c>
      <c r="L1" s="39" t="s">
        <v>136</v>
      </c>
    </row>
    <row r="2" spans="1:12" ht="30" customHeight="1" x14ac:dyDescent="0.25">
      <c r="A2" s="59" t="s">
        <v>682</v>
      </c>
      <c r="B2" s="8">
        <v>6</v>
      </c>
      <c r="C2" s="51" t="s">
        <v>2220</v>
      </c>
      <c r="D2" s="8">
        <v>5</v>
      </c>
      <c r="E2" s="74"/>
      <c r="F2" s="8" t="s">
        <v>2221</v>
      </c>
      <c r="G2" s="8">
        <v>0</v>
      </c>
      <c r="H2" s="6">
        <v>0</v>
      </c>
      <c r="I2" s="74"/>
      <c r="J2" s="6" t="b">
        <v>0</v>
      </c>
      <c r="K2" s="9" t="str">
        <f>IFERROR(HYPERLINK("#Main!A"&amp;MATCH(A2,Main!A:A,0),"Open"),HYPERLINK("#Main!A1","Open"))</f>
        <v>Open</v>
      </c>
      <c r="L2" s="9"/>
    </row>
    <row r="3" spans="1:12" ht="409.5" x14ac:dyDescent="0.25">
      <c r="A3" s="58" t="s">
        <v>140</v>
      </c>
      <c r="B3" s="11">
        <v>39</v>
      </c>
      <c r="C3" s="55" t="s">
        <v>2222</v>
      </c>
      <c r="D3" s="11">
        <v>13</v>
      </c>
      <c r="E3" s="75"/>
      <c r="F3" s="11" t="s">
        <v>2223</v>
      </c>
      <c r="G3" s="11">
        <v>0</v>
      </c>
      <c r="H3" s="6">
        <v>0</v>
      </c>
      <c r="I3" s="75"/>
      <c r="J3" s="6" t="b">
        <v>0</v>
      </c>
      <c r="K3" t="str">
        <f>IFERROR(HYPERLINK("#Main!A"&amp;MATCH(A3,Main!A:A,0),"Open"),HYPERLINK("#Main!A1","Open"))</f>
        <v>Open</v>
      </c>
    </row>
    <row r="4" spans="1:12" ht="30" customHeight="1" x14ac:dyDescent="0.25">
      <c r="A4" s="59" t="s">
        <v>674</v>
      </c>
      <c r="B4" s="8">
        <v>24</v>
      </c>
      <c r="C4" s="51" t="s">
        <v>2224</v>
      </c>
      <c r="D4" s="8">
        <v>19</v>
      </c>
      <c r="E4" s="74"/>
      <c r="F4" s="8" t="s">
        <v>2225</v>
      </c>
      <c r="G4" s="8">
        <v>0</v>
      </c>
      <c r="H4" s="6">
        <v>0</v>
      </c>
      <c r="I4" s="74"/>
      <c r="J4" s="6" t="b">
        <v>0</v>
      </c>
      <c r="K4" s="9" t="str">
        <f>IFERROR(HYPERLINK("#Main!A"&amp;MATCH(A4,Main!A:A,0),"Open"),HYPERLINK("#Main!A1","Open"))</f>
        <v>Open</v>
      </c>
      <c r="L4" s="9"/>
    </row>
    <row r="5" spans="1:12" ht="30" customHeight="1" x14ac:dyDescent="0.25">
      <c r="A5" s="58" t="s">
        <v>642</v>
      </c>
      <c r="B5" s="11">
        <v>9</v>
      </c>
      <c r="C5" s="55" t="s">
        <v>2226</v>
      </c>
      <c r="D5" s="11">
        <v>9</v>
      </c>
      <c r="E5" s="75"/>
      <c r="F5" s="11" t="s">
        <v>2227</v>
      </c>
      <c r="G5" s="11">
        <v>0</v>
      </c>
      <c r="H5" s="6">
        <v>0</v>
      </c>
      <c r="I5" s="75"/>
      <c r="J5" s="6" t="b">
        <v>0</v>
      </c>
      <c r="K5" t="str">
        <f>IFERROR(HYPERLINK("#Main!A"&amp;MATCH(A5,Main!A:A,0),"Open"),HYPERLINK("#Main!A1","Open"))</f>
        <v>Open</v>
      </c>
    </row>
    <row r="6" spans="1:12" ht="30" customHeight="1" x14ac:dyDescent="0.25">
      <c r="A6" s="59" t="s">
        <v>322</v>
      </c>
      <c r="B6" s="8">
        <v>28</v>
      </c>
      <c r="C6" s="51" t="s">
        <v>2228</v>
      </c>
      <c r="D6" s="8">
        <v>17</v>
      </c>
      <c r="E6" s="74"/>
      <c r="F6" s="8" t="s">
        <v>2229</v>
      </c>
      <c r="G6" s="8">
        <v>0</v>
      </c>
      <c r="H6" s="49">
        <v>4</v>
      </c>
      <c r="I6" s="74"/>
      <c r="J6" s="6" t="b">
        <v>0</v>
      </c>
      <c r="K6" s="9" t="str">
        <f>IFERROR(HYPERLINK("#Main!A"&amp;MATCH(A6,Main!A:A,0),"Open"),HYPERLINK("#Main!A1","Open"))</f>
        <v>Open</v>
      </c>
      <c r="L6" s="9"/>
    </row>
    <row r="7" spans="1:12" ht="30" customHeight="1" x14ac:dyDescent="0.25">
      <c r="A7" s="58" t="s">
        <v>519</v>
      </c>
      <c r="B7" s="11">
        <v>6</v>
      </c>
      <c r="C7" s="55" t="s">
        <v>2230</v>
      </c>
      <c r="D7" s="11">
        <v>6</v>
      </c>
      <c r="E7" s="75"/>
      <c r="F7" s="11" t="s">
        <v>2221</v>
      </c>
      <c r="G7" s="11">
        <v>0</v>
      </c>
      <c r="H7" s="6">
        <v>0</v>
      </c>
      <c r="I7" s="75"/>
      <c r="J7" s="6" t="b">
        <v>0</v>
      </c>
      <c r="K7" t="str">
        <f>IFERROR(HYPERLINK("#Main!A"&amp;MATCH(A7,Main!A:A,0),"Open"),HYPERLINK("#Main!A1","Open"))</f>
        <v>Open</v>
      </c>
    </row>
    <row r="8" spans="1:12" ht="30" customHeight="1" x14ac:dyDescent="0.25">
      <c r="A8" s="59" t="s">
        <v>551</v>
      </c>
      <c r="B8" s="8">
        <v>6</v>
      </c>
      <c r="C8" s="51" t="s">
        <v>2231</v>
      </c>
      <c r="D8" s="8">
        <v>5</v>
      </c>
      <c r="E8" s="74"/>
      <c r="F8" s="8" t="s">
        <v>2221</v>
      </c>
      <c r="G8" s="8">
        <v>0</v>
      </c>
      <c r="H8" s="6">
        <v>0</v>
      </c>
      <c r="I8" s="74"/>
      <c r="J8" s="6" t="b">
        <v>0</v>
      </c>
      <c r="K8" s="9" t="str">
        <f>IFERROR(HYPERLINK("#Main!A"&amp;MATCH(A8,Main!A:A,0),"Open"),HYPERLINK("#Main!A1","Open"))</f>
        <v>Open</v>
      </c>
      <c r="L8" s="9"/>
    </row>
    <row r="9" spans="1:12" ht="30" customHeight="1" x14ac:dyDescent="0.25">
      <c r="A9" s="58" t="s">
        <v>606</v>
      </c>
      <c r="B9" s="11">
        <v>6</v>
      </c>
      <c r="C9" s="55" t="s">
        <v>2232</v>
      </c>
      <c r="D9" s="11">
        <v>5</v>
      </c>
      <c r="E9" s="75"/>
      <c r="F9" s="11" t="s">
        <v>2221</v>
      </c>
      <c r="G9" s="11">
        <v>0</v>
      </c>
      <c r="H9" s="6">
        <v>0</v>
      </c>
      <c r="I9" s="75"/>
      <c r="J9" s="6" t="b">
        <v>0</v>
      </c>
      <c r="K9" t="str">
        <f>IFERROR(HYPERLINK("#Main!A"&amp;MATCH(A9,Main!A:A,0),"Open"),HYPERLINK("#Main!A1","Open"))</f>
        <v>Open</v>
      </c>
    </row>
    <row r="10" spans="1:12" ht="30" customHeight="1" x14ac:dyDescent="0.25">
      <c r="A10" s="59" t="s">
        <v>512</v>
      </c>
      <c r="B10" s="8">
        <v>14</v>
      </c>
      <c r="C10" s="51" t="s">
        <v>2233</v>
      </c>
      <c r="D10" s="8">
        <v>14</v>
      </c>
      <c r="E10" s="74"/>
      <c r="F10" s="8" t="s">
        <v>2234</v>
      </c>
      <c r="G10" s="8">
        <v>0</v>
      </c>
      <c r="H10" s="6">
        <v>0</v>
      </c>
      <c r="I10" s="74"/>
      <c r="J10" s="6" t="b">
        <v>0</v>
      </c>
      <c r="K10" s="9" t="str">
        <f>IFERROR(HYPERLINK("#Main!A"&amp;MATCH(A10,Main!A:A,0),"Open"),HYPERLINK("#Main!A1","Open"))</f>
        <v>Open</v>
      </c>
      <c r="L10" s="9"/>
    </row>
    <row r="11" spans="1:12" ht="30" customHeight="1" x14ac:dyDescent="0.25">
      <c r="A11" s="58" t="s">
        <v>582</v>
      </c>
      <c r="B11" s="11">
        <v>6</v>
      </c>
      <c r="C11" s="55" t="s">
        <v>2235</v>
      </c>
      <c r="D11" s="11">
        <v>6</v>
      </c>
      <c r="E11" s="75"/>
      <c r="F11" s="11" t="s">
        <v>2236</v>
      </c>
      <c r="G11" s="11">
        <v>0</v>
      </c>
      <c r="H11" s="6">
        <v>0</v>
      </c>
      <c r="I11" s="75"/>
      <c r="J11" s="6" t="b">
        <v>0</v>
      </c>
      <c r="K11" t="str">
        <f>IFERROR(HYPERLINK("#Main!A"&amp;MATCH(A11,Main!A:A,0),"Open"),HYPERLINK("#Main!A1","Open"))</f>
        <v>Open</v>
      </c>
    </row>
    <row r="12" spans="1:12" ht="30" customHeight="1" x14ac:dyDescent="0.25">
      <c r="A12" s="59" t="s">
        <v>658</v>
      </c>
      <c r="B12" s="8">
        <v>19</v>
      </c>
      <c r="C12" s="51" t="s">
        <v>2237</v>
      </c>
      <c r="D12" s="8">
        <v>5</v>
      </c>
      <c r="E12" s="74"/>
      <c r="F12" s="8" t="s">
        <v>2238</v>
      </c>
      <c r="G12" s="8">
        <v>0</v>
      </c>
      <c r="H12" s="6">
        <v>0</v>
      </c>
      <c r="I12" s="74"/>
      <c r="J12" s="6" t="b">
        <v>0</v>
      </c>
      <c r="K12" s="9" t="str">
        <f>IFERROR(HYPERLINK("#Main!A"&amp;MATCH(A12,Main!A:A,0),"Open"),HYPERLINK("#Main!A1","Open"))</f>
        <v>Open</v>
      </c>
      <c r="L12" s="9"/>
    </row>
    <row r="13" spans="1:12" ht="30" customHeight="1" x14ac:dyDescent="0.25">
      <c r="A13" s="58" t="s">
        <v>156</v>
      </c>
      <c r="B13" s="11">
        <v>25</v>
      </c>
      <c r="C13" s="55" t="s">
        <v>2239</v>
      </c>
      <c r="D13" s="11">
        <v>9</v>
      </c>
      <c r="E13" s="75"/>
      <c r="F13" s="11" t="s">
        <v>2240</v>
      </c>
      <c r="G13" s="11">
        <v>0</v>
      </c>
      <c r="H13" s="6">
        <v>0</v>
      </c>
      <c r="I13" s="75"/>
      <c r="J13" s="6" t="b">
        <v>0</v>
      </c>
      <c r="K13" t="str">
        <f>IFERROR(HYPERLINK("#Main!A"&amp;MATCH(A13,Main!A:A,0),"Open"),HYPERLINK("#Main!A1","Open"))</f>
        <v>Open</v>
      </c>
    </row>
    <row r="14" spans="1:12" ht="30" customHeight="1" x14ac:dyDescent="0.25">
      <c r="A14" s="59" t="s">
        <v>650</v>
      </c>
      <c r="B14" s="8">
        <v>23</v>
      </c>
      <c r="C14" s="51" t="s">
        <v>2241</v>
      </c>
      <c r="D14" s="8">
        <v>21</v>
      </c>
      <c r="E14" s="74"/>
      <c r="F14" s="8" t="s">
        <v>2242</v>
      </c>
      <c r="G14" s="8">
        <v>0</v>
      </c>
      <c r="H14" s="6">
        <v>0</v>
      </c>
      <c r="I14" s="74"/>
      <c r="J14" s="6" t="b">
        <v>0</v>
      </c>
      <c r="K14" s="9" t="str">
        <f>IFERROR(HYPERLINK("#Main!A"&amp;MATCH(A14,Main!A:A,0),"Open"),HYPERLINK("#Main!A1","Open"))</f>
        <v>Open</v>
      </c>
      <c r="L14" s="9"/>
    </row>
    <row r="15" spans="1:12" ht="30" customHeight="1" x14ac:dyDescent="0.25">
      <c r="A15" s="58" t="s">
        <v>704</v>
      </c>
      <c r="B15" s="11">
        <v>6</v>
      </c>
      <c r="C15" s="55" t="s">
        <v>2243</v>
      </c>
      <c r="D15" s="11">
        <v>6</v>
      </c>
      <c r="E15" s="75"/>
      <c r="F15" s="11" t="s">
        <v>2221</v>
      </c>
      <c r="G15" s="11">
        <v>0</v>
      </c>
      <c r="H15" s="6">
        <v>0</v>
      </c>
      <c r="I15" s="75"/>
      <c r="J15" s="6" t="b">
        <v>0</v>
      </c>
      <c r="K15" t="str">
        <f>IFERROR(HYPERLINK("#Main!A"&amp;MATCH(A15,Main!A:A,0),"Open"),HYPERLINK("#Main!A1","Open"))</f>
        <v>Open</v>
      </c>
    </row>
    <row r="16" spans="1:12" ht="30" customHeight="1" x14ac:dyDescent="0.25">
      <c r="A16" s="59" t="s">
        <v>148</v>
      </c>
      <c r="B16" s="8">
        <v>23</v>
      </c>
      <c r="C16" s="51" t="s">
        <v>2244</v>
      </c>
      <c r="D16" s="8">
        <v>12</v>
      </c>
      <c r="E16" s="74"/>
      <c r="F16" s="8" t="s">
        <v>2245</v>
      </c>
      <c r="G16" s="8">
        <v>0</v>
      </c>
      <c r="H16" s="6">
        <v>0</v>
      </c>
      <c r="I16" s="74"/>
      <c r="J16" s="6" t="b">
        <v>0</v>
      </c>
      <c r="K16" s="9" t="str">
        <f>IFERROR(HYPERLINK("#Main!A"&amp;MATCH(A16,Main!A:A,0),"Open"),HYPERLINK("#Main!A1","Open"))</f>
        <v>Open</v>
      </c>
      <c r="L16" s="9"/>
    </row>
    <row r="17" spans="1:12" ht="30" customHeight="1" x14ac:dyDescent="0.25">
      <c r="A17" s="58" t="s">
        <v>497</v>
      </c>
      <c r="B17" s="11">
        <v>15</v>
      </c>
      <c r="C17" s="55" t="s">
        <v>2246</v>
      </c>
      <c r="D17" s="11">
        <v>15</v>
      </c>
      <c r="E17" s="75"/>
      <c r="F17" s="11" t="s">
        <v>2247</v>
      </c>
      <c r="G17" s="11">
        <v>0</v>
      </c>
      <c r="H17" s="6">
        <v>0</v>
      </c>
      <c r="I17" s="75"/>
      <c r="J17" s="6" t="b">
        <v>0</v>
      </c>
      <c r="K17" t="str">
        <f>IFERROR(HYPERLINK("#Main!A"&amp;MATCH(A17,Main!A:A,0),"Open"),HYPERLINK("#Main!A1","Open"))</f>
        <v>Open</v>
      </c>
    </row>
    <row r="18" spans="1:12" ht="30" customHeight="1" x14ac:dyDescent="0.25">
      <c r="A18" s="59" t="s">
        <v>505</v>
      </c>
      <c r="B18" s="8">
        <v>18</v>
      </c>
      <c r="C18" s="51" t="s">
        <v>2248</v>
      </c>
      <c r="D18" s="8">
        <v>18</v>
      </c>
      <c r="E18" s="74"/>
      <c r="F18" s="8" t="s">
        <v>2249</v>
      </c>
      <c r="G18" s="8">
        <v>0</v>
      </c>
      <c r="H18" s="6">
        <v>0</v>
      </c>
      <c r="I18" s="74"/>
      <c r="J18" s="6" t="b">
        <v>0</v>
      </c>
      <c r="K18" s="9" t="str">
        <f>IFERROR(HYPERLINK("#Main!A"&amp;MATCH(A18,Main!A:A,0),"Open"),HYPERLINK("#Main!A1","Open"))</f>
        <v>Open</v>
      </c>
      <c r="L18" s="9"/>
    </row>
    <row r="19" spans="1:12" ht="30" customHeight="1" x14ac:dyDescent="0.25">
      <c r="A19" s="58" t="s">
        <v>690</v>
      </c>
      <c r="B19" s="11">
        <v>46</v>
      </c>
      <c r="C19" s="55" t="s">
        <v>2250</v>
      </c>
      <c r="D19" s="11">
        <v>46</v>
      </c>
      <c r="E19" s="75"/>
      <c r="F19" s="11" t="s">
        <v>2251</v>
      </c>
      <c r="G19" s="11">
        <v>0</v>
      </c>
      <c r="H19" s="6">
        <v>0</v>
      </c>
      <c r="I19" s="75"/>
      <c r="J19" s="6" t="b">
        <v>0</v>
      </c>
      <c r="K19" t="str">
        <f>IFERROR(HYPERLINK("#Main!A"&amp;MATCH(A19,Main!A:A,0),"Open"),HYPERLINK("#Main!A1","Open"))</f>
        <v>Open</v>
      </c>
    </row>
    <row r="20" spans="1:12" ht="30" customHeight="1" x14ac:dyDescent="0.25">
      <c r="A20" s="59" t="s">
        <v>306</v>
      </c>
      <c r="B20" s="8">
        <v>10</v>
      </c>
      <c r="C20" s="51" t="s">
        <v>2252</v>
      </c>
      <c r="D20" s="8">
        <v>10</v>
      </c>
      <c r="E20" s="74"/>
      <c r="F20" s="8" t="s">
        <v>2253</v>
      </c>
      <c r="G20" s="8">
        <v>0</v>
      </c>
      <c r="H20" s="6">
        <v>0</v>
      </c>
      <c r="I20" s="74"/>
      <c r="J20" s="6" t="b">
        <v>0</v>
      </c>
      <c r="K20" s="9" t="str">
        <f>IFERROR(HYPERLINK("#Main!A"&amp;MATCH(A20,Main!A:A,0),"Open"),HYPERLINK("#Main!A1","Open"))</f>
        <v>Open</v>
      </c>
      <c r="L20" s="9"/>
    </row>
    <row r="21" spans="1:12" ht="30" customHeight="1" x14ac:dyDescent="0.25">
      <c r="A21" s="58" t="s">
        <v>314</v>
      </c>
      <c r="B21" s="11">
        <v>10</v>
      </c>
      <c r="C21" s="55" t="s">
        <v>2254</v>
      </c>
      <c r="D21" s="11">
        <v>10</v>
      </c>
      <c r="E21" s="75"/>
      <c r="F21" s="11" t="s">
        <v>2253</v>
      </c>
      <c r="G21" s="11">
        <v>0</v>
      </c>
      <c r="H21" s="6">
        <v>0</v>
      </c>
      <c r="I21" s="75"/>
      <c r="J21" s="6" t="b">
        <v>0</v>
      </c>
      <c r="K21" t="str">
        <f>IFERROR(HYPERLINK("#Main!A"&amp;MATCH(A21,Main!A:A,0),"Open"),HYPERLINK("#Main!A1","Open"))</f>
        <v>Open</v>
      </c>
    </row>
    <row r="22" spans="1:12" ht="30" customHeight="1" x14ac:dyDescent="0.25">
      <c r="A22" s="59" t="s">
        <v>366</v>
      </c>
      <c r="B22" s="8">
        <v>10</v>
      </c>
      <c r="C22" s="51" t="s">
        <v>2255</v>
      </c>
      <c r="D22" s="8">
        <v>10</v>
      </c>
      <c r="E22" s="74"/>
      <c r="F22" s="8" t="s">
        <v>2253</v>
      </c>
      <c r="G22" s="8">
        <v>0</v>
      </c>
      <c r="H22" s="6">
        <v>0</v>
      </c>
      <c r="I22" s="74"/>
      <c r="J22" s="6" t="b">
        <v>0</v>
      </c>
      <c r="K22" s="9" t="str">
        <f>IFERROR(HYPERLINK("#Main!A"&amp;MATCH(A22,Main!A:A,0),"Open"),HYPERLINK("#Main!A1","Open"))</f>
        <v>Open</v>
      </c>
      <c r="L22" s="9"/>
    </row>
    <row r="23" spans="1:12" ht="30" customHeight="1" x14ac:dyDescent="0.25">
      <c r="A23" s="58" t="s">
        <v>417</v>
      </c>
      <c r="B23" s="11">
        <v>28</v>
      </c>
      <c r="C23" s="55" t="s">
        <v>2256</v>
      </c>
      <c r="D23" s="11">
        <v>28</v>
      </c>
      <c r="E23" s="75"/>
      <c r="F23" s="11" t="s">
        <v>2257</v>
      </c>
      <c r="G23" s="11">
        <v>0</v>
      </c>
      <c r="H23" s="6">
        <v>0</v>
      </c>
      <c r="I23" s="75"/>
      <c r="J23" s="6" t="b">
        <v>0</v>
      </c>
      <c r="K23" t="str">
        <f>IFERROR(HYPERLINK("#Main!A"&amp;MATCH(A23,Main!A:A,0),"Open"),HYPERLINK("#Main!A1","Open"))</f>
        <v>Open</v>
      </c>
    </row>
    <row r="24" spans="1:12" ht="30" customHeight="1" x14ac:dyDescent="0.25">
      <c r="A24" s="59" t="s">
        <v>290</v>
      </c>
      <c r="B24" s="8">
        <v>94</v>
      </c>
      <c r="C24" s="51" t="s">
        <v>2258</v>
      </c>
      <c r="D24" s="8">
        <v>94</v>
      </c>
      <c r="E24" s="74"/>
      <c r="F24" s="8" t="s">
        <v>2259</v>
      </c>
      <c r="G24" s="8">
        <v>0</v>
      </c>
      <c r="H24" s="49">
        <v>6</v>
      </c>
      <c r="I24" s="74"/>
      <c r="J24" s="6" t="b">
        <v>0</v>
      </c>
      <c r="K24" s="9" t="str">
        <f>IFERROR(HYPERLINK("#Main!A"&amp;MATCH(A24,Main!A:A,0),"Open"),HYPERLINK("#Main!A1","Open"))</f>
        <v>Open</v>
      </c>
      <c r="L24" s="9"/>
    </row>
    <row r="25" spans="1:12" ht="30" customHeight="1" x14ac:dyDescent="0.25">
      <c r="A25" s="58" t="s">
        <v>188</v>
      </c>
      <c r="B25" s="11">
        <v>13</v>
      </c>
      <c r="C25" s="55" t="s">
        <v>2260</v>
      </c>
      <c r="D25" s="11">
        <v>13</v>
      </c>
      <c r="E25" s="75"/>
      <c r="F25" s="11" t="s">
        <v>2261</v>
      </c>
      <c r="G25" s="11">
        <v>0</v>
      </c>
      <c r="H25" s="6">
        <v>0</v>
      </c>
      <c r="I25" s="75"/>
      <c r="J25" s="6" t="b">
        <v>0</v>
      </c>
      <c r="K25" t="str">
        <f>IFERROR(HYPERLINK("#Main!A"&amp;MATCH(A25,Main!A:A,0),"Open"),HYPERLINK("#Main!A1","Open"))</f>
        <v>Open</v>
      </c>
    </row>
    <row r="26" spans="1:12" ht="30" customHeight="1" x14ac:dyDescent="0.25">
      <c r="A26" s="59" t="s">
        <v>242</v>
      </c>
      <c r="B26" s="8">
        <v>5</v>
      </c>
      <c r="C26" s="51" t="s">
        <v>2262</v>
      </c>
      <c r="D26" s="8">
        <v>5</v>
      </c>
      <c r="E26" s="74"/>
      <c r="F26" s="8" t="s">
        <v>2263</v>
      </c>
      <c r="G26" s="8">
        <v>0</v>
      </c>
      <c r="H26" s="6">
        <v>0</v>
      </c>
      <c r="I26" s="74"/>
      <c r="J26" s="6" t="b">
        <v>0</v>
      </c>
      <c r="K26" s="9" t="str">
        <f>IFERROR(HYPERLINK("#Main!A"&amp;MATCH(A26,Main!A:A,0),"Open"),HYPERLINK("#Main!A1","Open"))</f>
        <v>Open</v>
      </c>
      <c r="L26" s="9"/>
    </row>
    <row r="27" spans="1:12" ht="30" customHeight="1" x14ac:dyDescent="0.25">
      <c r="A27" s="58" t="s">
        <v>574</v>
      </c>
      <c r="B27" s="11">
        <v>7</v>
      </c>
      <c r="C27" s="55" t="s">
        <v>2264</v>
      </c>
      <c r="D27" s="11">
        <v>7</v>
      </c>
      <c r="E27" s="75"/>
      <c r="F27" s="11" t="s">
        <v>2265</v>
      </c>
      <c r="G27" s="11">
        <v>0</v>
      </c>
      <c r="H27" s="6">
        <v>0</v>
      </c>
      <c r="I27" s="75"/>
      <c r="J27" s="6" t="b">
        <v>0</v>
      </c>
      <c r="K27" t="str">
        <f>IFERROR(HYPERLINK("#Main!A"&amp;MATCH(A27,Main!A:A,0),"Open"),HYPERLINK("#Main!A1","Open"))</f>
        <v>Open</v>
      </c>
    </row>
    <row r="28" spans="1:12" ht="30" customHeight="1" x14ac:dyDescent="0.25">
      <c r="A28" s="59" t="s">
        <v>627</v>
      </c>
      <c r="B28" s="8">
        <v>24</v>
      </c>
      <c r="C28" s="51" t="s">
        <v>2266</v>
      </c>
      <c r="D28" s="8">
        <v>12</v>
      </c>
      <c r="E28" s="74"/>
      <c r="F28" s="8" t="s">
        <v>2267</v>
      </c>
      <c r="G28" s="8">
        <v>0</v>
      </c>
      <c r="H28" s="6">
        <v>0</v>
      </c>
      <c r="I28" s="74"/>
      <c r="J28" s="6" t="b">
        <v>0</v>
      </c>
      <c r="K28" s="9" t="str">
        <f>IFERROR(HYPERLINK("#Main!A"&amp;MATCH(A28,Main!A:A,0),"Open"),HYPERLINK("#Main!A1","Open"))</f>
        <v>Open</v>
      </c>
      <c r="L28" s="9"/>
    </row>
    <row r="29" spans="1:12" ht="30" customHeight="1" x14ac:dyDescent="0.25">
      <c r="A29" s="58" t="s">
        <v>274</v>
      </c>
      <c r="B29" s="11">
        <v>86</v>
      </c>
      <c r="C29" s="55" t="s">
        <v>2268</v>
      </c>
      <c r="D29" s="11">
        <v>15</v>
      </c>
      <c r="E29" s="75"/>
      <c r="F29" s="11" t="s">
        <v>2269</v>
      </c>
      <c r="G29" s="11">
        <v>0</v>
      </c>
      <c r="H29" s="6">
        <v>0</v>
      </c>
      <c r="I29" s="75"/>
      <c r="J29" s="6" t="b">
        <v>0</v>
      </c>
      <c r="K29" t="str">
        <f>IFERROR(HYPERLINK("#Main!A"&amp;MATCH(A29,Main!A:A,0),"Open"),HYPERLINK("#Main!A1","Open"))</f>
        <v>Open</v>
      </c>
    </row>
    <row r="30" spans="1:12" ht="30" customHeight="1" x14ac:dyDescent="0.25">
      <c r="A30" s="59" t="s">
        <v>401</v>
      </c>
      <c r="B30" s="8">
        <v>6</v>
      </c>
      <c r="C30" s="51" t="s">
        <v>2270</v>
      </c>
      <c r="D30" s="8">
        <v>6</v>
      </c>
      <c r="E30" s="74"/>
      <c r="F30" s="8" t="s">
        <v>2271</v>
      </c>
      <c r="G30" s="8">
        <v>0</v>
      </c>
      <c r="H30" s="6">
        <v>0</v>
      </c>
      <c r="I30" s="74"/>
      <c r="J30" s="6" t="b">
        <v>0</v>
      </c>
      <c r="K30" s="9" t="str">
        <f>IFERROR(HYPERLINK("#Main!A"&amp;MATCH(A30,Main!A:A,0),"Open"),HYPERLINK("#Main!A1","Open"))</f>
        <v>Open</v>
      </c>
      <c r="L30" s="9"/>
    </row>
    <row r="31" spans="1:12" ht="30" customHeight="1" x14ac:dyDescent="0.25">
      <c r="A31" s="58" t="s">
        <v>298</v>
      </c>
      <c r="B31" s="11">
        <v>41</v>
      </c>
      <c r="C31" s="55" t="s">
        <v>2272</v>
      </c>
      <c r="D31" s="11">
        <v>25</v>
      </c>
      <c r="E31" s="75"/>
      <c r="F31" s="11" t="s">
        <v>2273</v>
      </c>
      <c r="G31" s="11">
        <v>0</v>
      </c>
      <c r="H31" s="6">
        <v>0</v>
      </c>
      <c r="I31" s="75"/>
      <c r="J31" s="6" t="b">
        <v>0</v>
      </c>
      <c r="K31" t="str">
        <f>IFERROR(HYPERLINK("#Main!A"&amp;MATCH(A31,Main!A:A,0),"Open"),HYPERLINK("#Main!A1","Open"))</f>
        <v>Open</v>
      </c>
    </row>
    <row r="32" spans="1:12" ht="30" customHeight="1" x14ac:dyDescent="0.25">
      <c r="A32" s="59" t="s">
        <v>481</v>
      </c>
      <c r="B32" s="8">
        <v>34</v>
      </c>
      <c r="C32" s="51" t="s">
        <v>2274</v>
      </c>
      <c r="D32" s="8">
        <v>18</v>
      </c>
      <c r="E32" s="74"/>
      <c r="F32" s="8" t="s">
        <v>2275</v>
      </c>
      <c r="G32" s="8">
        <v>0</v>
      </c>
      <c r="H32" s="6">
        <v>0</v>
      </c>
      <c r="I32" s="74"/>
      <c r="J32" s="6" t="b">
        <v>0</v>
      </c>
      <c r="K32" s="9" t="str">
        <f>IFERROR(HYPERLINK("#Main!A"&amp;MATCH(A32,Main!A:A,0),"Open"),HYPERLINK("#Main!A1","Open"))</f>
        <v>Open</v>
      </c>
      <c r="L32" s="9"/>
    </row>
    <row r="33" spans="1:12" ht="30" customHeight="1" x14ac:dyDescent="0.25">
      <c r="A33" s="58" t="s">
        <v>172</v>
      </c>
      <c r="B33" s="11">
        <v>8</v>
      </c>
      <c r="C33" s="55" t="s">
        <v>2276</v>
      </c>
      <c r="D33" s="11">
        <v>8</v>
      </c>
      <c r="E33" s="75"/>
      <c r="F33" s="11" t="s">
        <v>2277</v>
      </c>
      <c r="G33" s="11">
        <v>0</v>
      </c>
      <c r="H33" s="6">
        <v>0</v>
      </c>
      <c r="I33" s="75"/>
      <c r="J33" s="6" t="b">
        <v>0</v>
      </c>
      <c r="K33" t="str">
        <f>IFERROR(HYPERLINK("#Main!A"&amp;MATCH(A33,Main!A:A,0),"Open"),HYPERLINK("#Main!A1","Open"))</f>
        <v>Open</v>
      </c>
    </row>
    <row r="34" spans="1:12" ht="30" customHeight="1" x14ac:dyDescent="0.25">
      <c r="A34" s="59" t="s">
        <v>727</v>
      </c>
      <c r="B34" s="8">
        <v>9</v>
      </c>
      <c r="C34" s="51" t="s">
        <v>2278</v>
      </c>
      <c r="D34" s="8">
        <v>9</v>
      </c>
      <c r="E34" s="74"/>
      <c r="F34" s="8" t="s">
        <v>2279</v>
      </c>
      <c r="G34" s="8">
        <v>0</v>
      </c>
      <c r="H34" s="6">
        <v>0</v>
      </c>
      <c r="I34" s="74"/>
      <c r="J34" s="6" t="b">
        <v>0</v>
      </c>
      <c r="K34" s="9" t="str">
        <f>IFERROR(HYPERLINK("#Main!A"&amp;MATCH(A34,Main!A:A,0),"Open"),HYPERLINK("#Main!A1","Open"))</f>
        <v>Open</v>
      </c>
      <c r="L34" s="9"/>
    </row>
    <row r="35" spans="1:12" ht="30" customHeight="1" x14ac:dyDescent="0.25">
      <c r="A35" s="58" t="s">
        <v>559</v>
      </c>
      <c r="B35" s="11">
        <v>22</v>
      </c>
      <c r="C35" s="55" t="s">
        <v>2280</v>
      </c>
      <c r="D35" s="11">
        <v>6</v>
      </c>
      <c r="E35" s="75"/>
      <c r="F35" s="11" t="s">
        <v>2281</v>
      </c>
      <c r="G35" s="11">
        <v>0</v>
      </c>
      <c r="H35" s="6">
        <v>0</v>
      </c>
      <c r="I35" s="75"/>
      <c r="J35" s="6" t="b">
        <v>0</v>
      </c>
      <c r="K35" t="str">
        <f>IFERROR(HYPERLINK("#Main!A"&amp;MATCH(A35,Main!A:A,0),"Open"),HYPERLINK("#Main!A1","Open"))</f>
        <v>Open</v>
      </c>
    </row>
    <row r="36" spans="1:12" ht="30" customHeight="1" x14ac:dyDescent="0.25">
      <c r="A36" s="59" t="s">
        <v>393</v>
      </c>
      <c r="B36" s="8">
        <v>17</v>
      </c>
      <c r="C36" s="51" t="s">
        <v>2282</v>
      </c>
      <c r="D36" s="8">
        <v>6</v>
      </c>
      <c r="E36" s="74"/>
      <c r="F36" s="8" t="s">
        <v>2283</v>
      </c>
      <c r="G36" s="8">
        <v>0</v>
      </c>
      <c r="H36" s="6">
        <v>0</v>
      </c>
      <c r="I36" s="74"/>
      <c r="J36" s="6" t="b">
        <v>0</v>
      </c>
      <c r="K36" s="9" t="str">
        <f>IFERROR(HYPERLINK("#Main!A"&amp;MATCH(A36,Main!A:A,0),"Open"),HYPERLINK("#Main!A1","Open"))</f>
        <v>Open</v>
      </c>
      <c r="L36" s="9"/>
    </row>
    <row r="37" spans="1:12" ht="30" customHeight="1" x14ac:dyDescent="0.25">
      <c r="A37" s="58" t="s">
        <v>566</v>
      </c>
      <c r="B37" s="11">
        <v>23</v>
      </c>
      <c r="C37" s="55" t="s">
        <v>2284</v>
      </c>
      <c r="D37" s="11">
        <v>7</v>
      </c>
      <c r="E37" s="75"/>
      <c r="F37" s="11" t="s">
        <v>2285</v>
      </c>
      <c r="G37" s="11">
        <v>0</v>
      </c>
      <c r="H37" s="6">
        <v>0</v>
      </c>
      <c r="I37" s="75"/>
      <c r="J37" s="6" t="b">
        <v>0</v>
      </c>
      <c r="K37" t="str">
        <f>IFERROR(HYPERLINK("#Main!A"&amp;MATCH(A37,Main!A:A,0),"Open"),HYPERLINK("#Main!A1","Open"))</f>
        <v>Open</v>
      </c>
    </row>
    <row r="38" spans="1:12" ht="45" customHeight="1" x14ac:dyDescent="0.25">
      <c r="A38" s="59" t="s">
        <v>377</v>
      </c>
      <c r="B38" s="8">
        <v>6</v>
      </c>
      <c r="C38" s="51" t="s">
        <v>2286</v>
      </c>
      <c r="D38" s="8">
        <v>6</v>
      </c>
      <c r="E38" s="74"/>
      <c r="F38" s="8" t="s">
        <v>2271</v>
      </c>
      <c r="G38" s="8">
        <v>0</v>
      </c>
      <c r="H38" s="6">
        <v>0</v>
      </c>
      <c r="I38" s="74"/>
      <c r="J38" s="6" t="b">
        <v>0</v>
      </c>
      <c r="K38" s="9" t="str">
        <f>IFERROR(HYPERLINK("#Main!A"&amp;MATCH(A38,Main!A:A,0),"Open"),HYPERLINK("#Main!A1","Open"))</f>
        <v>Open</v>
      </c>
      <c r="L38" s="9"/>
    </row>
    <row r="39" spans="1:12" ht="30" customHeight="1" x14ac:dyDescent="0.25">
      <c r="A39" s="58" t="s">
        <v>385</v>
      </c>
      <c r="B39" s="11">
        <v>18</v>
      </c>
      <c r="C39" s="55" t="s">
        <v>2287</v>
      </c>
      <c r="D39" s="11">
        <v>7</v>
      </c>
      <c r="E39" s="75"/>
      <c r="F39" s="11" t="s">
        <v>2288</v>
      </c>
      <c r="G39" s="11">
        <v>0</v>
      </c>
      <c r="H39" s="6">
        <v>0</v>
      </c>
      <c r="I39" s="75"/>
      <c r="J39" s="6" t="b">
        <v>0</v>
      </c>
      <c r="K39" t="str">
        <f>IFERROR(HYPERLINK("#Main!A"&amp;MATCH(A39,Main!A:A,0),"Open"),HYPERLINK("#Main!A1","Open"))</f>
        <v>Open</v>
      </c>
    </row>
    <row r="40" spans="1:12" ht="30" customHeight="1" x14ac:dyDescent="0.25">
      <c r="A40" s="59" t="s">
        <v>358</v>
      </c>
      <c r="B40" s="8">
        <v>22</v>
      </c>
      <c r="C40" s="51" t="s">
        <v>2289</v>
      </c>
      <c r="D40" s="8">
        <v>6</v>
      </c>
      <c r="E40" s="74"/>
      <c r="F40" s="8" t="s">
        <v>2290</v>
      </c>
      <c r="G40" s="8">
        <v>0</v>
      </c>
      <c r="H40" s="6">
        <v>0</v>
      </c>
      <c r="I40" s="74"/>
      <c r="J40" s="6" t="b">
        <v>0</v>
      </c>
      <c r="K40" s="9" t="str">
        <f>IFERROR(HYPERLINK("#Main!A"&amp;MATCH(A40,Main!A:A,0),"Open"),HYPERLINK("#Main!A1","Open"))</f>
        <v>Open</v>
      </c>
      <c r="L40" s="9"/>
    </row>
    <row r="41" spans="1:12" ht="30" customHeight="1" x14ac:dyDescent="0.25">
      <c r="A41" s="58" t="s">
        <v>196</v>
      </c>
      <c r="B41" s="11">
        <v>41</v>
      </c>
      <c r="C41" s="55" t="s">
        <v>2291</v>
      </c>
      <c r="D41" s="11">
        <v>37</v>
      </c>
      <c r="E41" s="75"/>
      <c r="F41" s="11" t="s">
        <v>2292</v>
      </c>
      <c r="G41" s="11">
        <v>0</v>
      </c>
      <c r="H41" s="6">
        <v>0</v>
      </c>
      <c r="I41" s="75"/>
      <c r="J41" s="6" t="b">
        <v>0</v>
      </c>
      <c r="K41" t="str">
        <f>IFERROR(HYPERLINK("#Main!A"&amp;MATCH(A41,Main!A:A,0),"Open"),HYPERLINK("#Main!A1","Open"))</f>
        <v>Open</v>
      </c>
    </row>
    <row r="42" spans="1:12" ht="30" customHeight="1" x14ac:dyDescent="0.25">
      <c r="A42" s="59" t="s">
        <v>164</v>
      </c>
      <c r="B42" s="8">
        <v>47</v>
      </c>
      <c r="C42" s="51" t="s">
        <v>2293</v>
      </c>
      <c r="D42" s="8">
        <v>25</v>
      </c>
      <c r="E42" s="74"/>
      <c r="F42" s="8" t="s">
        <v>2294</v>
      </c>
      <c r="G42" s="8">
        <v>0</v>
      </c>
      <c r="H42" s="6">
        <v>0</v>
      </c>
      <c r="I42" s="74"/>
      <c r="J42" s="6" t="b">
        <v>0</v>
      </c>
      <c r="K42" s="9" t="str">
        <f>IFERROR(HYPERLINK("#Main!A"&amp;MATCH(A42,Main!A:A,0),"Open"),HYPERLINK("#Main!A1","Open"))</f>
        <v>Open</v>
      </c>
      <c r="L42" s="9"/>
    </row>
    <row r="43" spans="1:12" ht="30" customHeight="1" x14ac:dyDescent="0.25">
      <c r="A43" s="58" t="s">
        <v>350</v>
      </c>
      <c r="B43" s="11">
        <v>79</v>
      </c>
      <c r="C43" s="55" t="s">
        <v>2295</v>
      </c>
      <c r="D43" s="11">
        <v>15</v>
      </c>
      <c r="E43" s="75"/>
      <c r="F43" s="11" t="s">
        <v>2296</v>
      </c>
      <c r="G43" s="11">
        <v>0</v>
      </c>
      <c r="H43" s="6">
        <v>0</v>
      </c>
      <c r="I43" s="75"/>
      <c r="J43" s="6" t="b">
        <v>0</v>
      </c>
      <c r="K43" t="str">
        <f>IFERROR(HYPERLINK("#Main!A"&amp;MATCH(A43,Main!A:A,0),"Open"),HYPERLINK("#Main!A1","Open"))</f>
        <v>Open</v>
      </c>
    </row>
    <row r="44" spans="1:12" ht="30" customHeight="1" x14ac:dyDescent="0.25">
      <c r="A44" s="59" t="s">
        <v>374</v>
      </c>
      <c r="B44" s="8">
        <v>79</v>
      </c>
      <c r="C44" s="51" t="s">
        <v>2295</v>
      </c>
      <c r="D44" s="8">
        <v>15</v>
      </c>
      <c r="E44" s="74"/>
      <c r="F44" s="8" t="s">
        <v>2296</v>
      </c>
      <c r="G44" s="8">
        <v>0</v>
      </c>
      <c r="H44" s="6">
        <v>0</v>
      </c>
      <c r="I44" s="74"/>
      <c r="J44" s="6" t="b">
        <v>0</v>
      </c>
      <c r="K44" s="9" t="str">
        <f>IFERROR(HYPERLINK("#Main!A"&amp;MATCH(A44,Main!A:A,0),"Open"),HYPERLINK("#Main!A1","Open"))</f>
        <v>Open</v>
      </c>
      <c r="L44" s="9"/>
    </row>
    <row r="45" spans="1:12" ht="45" customHeight="1" x14ac:dyDescent="0.25">
      <c r="A45" s="58" t="s">
        <v>409</v>
      </c>
      <c r="B45" s="11">
        <v>6</v>
      </c>
      <c r="C45" s="55" t="s">
        <v>2297</v>
      </c>
      <c r="D45" s="11">
        <v>6</v>
      </c>
      <c r="E45" s="75"/>
      <c r="F45" s="11" t="s">
        <v>2271</v>
      </c>
      <c r="G45" s="11">
        <v>0</v>
      </c>
      <c r="H45" s="6">
        <v>0</v>
      </c>
      <c r="I45" s="75"/>
      <c r="J45" s="6" t="b">
        <v>0</v>
      </c>
      <c r="K45" t="str">
        <f>IFERROR(HYPERLINK("#Main!A"&amp;MATCH(A45,Main!A:A,0),"Open"),HYPERLINK("#Main!A1","Open"))</f>
        <v>Open</v>
      </c>
    </row>
    <row r="46" spans="1:12" ht="30" customHeight="1" x14ac:dyDescent="0.25">
      <c r="A46" s="59" t="s">
        <v>436</v>
      </c>
      <c r="B46" s="8">
        <v>8</v>
      </c>
      <c r="C46" s="51" t="s">
        <v>2298</v>
      </c>
      <c r="D46" s="8">
        <v>8</v>
      </c>
      <c r="E46" s="74"/>
      <c r="F46" s="8" t="s">
        <v>2299</v>
      </c>
      <c r="G46" s="8">
        <v>0</v>
      </c>
      <c r="H46" s="6">
        <v>0</v>
      </c>
      <c r="I46" s="74"/>
      <c r="J46" s="6" t="b">
        <v>0</v>
      </c>
      <c r="K46" s="9" t="str">
        <f>IFERROR(HYPERLINK("#Main!A"&amp;MATCH(A46,Main!A:A,0),"Open"),HYPERLINK("#Main!A1","Open"))</f>
        <v>Open</v>
      </c>
      <c r="L46" s="9"/>
    </row>
    <row r="47" spans="1:12" ht="30" customHeight="1" x14ac:dyDescent="0.25">
      <c r="A47" s="58" t="s">
        <v>473</v>
      </c>
      <c r="B47" s="11">
        <v>6</v>
      </c>
      <c r="C47" s="55" t="s">
        <v>2300</v>
      </c>
      <c r="D47" s="11">
        <v>6</v>
      </c>
      <c r="E47" s="75"/>
      <c r="F47" s="11" t="s">
        <v>2271</v>
      </c>
      <c r="G47" s="11">
        <v>0</v>
      </c>
      <c r="H47" s="6">
        <v>0</v>
      </c>
      <c r="I47" s="75"/>
      <c r="J47" s="6" t="b">
        <v>0</v>
      </c>
      <c r="K47" t="str">
        <f>IFERROR(HYPERLINK("#Main!A"&amp;MATCH(A47,Main!A:A,0),"Open"),HYPERLINK("#Main!A1","Open"))</f>
        <v>Open</v>
      </c>
    </row>
    <row r="48" spans="1:12" ht="30" customHeight="1" x14ac:dyDescent="0.25">
      <c r="A48" s="59" t="s">
        <v>489</v>
      </c>
      <c r="B48" s="8">
        <v>6</v>
      </c>
      <c r="C48" s="51" t="s">
        <v>2301</v>
      </c>
      <c r="D48" s="8">
        <v>6</v>
      </c>
      <c r="E48" s="74"/>
      <c r="F48" s="8" t="s">
        <v>2271</v>
      </c>
      <c r="G48" s="8">
        <v>0</v>
      </c>
      <c r="H48" s="6">
        <v>0</v>
      </c>
      <c r="I48" s="74"/>
      <c r="J48" s="6" t="b">
        <v>0</v>
      </c>
      <c r="K48" s="9" t="str">
        <f>IFERROR(HYPERLINK("#Main!A"&amp;MATCH(A48,Main!A:A,0),"Open"),HYPERLINK("#Main!A1","Open"))</f>
        <v>Open</v>
      </c>
      <c r="L48" s="9"/>
    </row>
    <row r="49" spans="1:12" ht="30" customHeight="1" x14ac:dyDescent="0.25">
      <c r="A49" s="58" t="s">
        <v>338</v>
      </c>
      <c r="B49" s="11">
        <v>0</v>
      </c>
      <c r="C49" s="55"/>
      <c r="D49" s="11">
        <v>0</v>
      </c>
      <c r="E49" s="75"/>
      <c r="F49" s="11"/>
      <c r="G49" s="11">
        <v>0</v>
      </c>
      <c r="H49" s="6">
        <v>0</v>
      </c>
      <c r="I49" s="75"/>
      <c r="J49" s="6" t="b">
        <v>0</v>
      </c>
      <c r="K49" t="str">
        <f>IFERROR(HYPERLINK("#Main!A"&amp;MATCH(A49,Main!A:A,0),"Open"),HYPERLINK("#Main!A1","Open"))</f>
        <v>Open</v>
      </c>
    </row>
    <row r="50" spans="1:12" ht="30" customHeight="1" x14ac:dyDescent="0.25">
      <c r="A50" s="59" t="s">
        <v>433</v>
      </c>
      <c r="B50" s="8">
        <v>0</v>
      </c>
      <c r="C50" s="51"/>
      <c r="D50" s="8">
        <v>0</v>
      </c>
      <c r="E50" s="74"/>
      <c r="F50" s="8"/>
      <c r="G50" s="8">
        <v>0</v>
      </c>
      <c r="H50" s="6">
        <v>0</v>
      </c>
      <c r="I50" s="74"/>
      <c r="J50" s="6" t="b">
        <v>0</v>
      </c>
      <c r="K50" s="9" t="str">
        <f>IFERROR(HYPERLINK("#Main!A"&amp;MATCH(A50,Main!A:A,0),"Open"),HYPERLINK("#Main!A1","Open"))</f>
        <v>Open</v>
      </c>
      <c r="L50" s="9"/>
    </row>
    <row r="51" spans="1:12" ht="30" customHeight="1" x14ac:dyDescent="0.25">
      <c r="A51" s="58" t="s">
        <v>743</v>
      </c>
      <c r="B51" s="11">
        <v>7</v>
      </c>
      <c r="C51" s="55" t="s">
        <v>2302</v>
      </c>
      <c r="D51" s="11">
        <v>7</v>
      </c>
      <c r="E51" s="75"/>
      <c r="F51" s="11" t="s">
        <v>2265</v>
      </c>
      <c r="G51" s="11">
        <v>0</v>
      </c>
      <c r="H51" s="6">
        <v>0</v>
      </c>
      <c r="I51" s="75"/>
      <c r="J51" s="6" t="b">
        <v>0</v>
      </c>
      <c r="K51" t="str">
        <f>IFERROR(HYPERLINK("#Main!A"&amp;MATCH(A51,Main!A:A,0),"Open"),HYPERLINK("#Main!A1","Open"))</f>
        <v>Open</v>
      </c>
    </row>
    <row r="52" spans="1:12" ht="30" customHeight="1" x14ac:dyDescent="0.25">
      <c r="A52" s="59" t="s">
        <v>598</v>
      </c>
      <c r="B52" s="8">
        <v>6</v>
      </c>
      <c r="C52" s="51" t="s">
        <v>2303</v>
      </c>
      <c r="D52" s="8">
        <v>6</v>
      </c>
      <c r="E52" s="74"/>
      <c r="F52" s="8" t="s">
        <v>2221</v>
      </c>
      <c r="G52" s="8">
        <v>0</v>
      </c>
      <c r="H52" s="6">
        <v>0</v>
      </c>
      <c r="I52" s="74"/>
      <c r="J52" s="6" t="b">
        <v>0</v>
      </c>
      <c r="K52" s="9" t="str">
        <f>IFERROR(HYPERLINK("#Main!A"&amp;MATCH(A52,Main!A:A,0),"Open"),HYPERLINK("#Main!A1","Open"))</f>
        <v>Open</v>
      </c>
      <c r="L52" s="9"/>
    </row>
    <row r="53" spans="1:12" ht="30" customHeight="1" x14ac:dyDescent="0.25">
      <c r="A53" s="58" t="s">
        <v>735</v>
      </c>
      <c r="B53" s="11">
        <v>7</v>
      </c>
      <c r="C53" s="55" t="s">
        <v>2304</v>
      </c>
      <c r="D53" s="11">
        <v>7</v>
      </c>
      <c r="E53" s="75"/>
      <c r="F53" s="11" t="s">
        <v>2265</v>
      </c>
      <c r="G53" s="11">
        <v>0</v>
      </c>
      <c r="H53" s="6">
        <v>0</v>
      </c>
      <c r="I53" s="75"/>
      <c r="J53" s="6" t="b">
        <v>0</v>
      </c>
      <c r="K53" t="str">
        <f>IFERROR(HYPERLINK("#Main!A"&amp;MATCH(A53,Main!A:A,0),"Open"),HYPERLINK("#Main!A1","Open"))</f>
        <v>Open</v>
      </c>
    </row>
    <row r="54" spans="1:12" ht="30" customHeight="1" x14ac:dyDescent="0.25">
      <c r="A54" s="59" t="s">
        <v>712</v>
      </c>
      <c r="B54" s="8">
        <v>5</v>
      </c>
      <c r="C54" s="51" t="s">
        <v>2305</v>
      </c>
      <c r="D54" s="8">
        <v>5</v>
      </c>
      <c r="E54" s="74"/>
      <c r="F54" s="8" t="s">
        <v>2263</v>
      </c>
      <c r="G54" s="8">
        <v>0</v>
      </c>
      <c r="H54" s="6">
        <v>0</v>
      </c>
      <c r="I54" s="74"/>
      <c r="J54" s="6" t="b">
        <v>0</v>
      </c>
      <c r="K54" s="9" t="str">
        <f>IFERROR(HYPERLINK("#Main!A"&amp;MATCH(A54,Main!A:A,0),"Open"),HYPERLINK("#Main!A1","Open"))</f>
        <v>Open</v>
      </c>
      <c r="L54" s="9"/>
    </row>
    <row r="55" spans="1:12" ht="30" customHeight="1" x14ac:dyDescent="0.25">
      <c r="A55" s="58" t="s">
        <v>622</v>
      </c>
      <c r="B55" s="11">
        <v>10</v>
      </c>
      <c r="C55" s="55" t="s">
        <v>2306</v>
      </c>
      <c r="D55" s="11">
        <v>10</v>
      </c>
      <c r="E55" s="75"/>
      <c r="F55" s="11" t="s">
        <v>2307</v>
      </c>
      <c r="G55" s="11">
        <v>0</v>
      </c>
      <c r="H55" s="6">
        <v>0</v>
      </c>
      <c r="I55" s="75"/>
      <c r="J55" s="6" t="b">
        <v>0</v>
      </c>
      <c r="K55" t="str">
        <f>IFERROR(HYPERLINK("#Main!A"&amp;MATCH(A55,Main!A:A,0),"Open"),HYPERLINK("#Main!A1","Open"))</f>
        <v>Open</v>
      </c>
    </row>
    <row r="56" spans="1:12" ht="30" customHeight="1" x14ac:dyDescent="0.25">
      <c r="A56" s="59" t="s">
        <v>535</v>
      </c>
      <c r="B56" s="8">
        <v>7</v>
      </c>
      <c r="C56" s="51" t="s">
        <v>2308</v>
      </c>
      <c r="D56" s="8">
        <v>6</v>
      </c>
      <c r="E56" s="74"/>
      <c r="F56" s="8" t="s">
        <v>2265</v>
      </c>
      <c r="G56" s="8">
        <v>0</v>
      </c>
      <c r="H56" s="6">
        <v>0</v>
      </c>
      <c r="I56" s="74"/>
      <c r="J56" s="6" t="b">
        <v>0</v>
      </c>
      <c r="K56" s="9" t="str">
        <f>IFERROR(HYPERLINK("#Main!A"&amp;MATCH(A56,Main!A:A,0),"Open"),HYPERLINK("#Main!A1","Open"))</f>
        <v>Open</v>
      </c>
      <c r="L56" s="9"/>
    </row>
    <row r="57" spans="1:12" ht="30" customHeight="1" x14ac:dyDescent="0.25">
      <c r="A57" s="58" t="s">
        <v>527</v>
      </c>
      <c r="B57" s="11">
        <v>7</v>
      </c>
      <c r="C57" s="55" t="s">
        <v>2309</v>
      </c>
      <c r="D57" s="11">
        <v>6</v>
      </c>
      <c r="E57" s="75"/>
      <c r="F57" s="11" t="s">
        <v>2265</v>
      </c>
      <c r="G57" s="11">
        <v>0</v>
      </c>
      <c r="H57" s="6">
        <v>0</v>
      </c>
      <c r="I57" s="75"/>
      <c r="J57" s="6" t="b">
        <v>0</v>
      </c>
      <c r="K57" t="str">
        <f>IFERROR(HYPERLINK("#Main!A"&amp;MATCH(A57,Main!A:A,0),"Open"),HYPERLINK("#Main!A1","Open"))</f>
        <v>Open</v>
      </c>
    </row>
    <row r="58" spans="1:12" ht="30" customHeight="1" x14ac:dyDescent="0.25">
      <c r="A58" s="59" t="s">
        <v>590</v>
      </c>
      <c r="B58" s="8">
        <v>6</v>
      </c>
      <c r="C58" s="51" t="s">
        <v>2310</v>
      </c>
      <c r="D58" s="8">
        <v>6</v>
      </c>
      <c r="E58" s="74"/>
      <c r="F58" s="8" t="s">
        <v>2221</v>
      </c>
      <c r="G58" s="8">
        <v>0</v>
      </c>
      <c r="H58" s="6">
        <v>0</v>
      </c>
      <c r="I58" s="74"/>
      <c r="J58" s="6" t="b">
        <v>0</v>
      </c>
      <c r="K58" s="9" t="str">
        <f>IFERROR(HYPERLINK("#Main!A"&amp;MATCH(A58,Main!A:A,0),"Open"),HYPERLINK("#Main!A1","Open"))</f>
        <v>Open</v>
      </c>
      <c r="L58" s="9"/>
    </row>
    <row r="59" spans="1:12" ht="30" customHeight="1" x14ac:dyDescent="0.25">
      <c r="A59" s="58" t="s">
        <v>758</v>
      </c>
      <c r="B59" s="11">
        <v>7</v>
      </c>
      <c r="C59" s="55" t="s">
        <v>2311</v>
      </c>
      <c r="D59" s="11">
        <v>7</v>
      </c>
      <c r="E59" s="75"/>
      <c r="F59" s="11" t="s">
        <v>2265</v>
      </c>
      <c r="G59" s="11">
        <v>0</v>
      </c>
      <c r="H59" s="6">
        <v>0</v>
      </c>
      <c r="I59" s="75"/>
      <c r="J59" s="6" t="b">
        <v>0</v>
      </c>
      <c r="K59" t="str">
        <f>IFERROR(HYPERLINK("#Main!A"&amp;MATCH(A59,Main!A:A,0),"Open"),HYPERLINK("#Main!A1","Open"))</f>
        <v>Open</v>
      </c>
    </row>
    <row r="60" spans="1:12" ht="30" customHeight="1" x14ac:dyDescent="0.25">
      <c r="A60" s="59" t="s">
        <v>282</v>
      </c>
      <c r="B60" s="8">
        <v>26</v>
      </c>
      <c r="C60" s="51" t="s">
        <v>2312</v>
      </c>
      <c r="D60" s="8">
        <v>10</v>
      </c>
      <c r="E60" s="74"/>
      <c r="F60" s="8" t="s">
        <v>2313</v>
      </c>
      <c r="G60" s="8">
        <v>0</v>
      </c>
      <c r="H60" s="6">
        <v>0</v>
      </c>
      <c r="I60" s="74"/>
      <c r="J60" s="6" t="b">
        <v>0</v>
      </c>
      <c r="K60" s="9" t="str">
        <f>IFERROR(HYPERLINK("#Main!A"&amp;MATCH(A60,Main!A:A,0),"Open"),HYPERLINK("#Main!A1","Open"))</f>
        <v>Open</v>
      </c>
      <c r="L60" s="9"/>
    </row>
    <row r="61" spans="1:12" ht="30" customHeight="1" x14ac:dyDescent="0.25">
      <c r="A61" s="58" t="s">
        <v>766</v>
      </c>
      <c r="B61" s="11">
        <v>6</v>
      </c>
      <c r="C61" s="55" t="s">
        <v>2314</v>
      </c>
      <c r="D61" s="11">
        <v>6</v>
      </c>
      <c r="E61" s="75"/>
      <c r="F61" s="11" t="s">
        <v>2221</v>
      </c>
      <c r="G61" s="11">
        <v>0</v>
      </c>
      <c r="H61" s="6">
        <v>0</v>
      </c>
      <c r="I61" s="75"/>
      <c r="J61" s="6" t="b">
        <v>0</v>
      </c>
      <c r="K61" t="str">
        <f>IFERROR(HYPERLINK("#Main!A"&amp;MATCH(A61,Main!A:A,0),"Open"),HYPERLINK("#Main!A1","Open"))</f>
        <v>Open</v>
      </c>
    </row>
    <row r="62" spans="1:12" ht="30" customHeight="1" x14ac:dyDescent="0.25">
      <c r="A62" s="59" t="s">
        <v>614</v>
      </c>
      <c r="B62" s="8">
        <v>6</v>
      </c>
      <c r="C62" s="51" t="s">
        <v>2315</v>
      </c>
      <c r="D62" s="8">
        <v>6</v>
      </c>
      <c r="E62" s="74"/>
      <c r="F62" s="8" t="s">
        <v>2221</v>
      </c>
      <c r="G62" s="8">
        <v>0</v>
      </c>
      <c r="H62" s="6">
        <v>0</v>
      </c>
      <c r="I62" s="74"/>
      <c r="J62" s="6" t="b">
        <v>0</v>
      </c>
      <c r="K62" s="9" t="str">
        <f>IFERROR(HYPERLINK("#Main!A"&amp;MATCH(A62,Main!A:A,0),"Open"),HYPERLINK("#Main!A1","Open"))</f>
        <v>Open</v>
      </c>
      <c r="L62" s="9"/>
    </row>
    <row r="63" spans="1:12" ht="30" customHeight="1" x14ac:dyDescent="0.25">
      <c r="A63" s="58" t="s">
        <v>425</v>
      </c>
      <c r="B63" s="11">
        <v>19</v>
      </c>
      <c r="C63" s="55" t="s">
        <v>2316</v>
      </c>
      <c r="D63" s="11">
        <v>8</v>
      </c>
      <c r="E63" s="75"/>
      <c r="F63" s="11" t="s">
        <v>2317</v>
      </c>
      <c r="G63" s="11">
        <v>0</v>
      </c>
      <c r="H63" s="6">
        <v>0</v>
      </c>
      <c r="I63" s="75"/>
      <c r="J63" s="6" t="b">
        <v>0</v>
      </c>
      <c r="K63" t="str">
        <f>IFERROR(HYPERLINK("#Main!A"&amp;MATCH(A63,Main!A:A,0),"Open"),HYPERLINK("#Main!A1","Open"))</f>
        <v>Open</v>
      </c>
    </row>
    <row r="64" spans="1:12" ht="30" customHeight="1" x14ac:dyDescent="0.25">
      <c r="A64" s="59" t="s">
        <v>210</v>
      </c>
      <c r="B64" s="8">
        <v>10</v>
      </c>
      <c r="C64" s="51" t="s">
        <v>2318</v>
      </c>
      <c r="D64" s="8">
        <v>7</v>
      </c>
      <c r="E64" s="74"/>
      <c r="F64" s="8" t="s">
        <v>2319</v>
      </c>
      <c r="G64" s="8">
        <v>0</v>
      </c>
      <c r="H64" s="6">
        <v>0</v>
      </c>
      <c r="I64" s="74"/>
      <c r="J64" s="6" t="b">
        <v>0</v>
      </c>
      <c r="K64" s="9" t="str">
        <f>IFERROR(HYPERLINK("#Main!A"&amp;MATCH(A64,Main!A:A,0),"Open"),HYPERLINK("#Main!A1","Open"))</f>
        <v>Open</v>
      </c>
      <c r="L64" s="9"/>
    </row>
    <row r="65" spans="1:12" ht="30" customHeight="1" x14ac:dyDescent="0.25">
      <c r="A65" s="58" t="s">
        <v>258</v>
      </c>
      <c r="B65" s="11">
        <v>5</v>
      </c>
      <c r="C65" s="55" t="s">
        <v>2320</v>
      </c>
      <c r="D65" s="11">
        <v>5</v>
      </c>
      <c r="E65" s="75"/>
      <c r="F65" s="11" t="s">
        <v>2263</v>
      </c>
      <c r="G65" s="11">
        <v>0</v>
      </c>
      <c r="H65" s="6">
        <v>0</v>
      </c>
      <c r="I65" s="75"/>
      <c r="J65" s="6" t="b">
        <v>0</v>
      </c>
      <c r="K65" t="str">
        <f>IFERROR(HYPERLINK("#Main!A"&amp;MATCH(A65,Main!A:A,0),"Open"),HYPERLINK("#Main!A1","Open"))</f>
        <v>Open</v>
      </c>
    </row>
    <row r="66" spans="1:12" ht="30" customHeight="1" x14ac:dyDescent="0.25">
      <c r="A66" s="59" t="s">
        <v>250</v>
      </c>
      <c r="B66" s="8">
        <v>29</v>
      </c>
      <c r="C66" s="51" t="s">
        <v>2321</v>
      </c>
      <c r="D66" s="8">
        <v>15</v>
      </c>
      <c r="E66" s="74"/>
      <c r="F66" s="8" t="s">
        <v>2322</v>
      </c>
      <c r="G66" s="8">
        <v>0</v>
      </c>
      <c r="H66" s="6">
        <v>0</v>
      </c>
      <c r="I66" s="74"/>
      <c r="J66" s="6" t="b">
        <v>0</v>
      </c>
      <c r="K66" s="9" t="str">
        <f>IFERROR(HYPERLINK("#Main!A"&amp;MATCH(A66,Main!A:A,0),"Open"),HYPERLINK("#Main!A1","Open"))</f>
        <v>Open</v>
      </c>
      <c r="L66" s="9"/>
    </row>
    <row r="67" spans="1:12" ht="30" customHeight="1" x14ac:dyDescent="0.25">
      <c r="A67" s="58" t="s">
        <v>266</v>
      </c>
      <c r="B67" s="11">
        <v>18</v>
      </c>
      <c r="C67" s="55" t="s">
        <v>2323</v>
      </c>
      <c r="D67" s="11">
        <v>5</v>
      </c>
      <c r="E67" s="75"/>
      <c r="F67" s="11" t="s">
        <v>2324</v>
      </c>
      <c r="G67" s="11">
        <v>0</v>
      </c>
      <c r="H67" s="6">
        <v>0</v>
      </c>
      <c r="I67" s="75"/>
      <c r="J67" s="6" t="b">
        <v>0</v>
      </c>
      <c r="K67" t="str">
        <f>IFERROR(HYPERLINK("#Main!A"&amp;MATCH(A67,Main!A:A,0),"Open"),HYPERLINK("#Main!A1","Open"))</f>
        <v>Open</v>
      </c>
    </row>
    <row r="68" spans="1:12" ht="30" customHeight="1" x14ac:dyDescent="0.25">
      <c r="A68" s="59" t="s">
        <v>543</v>
      </c>
      <c r="B68" s="8">
        <v>6</v>
      </c>
      <c r="C68" s="51" t="s">
        <v>2325</v>
      </c>
      <c r="D68" s="8">
        <v>5</v>
      </c>
      <c r="E68" s="74"/>
      <c r="F68" s="8" t="s">
        <v>2221</v>
      </c>
      <c r="G68" s="8">
        <v>0</v>
      </c>
      <c r="H68" s="6">
        <v>0</v>
      </c>
      <c r="I68" s="74"/>
      <c r="J68" s="6" t="b">
        <v>0</v>
      </c>
      <c r="K68" s="9" t="str">
        <f>IFERROR(HYPERLINK("#Main!A"&amp;MATCH(A68,Main!A:A,0),"Open"),HYPERLINK("#Main!A1","Open"))</f>
        <v>Open</v>
      </c>
      <c r="L68" s="9"/>
    </row>
    <row r="69" spans="1:12" ht="30" customHeight="1" x14ac:dyDescent="0.25">
      <c r="A69" s="58" t="s">
        <v>99</v>
      </c>
      <c r="B69" s="11">
        <v>5</v>
      </c>
      <c r="C69" s="55" t="s">
        <v>2326</v>
      </c>
      <c r="D69" s="11">
        <v>5</v>
      </c>
      <c r="E69" s="75"/>
      <c r="F69" s="11" t="s">
        <v>2263</v>
      </c>
      <c r="G69" s="11">
        <v>0</v>
      </c>
      <c r="H69" s="6">
        <v>0</v>
      </c>
      <c r="I69" s="75"/>
      <c r="J69" s="6" t="b">
        <v>0</v>
      </c>
      <c r="K69" t="str">
        <f>IFERROR(HYPERLINK("#Main!A"&amp;MATCH(A69,Main!A:A,0),"Open"),HYPERLINK("#Main!A1","Open"))</f>
        <v>Open</v>
      </c>
    </row>
    <row r="70" spans="1:12" ht="30" customHeight="1" x14ac:dyDescent="0.25">
      <c r="A70" s="59" t="s">
        <v>226</v>
      </c>
      <c r="B70" s="8">
        <v>5</v>
      </c>
      <c r="C70" s="51" t="s">
        <v>2327</v>
      </c>
      <c r="D70" s="8">
        <v>5</v>
      </c>
      <c r="E70" s="74"/>
      <c r="F70" s="8" t="s">
        <v>2263</v>
      </c>
      <c r="G70" s="8">
        <v>0</v>
      </c>
      <c r="H70" s="6">
        <v>0</v>
      </c>
      <c r="I70" s="74"/>
      <c r="J70" s="6" t="b">
        <v>0</v>
      </c>
      <c r="K70" s="9" t="str">
        <f>IFERROR(HYPERLINK("#Main!A"&amp;MATCH(A70,Main!A:A,0),"Open"),HYPERLINK("#Main!A1","Open"))</f>
        <v>Open</v>
      </c>
      <c r="L70" s="9"/>
    </row>
    <row r="71" spans="1:12" ht="30" customHeight="1" x14ac:dyDescent="0.25">
      <c r="A71" s="58" t="s">
        <v>234</v>
      </c>
      <c r="B71" s="11">
        <v>7</v>
      </c>
      <c r="C71" s="55" t="s">
        <v>2328</v>
      </c>
      <c r="D71" s="11">
        <v>6</v>
      </c>
      <c r="E71" s="75"/>
      <c r="F71" s="11" t="s">
        <v>2299</v>
      </c>
      <c r="G71" s="11">
        <v>0</v>
      </c>
      <c r="H71" s="6">
        <v>0</v>
      </c>
      <c r="I71" s="75"/>
      <c r="J71" s="6" t="b">
        <v>0</v>
      </c>
      <c r="K71" t="str">
        <f>IFERROR(HYPERLINK("#Main!A"&amp;MATCH(A71,Main!A:A,0),"Open"),HYPERLINK("#Main!A1","Open"))</f>
        <v>Open</v>
      </c>
    </row>
    <row r="72" spans="1:12" ht="30" customHeight="1" x14ac:dyDescent="0.25">
      <c r="A72" s="59" t="s">
        <v>218</v>
      </c>
      <c r="B72" s="8">
        <v>2</v>
      </c>
      <c r="C72" s="51" t="s">
        <v>2329</v>
      </c>
      <c r="D72" s="8">
        <v>2</v>
      </c>
      <c r="E72" s="74"/>
      <c r="F72" s="8" t="s">
        <v>2330</v>
      </c>
      <c r="G72" s="8">
        <v>0</v>
      </c>
      <c r="H72" s="6">
        <v>0</v>
      </c>
      <c r="I72" s="74"/>
      <c r="J72" s="6" t="b">
        <v>0</v>
      </c>
      <c r="K72" s="9" t="str">
        <f>IFERROR(HYPERLINK("#Main!A"&amp;MATCH(A72,Main!A:A,0),"Open"),HYPERLINK("#Main!A1","Open"))</f>
        <v>Open</v>
      </c>
      <c r="L72" s="9"/>
    </row>
    <row r="73" spans="1:12" ht="30" customHeight="1" x14ac:dyDescent="0.25">
      <c r="A73" s="58" t="s">
        <v>342</v>
      </c>
      <c r="B73" s="11">
        <v>18</v>
      </c>
      <c r="C73" s="55" t="s">
        <v>2331</v>
      </c>
      <c r="D73" s="11">
        <v>18</v>
      </c>
      <c r="E73" s="75"/>
      <c r="F73" s="11" t="s">
        <v>2332</v>
      </c>
      <c r="G73" s="11">
        <v>0</v>
      </c>
      <c r="H73" s="6">
        <v>0</v>
      </c>
      <c r="I73" s="75"/>
      <c r="J73" s="6" t="b">
        <v>0</v>
      </c>
      <c r="K73" t="str">
        <f>IFERROR(HYPERLINK("#Main!A"&amp;MATCH(A73,Main!A:A,0),"Open"),HYPERLINK("#Main!A1","Open"))</f>
        <v>Open</v>
      </c>
    </row>
    <row r="74" spans="1:12" ht="30" customHeight="1" x14ac:dyDescent="0.25">
      <c r="A74" s="59" t="s">
        <v>774</v>
      </c>
      <c r="B74" s="8">
        <v>5</v>
      </c>
      <c r="C74" s="51" t="s">
        <v>2333</v>
      </c>
      <c r="D74" s="8">
        <v>5</v>
      </c>
      <c r="E74" s="74"/>
      <c r="F74" s="8" t="s">
        <v>2263</v>
      </c>
      <c r="G74" s="8">
        <v>0</v>
      </c>
      <c r="H74" s="6">
        <v>0</v>
      </c>
      <c r="I74" s="74"/>
      <c r="J74" s="6" t="b">
        <v>0</v>
      </c>
      <c r="K74" s="9" t="str">
        <f>IFERROR(HYPERLINK("#Main!A"&amp;MATCH(A74,Main!A:A,0),"Open"),HYPERLINK("#Main!A1","Open"))</f>
        <v>Open</v>
      </c>
      <c r="L74" s="9"/>
    </row>
    <row r="75" spans="1:12" ht="30" customHeight="1" x14ac:dyDescent="0.25">
      <c r="A75" s="58" t="s">
        <v>750</v>
      </c>
      <c r="B75" s="11">
        <v>9</v>
      </c>
      <c r="C75" s="55" t="s">
        <v>2334</v>
      </c>
      <c r="D75" s="11">
        <v>9</v>
      </c>
      <c r="E75" s="75"/>
      <c r="F75" s="11" t="s">
        <v>2279</v>
      </c>
      <c r="G75" s="11">
        <v>0</v>
      </c>
      <c r="H75" s="6">
        <v>0</v>
      </c>
      <c r="I75" s="75"/>
      <c r="J75" s="6" t="b">
        <v>0</v>
      </c>
      <c r="K75" t="str">
        <f>IFERROR(HYPERLINK("#Main!A"&amp;MATCH(A75,Main!A:A,0),"Open"),HYPERLINK("#Main!A1","Open"))</f>
        <v>Open</v>
      </c>
    </row>
    <row r="76" spans="1:12" ht="30" customHeight="1" x14ac:dyDescent="0.25">
      <c r="A76" s="59" t="s">
        <v>465</v>
      </c>
      <c r="B76" s="8">
        <v>20</v>
      </c>
      <c r="C76" s="51" t="s">
        <v>2335</v>
      </c>
      <c r="D76" s="8">
        <v>6</v>
      </c>
      <c r="E76" s="74"/>
      <c r="F76" s="8" t="s">
        <v>2336</v>
      </c>
      <c r="G76" s="8">
        <v>0</v>
      </c>
      <c r="H76" s="6">
        <v>0</v>
      </c>
      <c r="I76" s="74"/>
      <c r="J76" s="6" t="b">
        <v>0</v>
      </c>
      <c r="K76" s="9" t="str">
        <f>IFERROR(HYPERLINK("#Main!A"&amp;MATCH(A76,Main!A:A,0),"Open"),HYPERLINK("#Main!A1","Open"))</f>
        <v>Open</v>
      </c>
      <c r="L76" s="9"/>
    </row>
    <row r="77" spans="1:12" ht="30" customHeight="1" x14ac:dyDescent="0.25">
      <c r="A77" s="58" t="s">
        <v>457</v>
      </c>
      <c r="B77" s="11">
        <v>6</v>
      </c>
      <c r="C77" s="55" t="s">
        <v>2337</v>
      </c>
      <c r="D77" s="11">
        <v>5</v>
      </c>
      <c r="E77" s="75"/>
      <c r="F77" s="11" t="s">
        <v>2221</v>
      </c>
      <c r="G77" s="11">
        <v>0</v>
      </c>
      <c r="H77" s="6">
        <v>0</v>
      </c>
      <c r="I77" s="75"/>
      <c r="J77" s="6" t="b">
        <v>0</v>
      </c>
      <c r="K77" t="str">
        <f>IFERROR(HYPERLINK("#Main!A"&amp;MATCH(A77,Main!A:A,0),"Open"),HYPERLINK("#Main!A1","Open"))</f>
        <v>Open</v>
      </c>
    </row>
    <row r="78" spans="1:12" ht="30" customHeight="1" x14ac:dyDescent="0.25">
      <c r="A78" s="59" t="s">
        <v>449</v>
      </c>
      <c r="B78" s="8">
        <v>2</v>
      </c>
      <c r="C78" s="51" t="s">
        <v>2338</v>
      </c>
      <c r="D78" s="8">
        <v>2</v>
      </c>
      <c r="E78" s="74"/>
      <c r="F78" s="8" t="s">
        <v>2330</v>
      </c>
      <c r="G78" s="8">
        <v>0</v>
      </c>
      <c r="H78" s="6">
        <v>0</v>
      </c>
      <c r="I78" s="74"/>
      <c r="J78" s="6" t="b">
        <v>0</v>
      </c>
      <c r="K78" s="9" t="str">
        <f>IFERROR(HYPERLINK("#Main!A"&amp;MATCH(A78,Main!A:A,0),"Open"),HYPERLINK("#Main!A1","Open"))</f>
        <v>Open</v>
      </c>
      <c r="L78" s="9"/>
    </row>
    <row r="79" spans="1:12" ht="30" customHeight="1" x14ac:dyDescent="0.25">
      <c r="A79" s="58" t="s">
        <v>444</v>
      </c>
      <c r="B79" s="11">
        <v>5</v>
      </c>
      <c r="C79" s="55" t="s">
        <v>2339</v>
      </c>
      <c r="D79" s="11">
        <v>5</v>
      </c>
      <c r="E79" s="75"/>
      <c r="F79" s="11" t="s">
        <v>2263</v>
      </c>
      <c r="G79" s="11">
        <v>0</v>
      </c>
      <c r="H79" s="6">
        <v>0</v>
      </c>
      <c r="I79" s="75"/>
      <c r="J79" s="6" t="b">
        <v>0</v>
      </c>
      <c r="K79" t="str">
        <f>IFERROR(HYPERLINK("#Main!A"&amp;MATCH(A79,Main!A:A,0),"Open"),HYPERLINK("#Main!A1","Open"))</f>
        <v>Open</v>
      </c>
    </row>
    <row r="80" spans="1:12" ht="30" customHeight="1" x14ac:dyDescent="0.25">
      <c r="A80" s="59" t="s">
        <v>330</v>
      </c>
      <c r="B80" s="8">
        <v>5</v>
      </c>
      <c r="C80" s="51" t="s">
        <v>2340</v>
      </c>
      <c r="D80" s="8">
        <v>5</v>
      </c>
      <c r="E80" s="74"/>
      <c r="F80" s="8" t="s">
        <v>2263</v>
      </c>
      <c r="G80" s="8">
        <v>0</v>
      </c>
      <c r="H80" s="6">
        <v>0</v>
      </c>
      <c r="I80" s="74"/>
      <c r="J80" s="6" t="b">
        <v>0</v>
      </c>
      <c r="K80" s="9" t="str">
        <f>IFERROR(HYPERLINK("#Main!A"&amp;MATCH(A80,Main!A:A,0),"Open"),HYPERLINK("#Main!A1","Open"))</f>
        <v>Open</v>
      </c>
      <c r="L80" s="9"/>
    </row>
    <row r="81" spans="1:12" ht="30" customHeight="1" x14ac:dyDescent="0.25">
      <c r="A81" s="58" t="s">
        <v>782</v>
      </c>
      <c r="B81" s="11">
        <v>5</v>
      </c>
      <c r="C81" s="55" t="s">
        <v>2341</v>
      </c>
      <c r="D81" s="11">
        <v>5</v>
      </c>
      <c r="E81" s="75"/>
      <c r="F81" s="11" t="s">
        <v>2263</v>
      </c>
      <c r="G81" s="11">
        <v>0</v>
      </c>
      <c r="H81" s="6">
        <v>0</v>
      </c>
      <c r="I81" s="75"/>
      <c r="J81" s="6" t="b">
        <v>0</v>
      </c>
      <c r="K81" t="str">
        <f>IFERROR(HYPERLINK("#Main!A"&amp;MATCH(A81,Main!A:A,0),"Open"),HYPERLINK("#Main!A1","Open"))</f>
        <v>Open</v>
      </c>
    </row>
    <row r="82" spans="1:12" ht="30" customHeight="1" x14ac:dyDescent="0.25">
      <c r="A82" s="59" t="s">
        <v>720</v>
      </c>
      <c r="B82" s="8">
        <v>7</v>
      </c>
      <c r="C82" s="51" t="s">
        <v>2342</v>
      </c>
      <c r="D82" s="8">
        <v>5</v>
      </c>
      <c r="E82" s="74"/>
      <c r="F82" s="8" t="s">
        <v>2221</v>
      </c>
      <c r="G82" s="8">
        <v>0</v>
      </c>
      <c r="H82" s="6">
        <v>0</v>
      </c>
      <c r="I82" s="74"/>
      <c r="J82" s="6" t="b">
        <v>0</v>
      </c>
      <c r="K82" s="9" t="str">
        <f>IFERROR(HYPERLINK("#Main!A"&amp;MATCH(A82,Main!A:A,0),"Open"),HYPERLINK("#Main!A1","Open"))</f>
        <v>Open</v>
      </c>
      <c r="L82" s="9"/>
    </row>
    <row r="83" spans="1:12" ht="30" customHeight="1" x14ac:dyDescent="0.25">
      <c r="A83" s="58" t="s">
        <v>635</v>
      </c>
      <c r="B83" s="11">
        <v>5</v>
      </c>
      <c r="C83" s="55" t="s">
        <v>2343</v>
      </c>
      <c r="D83" s="11">
        <v>5</v>
      </c>
      <c r="E83" s="75"/>
      <c r="F83" s="11" t="s">
        <v>2263</v>
      </c>
      <c r="G83" s="11">
        <v>0</v>
      </c>
      <c r="H83" s="6">
        <v>0</v>
      </c>
      <c r="I83" s="75"/>
      <c r="J83" s="6" t="b">
        <v>0</v>
      </c>
      <c r="K83" t="str">
        <f>IFERROR(HYPERLINK("#Main!A"&amp;MATCH(A83,Main!A:A,0),"Open"),HYPERLINK("#Main!A1","Open"))</f>
        <v>Open</v>
      </c>
    </row>
    <row r="84" spans="1:12" ht="30" customHeight="1" x14ac:dyDescent="0.25">
      <c r="A84" s="59" t="s">
        <v>180</v>
      </c>
      <c r="B84" s="8">
        <v>15</v>
      </c>
      <c r="C84" s="51" t="s">
        <v>2344</v>
      </c>
      <c r="D84" s="8">
        <v>15</v>
      </c>
      <c r="E84" s="74"/>
      <c r="F84" s="8" t="s">
        <v>2345</v>
      </c>
      <c r="G84" s="8">
        <v>0</v>
      </c>
      <c r="H84" s="6">
        <v>0</v>
      </c>
      <c r="I84" s="74"/>
      <c r="J84" s="6" t="b">
        <v>0</v>
      </c>
      <c r="K84" s="9" t="str">
        <f>IFERROR(HYPERLINK("#Main!A"&amp;MATCH(A84,Main!A:A,0),"Open"),HYPERLINK("#Main!A1","Open"))</f>
        <v>Open</v>
      </c>
      <c r="L84" s="9"/>
    </row>
    <row r="85" spans="1:12" ht="30" customHeight="1" x14ac:dyDescent="0.25">
      <c r="A85" s="58" t="s">
        <v>698</v>
      </c>
      <c r="B85" s="11">
        <v>18</v>
      </c>
      <c r="C85" s="55" t="s">
        <v>2346</v>
      </c>
      <c r="D85" s="11">
        <v>8</v>
      </c>
      <c r="E85" s="75"/>
      <c r="F85" s="11" t="s">
        <v>2347</v>
      </c>
      <c r="G85" s="11">
        <v>0</v>
      </c>
      <c r="H85" s="6">
        <v>0</v>
      </c>
      <c r="I85" s="75"/>
      <c r="J85" s="6" t="b">
        <v>0</v>
      </c>
      <c r="K85" t="str">
        <f>IFERROR(HYPERLINK("#Main!A"&amp;MATCH(A85,Main!A:A,0),"Open"),HYPERLINK("#Main!A1","Open"))</f>
        <v>Open</v>
      </c>
    </row>
    <row r="86" spans="1:12" ht="30" customHeight="1" x14ac:dyDescent="0.25">
      <c r="A86" s="59" t="s">
        <v>666</v>
      </c>
      <c r="B86" s="8">
        <v>5</v>
      </c>
      <c r="C86" s="51" t="s">
        <v>2348</v>
      </c>
      <c r="D86" s="8">
        <v>5</v>
      </c>
      <c r="E86" s="74"/>
      <c r="F86" s="8" t="s">
        <v>2263</v>
      </c>
      <c r="G86" s="8">
        <v>0</v>
      </c>
      <c r="H86" s="6">
        <v>0</v>
      </c>
      <c r="I86" s="74"/>
      <c r="J86" s="6" t="b">
        <v>0</v>
      </c>
      <c r="K86" s="9" t="str">
        <f>IFERROR(HYPERLINK("#Main!A"&amp;MATCH(A86,Main!A:A,0),"Open"),HYPERLINK("#Main!A1","Open"))</f>
        <v>Open</v>
      </c>
      <c r="L86" s="9"/>
    </row>
  </sheetData>
  <autoFilter ref="A1:L86" xr:uid="{00000000-0009-0000-0000-000012000000}"/>
  <dataValidations count="12">
    <dataValidation type="custom" allowBlank="1" showInputMessage="1" promptTitle="URL" prompt="URL. Use this URL to inspect the page directly or jump to related tabs." sqref="A1" xr:uid="{00000000-0002-0000-1200-000000000000}">
      <formula1>TRUE</formula1>
    </dataValidation>
    <dataValidation type="custom" allowBlank="1" showInputMessage="1" promptTitle="Image Count" prompt="Image Count. Review this metric to identify risk, then use linked tabs for details and remediation." sqref="B1" xr:uid="{00000000-0002-0000-1200-000001000000}">
      <formula1>TRUE</formula1>
    </dataValidation>
    <dataValidation type="custom" allowBlank="1" showInputMessage="1" promptTitle="Images" prompt="Images. Review this metric to identify risk, then use linked tabs for details and remediation." sqref="C1" xr:uid="{00000000-0002-0000-1200-000002000000}">
      <formula1>TRUE</formula1>
    </dataValidation>
    <dataValidation type="custom" allowBlank="1" showInputMessage="1" promptTitle="Images Missing Alt" prompt="Images Missing Alt. Review this metric to identify risk, then use linked tabs for details and remediation." sqref="D1" xr:uid="{00000000-0002-0000-1200-000003000000}">
      <formula1>TRUE</formula1>
    </dataValidation>
    <dataValidation type="custom" allowBlank="1" showInputMessage="1" promptTitle="Image Alt Coverage (%)" prompt="Image Alt Coverage (%). Review this metric to identify risk, then use linked tabs for details and remediation." sqref="E1" xr:uid="{00000000-0002-0000-1200-000004000000}">
      <formula1>TRUE</formula1>
    </dataValidation>
    <dataValidation type="custom" allowBlank="1" showInputMessage="1" promptTitle="Image Extension Distribution" prompt="Image Extension Distribution. Review this metric to identify risk, then use linked tabs for details and remediation." sqref="F1" xr:uid="{00000000-0002-0000-1200-000005000000}">
      <formula1>TRUE</formula1>
    </dataValidation>
    <dataValidation type="custom" allowBlank="1" showInputMessage="1" promptTitle="Likely Large Image Count" prompt="Likely Large Image Count. Review this metric to identify risk, then use linked tabs for details and remediation." sqref="G1" xr:uid="{00000000-0002-0000-1200-000006000000}">
      <formula1>TRUE</formula1>
    </dataValidation>
    <dataValidation type="custom" allowBlank="1" showInputMessage="1" promptTitle="Image Filename Quality Issues" prompt="Image Filename Quality Issues. Review this metric to identify risk, then use linked tabs for details and remediation." sqref="H1" xr:uid="{00000000-0002-0000-1200-000007000000}">
      <formula1>TRUE</formula1>
    </dataValidation>
    <dataValidation type="custom" allowBlank="1" showInputMessage="1" promptTitle="Image On Canonical Domain (%)" prompt="Indexing/canonicalization signal. Fix: ensure indexable pages use correct canonicals and non-conflicting directives." sqref="I1" xr:uid="{00000000-0002-0000-1200-000008000000}">
      <formula1>TRUE</formula1>
    </dataValidation>
    <dataValidation type="custom" allowBlank="1" showInputMessage="1" promptTitle="Mixed Content Detected" prompt="Mixed Content Detected. Review this metric to identify risk, then use linked tabs for details and remediation." sqref="J1" xr:uid="{00000000-0002-0000-1200-000009000000}">
      <formula1>TRUE</formula1>
    </dataValidation>
    <dataValidation type="custom" allowBlank="1" showInputMessage="1" promptTitle="Open in Main" prompt="Navigation helper. Click to jump directly to the related record in another tab." sqref="K1" xr:uid="{00000000-0002-0000-1200-00000A000000}">
      <formula1>TRUE</formula1>
    </dataValidation>
    <dataValidation type="custom" allowBlank="1" showInputMessage="1" promptTitle="BACK TO DASHBOARD" prompt="BACK TO DASHBOARD. Review this metric to identify risk, then use linked tabs for details and remediation." sqref="L1" xr:uid="{00000000-0002-0000-1200-00000B000000}">
      <formula1>TRUE</formula1>
    </dataValidation>
  </dataValidations>
  <hyperlinks>
    <hyperlink ref="L1" location="Dashboard!A1" display="BACK TO DASHBOARD" xr:uid="{00000000-0004-0000-1200-000000000000}"/>
    <hyperlink ref="A2" r:id="rId1" xr:uid="{00000000-0004-0000-1200-000001000000}"/>
    <hyperlink ref="A3" r:id="rId2" xr:uid="{00000000-0004-0000-1200-000002000000}"/>
    <hyperlink ref="A4" r:id="rId3" xr:uid="{00000000-0004-0000-1200-000003000000}"/>
    <hyperlink ref="A5" r:id="rId4" xr:uid="{00000000-0004-0000-1200-000004000000}"/>
    <hyperlink ref="A6" r:id="rId5" xr:uid="{00000000-0004-0000-1200-000005000000}"/>
    <hyperlink ref="A7" r:id="rId6" xr:uid="{00000000-0004-0000-1200-000006000000}"/>
    <hyperlink ref="A8" r:id="rId7" xr:uid="{00000000-0004-0000-1200-000007000000}"/>
    <hyperlink ref="A9" r:id="rId8" xr:uid="{00000000-0004-0000-1200-000008000000}"/>
    <hyperlink ref="A10" r:id="rId9" xr:uid="{00000000-0004-0000-1200-000009000000}"/>
    <hyperlink ref="A11" r:id="rId10" xr:uid="{00000000-0004-0000-1200-00000A000000}"/>
    <hyperlink ref="A12" r:id="rId11" xr:uid="{00000000-0004-0000-1200-00000B000000}"/>
    <hyperlink ref="A13" r:id="rId12" xr:uid="{00000000-0004-0000-1200-00000C000000}"/>
    <hyperlink ref="A14" r:id="rId13" xr:uid="{00000000-0004-0000-1200-00000D000000}"/>
    <hyperlink ref="A15" r:id="rId14" xr:uid="{00000000-0004-0000-1200-00000E000000}"/>
    <hyperlink ref="A16" r:id="rId15" xr:uid="{00000000-0004-0000-1200-00000F000000}"/>
    <hyperlink ref="A17" r:id="rId16" xr:uid="{00000000-0004-0000-1200-000010000000}"/>
    <hyperlink ref="A18" r:id="rId17" xr:uid="{00000000-0004-0000-1200-000011000000}"/>
    <hyperlink ref="A19" r:id="rId18" xr:uid="{00000000-0004-0000-1200-000012000000}"/>
    <hyperlink ref="A20" r:id="rId19" xr:uid="{00000000-0004-0000-1200-000013000000}"/>
    <hyperlink ref="A21" r:id="rId20" xr:uid="{00000000-0004-0000-1200-000014000000}"/>
    <hyperlink ref="A22" r:id="rId21" xr:uid="{00000000-0004-0000-1200-000015000000}"/>
    <hyperlink ref="A23" r:id="rId22" xr:uid="{00000000-0004-0000-1200-000016000000}"/>
    <hyperlink ref="A24" r:id="rId23" xr:uid="{00000000-0004-0000-1200-000017000000}"/>
    <hyperlink ref="A25" r:id="rId24" xr:uid="{00000000-0004-0000-1200-000018000000}"/>
    <hyperlink ref="A26" r:id="rId25" xr:uid="{00000000-0004-0000-1200-000019000000}"/>
    <hyperlink ref="A27" r:id="rId26" xr:uid="{00000000-0004-0000-1200-00001A000000}"/>
    <hyperlink ref="A28" r:id="rId27" xr:uid="{00000000-0004-0000-1200-00001B000000}"/>
    <hyperlink ref="A29" r:id="rId28" xr:uid="{00000000-0004-0000-1200-00001C000000}"/>
    <hyperlink ref="A30" r:id="rId29" xr:uid="{00000000-0004-0000-1200-00001D000000}"/>
    <hyperlink ref="A31" r:id="rId30" xr:uid="{00000000-0004-0000-1200-00001E000000}"/>
    <hyperlink ref="A32" r:id="rId31" xr:uid="{00000000-0004-0000-1200-00001F000000}"/>
    <hyperlink ref="A33" r:id="rId32" xr:uid="{00000000-0004-0000-1200-000020000000}"/>
    <hyperlink ref="A34" r:id="rId33" xr:uid="{00000000-0004-0000-1200-000021000000}"/>
    <hyperlink ref="A35" r:id="rId34" xr:uid="{00000000-0004-0000-1200-000022000000}"/>
    <hyperlink ref="A36" r:id="rId35" xr:uid="{00000000-0004-0000-1200-000023000000}"/>
    <hyperlink ref="A37" r:id="rId36" xr:uid="{00000000-0004-0000-1200-000024000000}"/>
    <hyperlink ref="A38" r:id="rId37" xr:uid="{00000000-0004-0000-1200-000025000000}"/>
    <hyperlink ref="A39" r:id="rId38" xr:uid="{00000000-0004-0000-1200-000026000000}"/>
    <hyperlink ref="A40" r:id="rId39" xr:uid="{00000000-0004-0000-1200-000027000000}"/>
    <hyperlink ref="A41" r:id="rId40" xr:uid="{00000000-0004-0000-1200-000028000000}"/>
    <hyperlink ref="A42" r:id="rId41" xr:uid="{00000000-0004-0000-1200-000029000000}"/>
    <hyperlink ref="A43" r:id="rId42" xr:uid="{00000000-0004-0000-1200-00002A000000}"/>
    <hyperlink ref="A44" r:id="rId43" xr:uid="{00000000-0004-0000-1200-00002B000000}"/>
    <hyperlink ref="A45" r:id="rId44" xr:uid="{00000000-0004-0000-1200-00002C000000}"/>
    <hyperlink ref="A46" r:id="rId45" xr:uid="{00000000-0004-0000-1200-00002D000000}"/>
    <hyperlink ref="A47" r:id="rId46" xr:uid="{00000000-0004-0000-1200-00002E000000}"/>
    <hyperlink ref="A48" r:id="rId47" xr:uid="{00000000-0004-0000-1200-00002F000000}"/>
    <hyperlink ref="A49" r:id="rId48" xr:uid="{00000000-0004-0000-1200-000030000000}"/>
    <hyperlink ref="A50" r:id="rId49" xr:uid="{00000000-0004-0000-1200-000031000000}"/>
    <hyperlink ref="A51" r:id="rId50" xr:uid="{00000000-0004-0000-1200-000032000000}"/>
    <hyperlink ref="A52" r:id="rId51" xr:uid="{00000000-0004-0000-1200-000033000000}"/>
    <hyperlink ref="A53" r:id="rId52" xr:uid="{00000000-0004-0000-1200-000034000000}"/>
    <hyperlink ref="A54" r:id="rId53" xr:uid="{00000000-0004-0000-1200-000035000000}"/>
    <hyperlink ref="A55" r:id="rId54" xr:uid="{00000000-0004-0000-1200-000036000000}"/>
    <hyperlink ref="A56" r:id="rId55" xr:uid="{00000000-0004-0000-1200-000037000000}"/>
    <hyperlink ref="A57" r:id="rId56" xr:uid="{00000000-0004-0000-1200-000038000000}"/>
    <hyperlink ref="A58" r:id="rId57" xr:uid="{00000000-0004-0000-1200-000039000000}"/>
    <hyperlink ref="A59" r:id="rId58" xr:uid="{00000000-0004-0000-1200-00003A000000}"/>
    <hyperlink ref="A60" r:id="rId59" xr:uid="{00000000-0004-0000-1200-00003B000000}"/>
    <hyperlink ref="A61" r:id="rId60" xr:uid="{00000000-0004-0000-1200-00003C000000}"/>
    <hyperlink ref="A62" r:id="rId61" xr:uid="{00000000-0004-0000-1200-00003D000000}"/>
    <hyperlink ref="A63" r:id="rId62" xr:uid="{00000000-0004-0000-1200-00003E000000}"/>
    <hyperlink ref="A64" r:id="rId63" xr:uid="{00000000-0004-0000-1200-00003F000000}"/>
    <hyperlink ref="A65" r:id="rId64" xr:uid="{00000000-0004-0000-1200-000040000000}"/>
    <hyperlink ref="A66" r:id="rId65" xr:uid="{00000000-0004-0000-1200-000041000000}"/>
    <hyperlink ref="A67" r:id="rId66" xr:uid="{00000000-0004-0000-1200-000042000000}"/>
    <hyperlink ref="A68" r:id="rId67" xr:uid="{00000000-0004-0000-1200-000043000000}"/>
    <hyperlink ref="A69" r:id="rId68" xr:uid="{00000000-0004-0000-1200-000044000000}"/>
    <hyperlink ref="A70" r:id="rId69" xr:uid="{00000000-0004-0000-1200-000045000000}"/>
    <hyperlink ref="A71" r:id="rId70" xr:uid="{00000000-0004-0000-1200-000046000000}"/>
    <hyperlink ref="A72" r:id="rId71" xr:uid="{00000000-0004-0000-1200-000047000000}"/>
    <hyperlink ref="A73" r:id="rId72" xr:uid="{00000000-0004-0000-1200-000048000000}"/>
    <hyperlink ref="A74" r:id="rId73" xr:uid="{00000000-0004-0000-1200-000049000000}"/>
    <hyperlink ref="A75" r:id="rId74" xr:uid="{00000000-0004-0000-1200-00004A000000}"/>
    <hyperlink ref="A76" r:id="rId75" xr:uid="{00000000-0004-0000-1200-00004B000000}"/>
    <hyperlink ref="A77" r:id="rId76" xr:uid="{00000000-0004-0000-1200-00004C000000}"/>
    <hyperlink ref="A78" r:id="rId77" xr:uid="{00000000-0004-0000-1200-00004D000000}"/>
    <hyperlink ref="A79" r:id="rId78" xr:uid="{00000000-0004-0000-1200-00004E000000}"/>
    <hyperlink ref="A80" r:id="rId79" xr:uid="{00000000-0004-0000-1200-00004F000000}"/>
    <hyperlink ref="A81" r:id="rId80" xr:uid="{00000000-0004-0000-1200-000050000000}"/>
    <hyperlink ref="A82" r:id="rId81" xr:uid="{00000000-0004-0000-1200-000051000000}"/>
    <hyperlink ref="A83" r:id="rId82" xr:uid="{00000000-0004-0000-1200-000052000000}"/>
    <hyperlink ref="A84" r:id="rId83" xr:uid="{00000000-0004-0000-1200-000053000000}"/>
    <hyperlink ref="A85" r:id="rId84" xr:uid="{00000000-0004-0000-1200-000054000000}"/>
    <hyperlink ref="A86" r:id="rId85" xr:uid="{00000000-0004-0000-1200-000055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86"/>
  <sheetViews>
    <sheetView workbookViewId="0">
      <pane ySplit="1" topLeftCell="A2" activePane="bottomLeft" state="frozen"/>
      <selection pane="bottomLeft"/>
    </sheetView>
  </sheetViews>
  <sheetFormatPr defaultRowHeight="15" x14ac:dyDescent="0.25"/>
  <cols>
    <col min="1" max="1" width="45" customWidth="1"/>
    <col min="2" max="2" width="23" customWidth="1"/>
    <col min="3" max="3" width="34" customWidth="1"/>
    <col min="4" max="5" width="60" customWidth="1"/>
  </cols>
  <sheetData>
    <row r="1" spans="1:7" ht="45" x14ac:dyDescent="0.25">
      <c r="A1" s="4" t="s">
        <v>118</v>
      </c>
      <c r="B1" s="4" t="s">
        <v>2349</v>
      </c>
      <c r="C1" s="4" t="s">
        <v>2350</v>
      </c>
      <c r="D1" s="4" t="s">
        <v>2351</v>
      </c>
      <c r="E1" s="4" t="s">
        <v>2352</v>
      </c>
      <c r="F1" s="5" t="s">
        <v>135</v>
      </c>
      <c r="G1" s="39" t="s">
        <v>136</v>
      </c>
    </row>
    <row r="2" spans="1:7" ht="30" customHeight="1" x14ac:dyDescent="0.25">
      <c r="A2" s="59" t="s">
        <v>682</v>
      </c>
      <c r="B2" s="8">
        <v>1</v>
      </c>
      <c r="C2" s="8">
        <v>1</v>
      </c>
      <c r="D2" s="51"/>
      <c r="E2" s="51"/>
      <c r="F2" s="9" t="str">
        <f>IFERROR(HYPERLINK("#Main!A"&amp;MATCH(A2,Main!A:A,0),"Open"),HYPERLINK("#Main!A1","Open"))</f>
        <v>Open</v>
      </c>
      <c r="G2" s="9"/>
    </row>
    <row r="3" spans="1:7" ht="15.75" x14ac:dyDescent="0.25">
      <c r="A3" s="58" t="s">
        <v>140</v>
      </c>
      <c r="B3" s="11">
        <v>1</v>
      </c>
      <c r="C3" s="11">
        <v>1</v>
      </c>
      <c r="D3" s="55"/>
      <c r="E3" s="55"/>
      <c r="F3" t="str">
        <f>IFERROR(HYPERLINK("#Main!A"&amp;MATCH(A3,Main!A:A,0),"Open"),HYPERLINK("#Main!A1","Open"))</f>
        <v>Open</v>
      </c>
    </row>
    <row r="4" spans="1:7" ht="30" customHeight="1" x14ac:dyDescent="0.25">
      <c r="A4" s="59" t="s">
        <v>674</v>
      </c>
      <c r="B4" s="8">
        <v>1</v>
      </c>
      <c r="C4" s="8">
        <v>1</v>
      </c>
      <c r="D4" s="51"/>
      <c r="E4" s="51"/>
      <c r="F4" s="9" t="str">
        <f>IFERROR(HYPERLINK("#Main!A"&amp;MATCH(A4,Main!A:A,0),"Open"),HYPERLINK("#Main!A1","Open"))</f>
        <v>Open</v>
      </c>
      <c r="G4" s="9"/>
    </row>
    <row r="5" spans="1:7" ht="30" customHeight="1" x14ac:dyDescent="0.25">
      <c r="A5" s="58" t="s">
        <v>642</v>
      </c>
      <c r="B5" s="11">
        <v>1</v>
      </c>
      <c r="C5" s="11">
        <v>1</v>
      </c>
      <c r="D5" s="55"/>
      <c r="E5" s="55"/>
      <c r="F5" t="str">
        <f>IFERROR(HYPERLINK("#Main!A"&amp;MATCH(A5,Main!A:A,0),"Open"),HYPERLINK("#Main!A1","Open"))</f>
        <v>Open</v>
      </c>
    </row>
    <row r="6" spans="1:7" ht="30" customHeight="1" x14ac:dyDescent="0.25">
      <c r="A6" s="59" t="s">
        <v>322</v>
      </c>
      <c r="B6" s="8">
        <v>1</v>
      </c>
      <c r="C6" s="8">
        <v>1</v>
      </c>
      <c r="D6" s="51"/>
      <c r="E6" s="51"/>
      <c r="F6" s="9" t="str">
        <f>IFERROR(HYPERLINK("#Main!A"&amp;MATCH(A6,Main!A:A,0),"Open"),HYPERLINK("#Main!A1","Open"))</f>
        <v>Open</v>
      </c>
      <c r="G6" s="9"/>
    </row>
    <row r="7" spans="1:7" ht="30" customHeight="1" x14ac:dyDescent="0.25">
      <c r="A7" s="58" t="s">
        <v>519</v>
      </c>
      <c r="B7" s="11">
        <v>1</v>
      </c>
      <c r="C7" s="11">
        <v>1</v>
      </c>
      <c r="D7" s="55"/>
      <c r="E7" s="55"/>
      <c r="F7" t="str">
        <f>IFERROR(HYPERLINK("#Main!A"&amp;MATCH(A7,Main!A:A,0),"Open"),HYPERLINK("#Main!A1","Open"))</f>
        <v>Open</v>
      </c>
    </row>
    <row r="8" spans="1:7" ht="30" customHeight="1" x14ac:dyDescent="0.25">
      <c r="A8" s="59" t="s">
        <v>551</v>
      </c>
      <c r="B8" s="8">
        <v>1</v>
      </c>
      <c r="C8" s="8">
        <v>1</v>
      </c>
      <c r="D8" s="51"/>
      <c r="E8" s="51"/>
      <c r="F8" s="9" t="str">
        <f>IFERROR(HYPERLINK("#Main!A"&amp;MATCH(A8,Main!A:A,0),"Open"),HYPERLINK("#Main!A1","Open"))</f>
        <v>Open</v>
      </c>
      <c r="G8" s="9"/>
    </row>
    <row r="9" spans="1:7" ht="30" customHeight="1" x14ac:dyDescent="0.25">
      <c r="A9" s="58" t="s">
        <v>606</v>
      </c>
      <c r="B9" s="11">
        <v>1</v>
      </c>
      <c r="C9" s="11">
        <v>1</v>
      </c>
      <c r="D9" s="55"/>
      <c r="E9" s="55"/>
      <c r="F9" t="str">
        <f>IFERROR(HYPERLINK("#Main!A"&amp;MATCH(A9,Main!A:A,0),"Open"),HYPERLINK("#Main!A1","Open"))</f>
        <v>Open</v>
      </c>
    </row>
    <row r="10" spans="1:7" ht="30" customHeight="1" x14ac:dyDescent="0.25">
      <c r="A10" s="59" t="s">
        <v>512</v>
      </c>
      <c r="B10" s="8">
        <v>1</v>
      </c>
      <c r="C10" s="8">
        <v>2</v>
      </c>
      <c r="D10" s="51"/>
      <c r="E10" s="51" t="s">
        <v>2353</v>
      </c>
      <c r="F10" s="9" t="str">
        <f>IFERROR(HYPERLINK("#Main!A"&amp;MATCH(A10,Main!A:A,0),"Open"),HYPERLINK("#Main!A1","Open"))</f>
        <v>Open</v>
      </c>
      <c r="G10" s="9"/>
    </row>
    <row r="11" spans="1:7" ht="30" customHeight="1" x14ac:dyDescent="0.25">
      <c r="A11" s="58" t="s">
        <v>582</v>
      </c>
      <c r="B11" s="11">
        <v>1</v>
      </c>
      <c r="C11" s="11">
        <v>1</v>
      </c>
      <c r="D11" s="55"/>
      <c r="E11" s="55"/>
      <c r="F11" t="str">
        <f>IFERROR(HYPERLINK("#Main!A"&amp;MATCH(A11,Main!A:A,0),"Open"),HYPERLINK("#Main!A1","Open"))</f>
        <v>Open</v>
      </c>
    </row>
    <row r="12" spans="1:7" ht="30" customHeight="1" x14ac:dyDescent="0.25">
      <c r="A12" s="59" t="s">
        <v>658</v>
      </c>
      <c r="B12" s="8">
        <v>1</v>
      </c>
      <c r="C12" s="8">
        <v>1</v>
      </c>
      <c r="D12" s="51"/>
      <c r="E12" s="51"/>
      <c r="F12" s="9" t="str">
        <f>IFERROR(HYPERLINK("#Main!A"&amp;MATCH(A12,Main!A:A,0),"Open"),HYPERLINK("#Main!A1","Open"))</f>
        <v>Open</v>
      </c>
      <c r="G12" s="9"/>
    </row>
    <row r="13" spans="1:7" ht="30" customHeight="1" x14ac:dyDescent="0.25">
      <c r="A13" s="58" t="s">
        <v>156</v>
      </c>
      <c r="B13" s="11">
        <v>1</v>
      </c>
      <c r="C13" s="11">
        <v>1</v>
      </c>
      <c r="D13" s="55"/>
      <c r="E13" s="55"/>
      <c r="F13" t="str">
        <f>IFERROR(HYPERLINK("#Main!A"&amp;MATCH(A13,Main!A:A,0),"Open"),HYPERLINK("#Main!A1","Open"))</f>
        <v>Open</v>
      </c>
    </row>
    <row r="14" spans="1:7" ht="30" customHeight="1" x14ac:dyDescent="0.25">
      <c r="A14" s="59" t="s">
        <v>650</v>
      </c>
      <c r="B14" s="8">
        <v>1</v>
      </c>
      <c r="C14" s="8">
        <v>1</v>
      </c>
      <c r="D14" s="51"/>
      <c r="E14" s="51"/>
      <c r="F14" s="9" t="str">
        <f>IFERROR(HYPERLINK("#Main!A"&amp;MATCH(A14,Main!A:A,0),"Open"),HYPERLINK("#Main!A1","Open"))</f>
        <v>Open</v>
      </c>
      <c r="G14" s="9"/>
    </row>
    <row r="15" spans="1:7" ht="30" customHeight="1" x14ac:dyDescent="0.25">
      <c r="A15" s="58" t="s">
        <v>704</v>
      </c>
      <c r="B15" s="11">
        <v>1</v>
      </c>
      <c r="C15" s="11">
        <v>1</v>
      </c>
      <c r="D15" s="55"/>
      <c r="E15" s="55"/>
      <c r="F15" t="str">
        <f>IFERROR(HYPERLINK("#Main!A"&amp;MATCH(A15,Main!A:A,0),"Open"),HYPERLINK("#Main!A1","Open"))</f>
        <v>Open</v>
      </c>
    </row>
    <row r="16" spans="1:7" ht="30" customHeight="1" x14ac:dyDescent="0.25">
      <c r="A16" s="59" t="s">
        <v>148</v>
      </c>
      <c r="B16" s="8">
        <v>1</v>
      </c>
      <c r="C16" s="8">
        <v>1</v>
      </c>
      <c r="D16" s="51"/>
      <c r="E16" s="51"/>
      <c r="F16" s="9" t="str">
        <f>IFERROR(HYPERLINK("#Main!A"&amp;MATCH(A16,Main!A:A,0),"Open"),HYPERLINK("#Main!A1","Open"))</f>
        <v>Open</v>
      </c>
      <c r="G16" s="9"/>
    </row>
    <row r="17" spans="1:7" ht="30" customHeight="1" x14ac:dyDescent="0.25">
      <c r="A17" s="58" t="s">
        <v>497</v>
      </c>
      <c r="B17" s="11">
        <v>1</v>
      </c>
      <c r="C17" s="11">
        <v>2</v>
      </c>
      <c r="D17" s="55"/>
      <c r="E17" s="55" t="s">
        <v>2353</v>
      </c>
      <c r="F17" t="str">
        <f>IFERROR(HYPERLINK("#Main!A"&amp;MATCH(A17,Main!A:A,0),"Open"),HYPERLINK("#Main!A1","Open"))</f>
        <v>Open</v>
      </c>
    </row>
    <row r="18" spans="1:7" ht="30" customHeight="1" x14ac:dyDescent="0.25">
      <c r="A18" s="59" t="s">
        <v>505</v>
      </c>
      <c r="B18" s="8">
        <v>1</v>
      </c>
      <c r="C18" s="8">
        <v>1</v>
      </c>
      <c r="D18" s="51"/>
      <c r="E18" s="51"/>
      <c r="F18" s="9" t="str">
        <f>IFERROR(HYPERLINK("#Main!A"&amp;MATCH(A18,Main!A:A,0),"Open"),HYPERLINK("#Main!A1","Open"))</f>
        <v>Open</v>
      </c>
      <c r="G18" s="9"/>
    </row>
    <row r="19" spans="1:7" ht="30" customHeight="1" x14ac:dyDescent="0.25">
      <c r="A19" s="58" t="s">
        <v>690</v>
      </c>
      <c r="B19" s="11">
        <v>1</v>
      </c>
      <c r="C19" s="11">
        <v>1</v>
      </c>
      <c r="D19" s="55"/>
      <c r="E19" s="55"/>
      <c r="F19" t="str">
        <f>IFERROR(HYPERLINK("#Main!A"&amp;MATCH(A19,Main!A:A,0),"Open"),HYPERLINK("#Main!A1","Open"))</f>
        <v>Open</v>
      </c>
    </row>
    <row r="20" spans="1:7" ht="30" customHeight="1" x14ac:dyDescent="0.25">
      <c r="A20" s="59" t="s">
        <v>306</v>
      </c>
      <c r="B20" s="8">
        <v>1</v>
      </c>
      <c r="C20" s="8">
        <v>1</v>
      </c>
      <c r="D20" s="51"/>
      <c r="E20" s="51"/>
      <c r="F20" s="9" t="str">
        <f>IFERROR(HYPERLINK("#Main!A"&amp;MATCH(A20,Main!A:A,0),"Open"),HYPERLINK("#Main!A1","Open"))</f>
        <v>Open</v>
      </c>
      <c r="G20" s="9"/>
    </row>
    <row r="21" spans="1:7" ht="30" customHeight="1" x14ac:dyDescent="0.25">
      <c r="A21" s="58" t="s">
        <v>314</v>
      </c>
      <c r="B21" s="11">
        <v>1</v>
      </c>
      <c r="C21" s="11">
        <v>1</v>
      </c>
      <c r="D21" s="55"/>
      <c r="E21" s="55"/>
      <c r="F21" t="str">
        <f>IFERROR(HYPERLINK("#Main!A"&amp;MATCH(A21,Main!A:A,0),"Open"),HYPERLINK("#Main!A1","Open"))</f>
        <v>Open</v>
      </c>
    </row>
    <row r="22" spans="1:7" ht="30" customHeight="1" x14ac:dyDescent="0.25">
      <c r="A22" s="59" t="s">
        <v>366</v>
      </c>
      <c r="B22" s="8">
        <v>1</v>
      </c>
      <c r="C22" s="8">
        <v>1</v>
      </c>
      <c r="D22" s="51"/>
      <c r="E22" s="51"/>
      <c r="F22" s="9" t="str">
        <f>IFERROR(HYPERLINK("#Main!A"&amp;MATCH(A22,Main!A:A,0),"Open"),HYPERLINK("#Main!A1","Open"))</f>
        <v>Open</v>
      </c>
      <c r="G22" s="9"/>
    </row>
    <row r="23" spans="1:7" ht="30" customHeight="1" x14ac:dyDescent="0.25">
      <c r="A23" s="58" t="s">
        <v>417</v>
      </c>
      <c r="B23" s="11">
        <v>1</v>
      </c>
      <c r="C23" s="11">
        <v>1</v>
      </c>
      <c r="D23" s="55"/>
      <c r="E23" s="55"/>
      <c r="F23" t="str">
        <f>IFERROR(HYPERLINK("#Main!A"&amp;MATCH(A23,Main!A:A,0),"Open"),HYPERLINK("#Main!A1","Open"))</f>
        <v>Open</v>
      </c>
    </row>
    <row r="24" spans="1:7" ht="30" customHeight="1" x14ac:dyDescent="0.25">
      <c r="A24" s="59" t="s">
        <v>290</v>
      </c>
      <c r="B24" s="8">
        <v>1</v>
      </c>
      <c r="C24" s="8">
        <v>1</v>
      </c>
      <c r="D24" s="51"/>
      <c r="E24" s="51"/>
      <c r="F24" s="9" t="str">
        <f>IFERROR(HYPERLINK("#Main!A"&amp;MATCH(A24,Main!A:A,0),"Open"),HYPERLINK("#Main!A1","Open"))</f>
        <v>Open</v>
      </c>
      <c r="G24" s="9"/>
    </row>
    <row r="25" spans="1:7" ht="30" customHeight="1" x14ac:dyDescent="0.25">
      <c r="A25" s="58" t="s">
        <v>188</v>
      </c>
      <c r="B25" s="11">
        <v>1</v>
      </c>
      <c r="C25" s="11">
        <v>1</v>
      </c>
      <c r="D25" s="55"/>
      <c r="E25" s="55"/>
      <c r="F25" t="str">
        <f>IFERROR(HYPERLINK("#Main!A"&amp;MATCH(A25,Main!A:A,0),"Open"),HYPERLINK("#Main!A1","Open"))</f>
        <v>Open</v>
      </c>
    </row>
    <row r="26" spans="1:7" ht="30" customHeight="1" x14ac:dyDescent="0.25">
      <c r="A26" s="59" t="s">
        <v>242</v>
      </c>
      <c r="B26" s="8">
        <v>1</v>
      </c>
      <c r="C26" s="8">
        <v>1</v>
      </c>
      <c r="D26" s="51"/>
      <c r="E26" s="51"/>
      <c r="F26" s="9" t="str">
        <f>IFERROR(HYPERLINK("#Main!A"&amp;MATCH(A26,Main!A:A,0),"Open"),HYPERLINK("#Main!A1","Open"))</f>
        <v>Open</v>
      </c>
      <c r="G26" s="9"/>
    </row>
    <row r="27" spans="1:7" ht="30" customHeight="1" x14ac:dyDescent="0.25">
      <c r="A27" s="58" t="s">
        <v>574</v>
      </c>
      <c r="B27" s="11">
        <v>1</v>
      </c>
      <c r="C27" s="11">
        <v>1</v>
      </c>
      <c r="D27" s="55"/>
      <c r="E27" s="55"/>
      <c r="F27" t="str">
        <f>IFERROR(HYPERLINK("#Main!A"&amp;MATCH(A27,Main!A:A,0),"Open"),HYPERLINK("#Main!A1","Open"))</f>
        <v>Open</v>
      </c>
    </row>
    <row r="28" spans="1:7" ht="30" customHeight="1" x14ac:dyDescent="0.25">
      <c r="A28" s="59" t="s">
        <v>627</v>
      </c>
      <c r="B28" s="8">
        <v>1</v>
      </c>
      <c r="C28" s="8">
        <v>1</v>
      </c>
      <c r="D28" s="51"/>
      <c r="E28" s="51"/>
      <c r="F28" s="9" t="str">
        <f>IFERROR(HYPERLINK("#Main!A"&amp;MATCH(A28,Main!A:A,0),"Open"),HYPERLINK("#Main!A1","Open"))</f>
        <v>Open</v>
      </c>
      <c r="G28" s="9"/>
    </row>
    <row r="29" spans="1:7" ht="30" customHeight="1" x14ac:dyDescent="0.25">
      <c r="A29" s="58" t="s">
        <v>274</v>
      </c>
      <c r="B29" s="11">
        <v>1</v>
      </c>
      <c r="C29" s="11">
        <v>1</v>
      </c>
      <c r="D29" s="55"/>
      <c r="E29" s="55"/>
      <c r="F29" t="str">
        <f>IFERROR(HYPERLINK("#Main!A"&amp;MATCH(A29,Main!A:A,0),"Open"),HYPERLINK("#Main!A1","Open"))</f>
        <v>Open</v>
      </c>
    </row>
    <row r="30" spans="1:7" ht="30" customHeight="1" x14ac:dyDescent="0.25">
      <c r="A30" s="59" t="s">
        <v>401</v>
      </c>
      <c r="B30" s="8">
        <v>1</v>
      </c>
      <c r="C30" s="8">
        <v>1</v>
      </c>
      <c r="D30" s="51"/>
      <c r="E30" s="51"/>
      <c r="F30" s="9" t="str">
        <f>IFERROR(HYPERLINK("#Main!A"&amp;MATCH(A30,Main!A:A,0),"Open"),HYPERLINK("#Main!A1","Open"))</f>
        <v>Open</v>
      </c>
      <c r="G30" s="9"/>
    </row>
    <row r="31" spans="1:7" ht="30" customHeight="1" x14ac:dyDescent="0.25">
      <c r="A31" s="58" t="s">
        <v>298</v>
      </c>
      <c r="B31" s="11">
        <v>1</v>
      </c>
      <c r="C31" s="11">
        <v>1</v>
      </c>
      <c r="D31" s="55"/>
      <c r="E31" s="55"/>
      <c r="F31" t="str">
        <f>IFERROR(HYPERLINK("#Main!A"&amp;MATCH(A31,Main!A:A,0),"Open"),HYPERLINK("#Main!A1","Open"))</f>
        <v>Open</v>
      </c>
    </row>
    <row r="32" spans="1:7" ht="30" customHeight="1" x14ac:dyDescent="0.25">
      <c r="A32" s="59" t="s">
        <v>481</v>
      </c>
      <c r="B32" s="8">
        <v>1</v>
      </c>
      <c r="C32" s="8">
        <v>1</v>
      </c>
      <c r="D32" s="51"/>
      <c r="E32" s="51"/>
      <c r="F32" s="9" t="str">
        <f>IFERROR(HYPERLINK("#Main!A"&amp;MATCH(A32,Main!A:A,0),"Open"),HYPERLINK("#Main!A1","Open"))</f>
        <v>Open</v>
      </c>
      <c r="G32" s="9"/>
    </row>
    <row r="33" spans="1:7" ht="30" customHeight="1" x14ac:dyDescent="0.25">
      <c r="A33" s="58" t="s">
        <v>172</v>
      </c>
      <c r="B33" s="11">
        <v>1</v>
      </c>
      <c r="C33" s="11">
        <v>1</v>
      </c>
      <c r="D33" s="55"/>
      <c r="E33" s="55"/>
      <c r="F33" t="str">
        <f>IFERROR(HYPERLINK("#Main!A"&amp;MATCH(A33,Main!A:A,0),"Open"),HYPERLINK("#Main!A1","Open"))</f>
        <v>Open</v>
      </c>
    </row>
    <row r="34" spans="1:7" ht="30" customHeight="1" x14ac:dyDescent="0.25">
      <c r="A34" s="59" t="s">
        <v>727</v>
      </c>
      <c r="B34" s="8">
        <v>1</v>
      </c>
      <c r="C34" s="8">
        <v>1</v>
      </c>
      <c r="D34" s="51"/>
      <c r="E34" s="51"/>
      <c r="F34" s="9" t="str">
        <f>IFERROR(HYPERLINK("#Main!A"&amp;MATCH(A34,Main!A:A,0),"Open"),HYPERLINK("#Main!A1","Open"))</f>
        <v>Open</v>
      </c>
      <c r="G34" s="9"/>
    </row>
    <row r="35" spans="1:7" ht="30" customHeight="1" x14ac:dyDescent="0.25">
      <c r="A35" s="58" t="s">
        <v>559</v>
      </c>
      <c r="B35" s="11">
        <v>1</v>
      </c>
      <c r="C35" s="11">
        <v>1</v>
      </c>
      <c r="D35" s="55"/>
      <c r="E35" s="55"/>
      <c r="F35" t="str">
        <f>IFERROR(HYPERLINK("#Main!A"&amp;MATCH(A35,Main!A:A,0),"Open"),HYPERLINK("#Main!A1","Open"))</f>
        <v>Open</v>
      </c>
    </row>
    <row r="36" spans="1:7" ht="30" customHeight="1" x14ac:dyDescent="0.25">
      <c r="A36" s="59" t="s">
        <v>393</v>
      </c>
      <c r="B36" s="8">
        <v>1</v>
      </c>
      <c r="C36" s="8">
        <v>1</v>
      </c>
      <c r="D36" s="51"/>
      <c r="E36" s="51"/>
      <c r="F36" s="9" t="str">
        <f>IFERROR(HYPERLINK("#Main!A"&amp;MATCH(A36,Main!A:A,0),"Open"),HYPERLINK("#Main!A1","Open"))</f>
        <v>Open</v>
      </c>
      <c r="G36" s="9"/>
    </row>
    <row r="37" spans="1:7" ht="30" customHeight="1" x14ac:dyDescent="0.25">
      <c r="A37" s="58" t="s">
        <v>566</v>
      </c>
      <c r="B37" s="11">
        <v>1</v>
      </c>
      <c r="C37" s="11">
        <v>1</v>
      </c>
      <c r="D37" s="55"/>
      <c r="E37" s="55"/>
      <c r="F37" t="str">
        <f>IFERROR(HYPERLINK("#Main!A"&amp;MATCH(A37,Main!A:A,0),"Open"),HYPERLINK("#Main!A1","Open"))</f>
        <v>Open</v>
      </c>
    </row>
    <row r="38" spans="1:7" ht="45" customHeight="1" x14ac:dyDescent="0.25">
      <c r="A38" s="59" t="s">
        <v>377</v>
      </c>
      <c r="B38" s="8">
        <v>1</v>
      </c>
      <c r="C38" s="8">
        <v>1</v>
      </c>
      <c r="D38" s="51"/>
      <c r="E38" s="51"/>
      <c r="F38" s="9" t="str">
        <f>IFERROR(HYPERLINK("#Main!A"&amp;MATCH(A38,Main!A:A,0),"Open"),HYPERLINK("#Main!A1","Open"))</f>
        <v>Open</v>
      </c>
      <c r="G38" s="9"/>
    </row>
    <row r="39" spans="1:7" ht="30" customHeight="1" x14ac:dyDescent="0.25">
      <c r="A39" s="58" t="s">
        <v>385</v>
      </c>
      <c r="B39" s="11">
        <v>1</v>
      </c>
      <c r="C39" s="11">
        <v>1</v>
      </c>
      <c r="D39" s="55"/>
      <c r="E39" s="55"/>
      <c r="F39" t="str">
        <f>IFERROR(HYPERLINK("#Main!A"&amp;MATCH(A39,Main!A:A,0),"Open"),HYPERLINK("#Main!A1","Open"))</f>
        <v>Open</v>
      </c>
    </row>
    <row r="40" spans="1:7" ht="30" customHeight="1" x14ac:dyDescent="0.25">
      <c r="A40" s="59" t="s">
        <v>358</v>
      </c>
      <c r="B40" s="8">
        <v>1</v>
      </c>
      <c r="C40" s="8">
        <v>1</v>
      </c>
      <c r="D40" s="51"/>
      <c r="E40" s="51"/>
      <c r="F40" s="9" t="str">
        <f>IFERROR(HYPERLINK("#Main!A"&amp;MATCH(A40,Main!A:A,0),"Open"),HYPERLINK("#Main!A1","Open"))</f>
        <v>Open</v>
      </c>
      <c r="G40" s="9"/>
    </row>
    <row r="41" spans="1:7" ht="30" customHeight="1" x14ac:dyDescent="0.25">
      <c r="A41" s="58" t="s">
        <v>196</v>
      </c>
      <c r="B41" s="11">
        <v>1</v>
      </c>
      <c r="C41" s="11">
        <v>1</v>
      </c>
      <c r="D41" s="55"/>
      <c r="E41" s="55"/>
      <c r="F41" t="str">
        <f>IFERROR(HYPERLINK("#Main!A"&amp;MATCH(A41,Main!A:A,0),"Open"),HYPERLINK("#Main!A1","Open"))</f>
        <v>Open</v>
      </c>
    </row>
    <row r="42" spans="1:7" ht="30" customHeight="1" x14ac:dyDescent="0.25">
      <c r="A42" s="59" t="s">
        <v>164</v>
      </c>
      <c r="B42" s="8">
        <v>1</v>
      </c>
      <c r="C42" s="8">
        <v>1</v>
      </c>
      <c r="D42" s="51"/>
      <c r="E42" s="51"/>
      <c r="F42" s="9" t="str">
        <f>IFERROR(HYPERLINK("#Main!A"&amp;MATCH(A42,Main!A:A,0),"Open"),HYPERLINK("#Main!A1","Open"))</f>
        <v>Open</v>
      </c>
      <c r="G42" s="9"/>
    </row>
    <row r="43" spans="1:7" ht="30" customHeight="1" x14ac:dyDescent="0.25">
      <c r="A43" s="58" t="s">
        <v>350</v>
      </c>
      <c r="B43" s="11">
        <v>2</v>
      </c>
      <c r="C43" s="11">
        <v>2</v>
      </c>
      <c r="D43" s="55" t="s">
        <v>2354</v>
      </c>
      <c r="E43" s="55" t="s">
        <v>2354</v>
      </c>
      <c r="F43" t="str">
        <f>IFERROR(HYPERLINK("#Main!A"&amp;MATCH(A43,Main!A:A,0),"Open"),HYPERLINK("#Main!A1","Open"))</f>
        <v>Open</v>
      </c>
    </row>
    <row r="44" spans="1:7" ht="30" customHeight="1" x14ac:dyDescent="0.25">
      <c r="A44" s="59" t="s">
        <v>374</v>
      </c>
      <c r="B44" s="8">
        <v>2</v>
      </c>
      <c r="C44" s="8">
        <v>2</v>
      </c>
      <c r="D44" s="51" t="s">
        <v>2354</v>
      </c>
      <c r="E44" s="51" t="s">
        <v>2354</v>
      </c>
      <c r="F44" s="9" t="str">
        <f>IFERROR(HYPERLINK("#Main!A"&amp;MATCH(A44,Main!A:A,0),"Open"),HYPERLINK("#Main!A1","Open"))</f>
        <v>Open</v>
      </c>
      <c r="G44" s="9"/>
    </row>
    <row r="45" spans="1:7" ht="45" customHeight="1" x14ac:dyDescent="0.25">
      <c r="A45" s="58" t="s">
        <v>409</v>
      </c>
      <c r="B45" s="11">
        <v>1</v>
      </c>
      <c r="C45" s="11">
        <v>1</v>
      </c>
      <c r="D45" s="55"/>
      <c r="E45" s="55"/>
      <c r="F45" t="str">
        <f>IFERROR(HYPERLINK("#Main!A"&amp;MATCH(A45,Main!A:A,0),"Open"),HYPERLINK("#Main!A1","Open"))</f>
        <v>Open</v>
      </c>
    </row>
    <row r="46" spans="1:7" ht="30" customHeight="1" x14ac:dyDescent="0.25">
      <c r="A46" s="59" t="s">
        <v>436</v>
      </c>
      <c r="B46" s="8">
        <v>1</v>
      </c>
      <c r="C46" s="8">
        <v>1</v>
      </c>
      <c r="D46" s="51"/>
      <c r="E46" s="51"/>
      <c r="F46" s="9" t="str">
        <f>IFERROR(HYPERLINK("#Main!A"&amp;MATCH(A46,Main!A:A,0),"Open"),HYPERLINK("#Main!A1","Open"))</f>
        <v>Open</v>
      </c>
      <c r="G46" s="9"/>
    </row>
    <row r="47" spans="1:7" ht="30" customHeight="1" x14ac:dyDescent="0.25">
      <c r="A47" s="58" t="s">
        <v>473</v>
      </c>
      <c r="B47" s="11">
        <v>1</v>
      </c>
      <c r="C47" s="11">
        <v>1</v>
      </c>
      <c r="D47" s="55"/>
      <c r="E47" s="55"/>
      <c r="F47" t="str">
        <f>IFERROR(HYPERLINK("#Main!A"&amp;MATCH(A47,Main!A:A,0),"Open"),HYPERLINK("#Main!A1","Open"))</f>
        <v>Open</v>
      </c>
    </row>
    <row r="48" spans="1:7" ht="30" customHeight="1" x14ac:dyDescent="0.25">
      <c r="A48" s="59" t="s">
        <v>489</v>
      </c>
      <c r="B48" s="8">
        <v>1</v>
      </c>
      <c r="C48" s="8">
        <v>1</v>
      </c>
      <c r="D48" s="51"/>
      <c r="E48" s="51"/>
      <c r="F48" s="9" t="str">
        <f>IFERROR(HYPERLINK("#Main!A"&amp;MATCH(A48,Main!A:A,0),"Open"),HYPERLINK("#Main!A1","Open"))</f>
        <v>Open</v>
      </c>
      <c r="G48" s="9"/>
    </row>
    <row r="49" spans="1:7" ht="30" customHeight="1" x14ac:dyDescent="0.25">
      <c r="A49" s="58" t="s">
        <v>338</v>
      </c>
      <c r="B49" s="11">
        <v>0</v>
      </c>
      <c r="C49" s="11">
        <v>0</v>
      </c>
      <c r="D49" s="55"/>
      <c r="E49" s="55"/>
      <c r="F49" t="str">
        <f>IFERROR(HYPERLINK("#Main!A"&amp;MATCH(A49,Main!A:A,0),"Open"),HYPERLINK("#Main!A1","Open"))</f>
        <v>Open</v>
      </c>
    </row>
    <row r="50" spans="1:7" ht="30" customHeight="1" x14ac:dyDescent="0.25">
      <c r="A50" s="59" t="s">
        <v>433</v>
      </c>
      <c r="B50" s="8">
        <v>0</v>
      </c>
      <c r="C50" s="8">
        <v>0</v>
      </c>
      <c r="D50" s="51"/>
      <c r="E50" s="51"/>
      <c r="F50" s="9" t="str">
        <f>IFERROR(HYPERLINK("#Main!A"&amp;MATCH(A50,Main!A:A,0),"Open"),HYPERLINK("#Main!A1","Open"))</f>
        <v>Open</v>
      </c>
      <c r="G50" s="9"/>
    </row>
    <row r="51" spans="1:7" ht="30" customHeight="1" x14ac:dyDescent="0.25">
      <c r="A51" s="58" t="s">
        <v>743</v>
      </c>
      <c r="B51" s="11">
        <v>1</v>
      </c>
      <c r="C51" s="11">
        <v>1</v>
      </c>
      <c r="D51" s="55"/>
      <c r="E51" s="55"/>
      <c r="F51" t="str">
        <f>IFERROR(HYPERLINK("#Main!A"&amp;MATCH(A51,Main!A:A,0),"Open"),HYPERLINK("#Main!A1","Open"))</f>
        <v>Open</v>
      </c>
    </row>
    <row r="52" spans="1:7" ht="30" customHeight="1" x14ac:dyDescent="0.25">
      <c r="A52" s="59" t="s">
        <v>598</v>
      </c>
      <c r="B52" s="8">
        <v>1</v>
      </c>
      <c r="C52" s="8">
        <v>1</v>
      </c>
      <c r="D52" s="51"/>
      <c r="E52" s="51"/>
      <c r="F52" s="9" t="str">
        <f>IFERROR(HYPERLINK("#Main!A"&amp;MATCH(A52,Main!A:A,0),"Open"),HYPERLINK("#Main!A1","Open"))</f>
        <v>Open</v>
      </c>
      <c r="G52" s="9"/>
    </row>
    <row r="53" spans="1:7" ht="30" customHeight="1" x14ac:dyDescent="0.25">
      <c r="A53" s="58" t="s">
        <v>735</v>
      </c>
      <c r="B53" s="11">
        <v>1</v>
      </c>
      <c r="C53" s="11">
        <v>1</v>
      </c>
      <c r="D53" s="55"/>
      <c r="E53" s="55"/>
      <c r="F53" t="str">
        <f>IFERROR(HYPERLINK("#Main!A"&amp;MATCH(A53,Main!A:A,0),"Open"),HYPERLINK("#Main!A1","Open"))</f>
        <v>Open</v>
      </c>
    </row>
    <row r="54" spans="1:7" ht="30" customHeight="1" x14ac:dyDescent="0.25">
      <c r="A54" s="59" t="s">
        <v>712</v>
      </c>
      <c r="B54" s="8">
        <v>1</v>
      </c>
      <c r="C54" s="8">
        <v>1</v>
      </c>
      <c r="D54" s="51"/>
      <c r="E54" s="51"/>
      <c r="F54" s="9" t="str">
        <f>IFERROR(HYPERLINK("#Main!A"&amp;MATCH(A54,Main!A:A,0),"Open"),HYPERLINK("#Main!A1","Open"))</f>
        <v>Open</v>
      </c>
      <c r="G54" s="9"/>
    </row>
    <row r="55" spans="1:7" ht="30" customHeight="1" x14ac:dyDescent="0.25">
      <c r="A55" s="58" t="s">
        <v>622</v>
      </c>
      <c r="B55" s="11">
        <v>1</v>
      </c>
      <c r="C55" s="11">
        <v>0</v>
      </c>
      <c r="D55" s="55"/>
      <c r="E55" s="55"/>
      <c r="F55" t="str">
        <f>IFERROR(HYPERLINK("#Main!A"&amp;MATCH(A55,Main!A:A,0),"Open"),HYPERLINK("#Main!A1","Open"))</f>
        <v>Open</v>
      </c>
    </row>
    <row r="56" spans="1:7" ht="30" customHeight="1" x14ac:dyDescent="0.25">
      <c r="A56" s="59" t="s">
        <v>535</v>
      </c>
      <c r="B56" s="8">
        <v>1</v>
      </c>
      <c r="C56" s="8">
        <v>1</v>
      </c>
      <c r="D56" s="51"/>
      <c r="E56" s="51"/>
      <c r="F56" s="9" t="str">
        <f>IFERROR(HYPERLINK("#Main!A"&amp;MATCH(A56,Main!A:A,0),"Open"),HYPERLINK("#Main!A1","Open"))</f>
        <v>Open</v>
      </c>
      <c r="G56" s="9"/>
    </row>
    <row r="57" spans="1:7" ht="30" customHeight="1" x14ac:dyDescent="0.25">
      <c r="A57" s="58" t="s">
        <v>527</v>
      </c>
      <c r="B57" s="11">
        <v>1</v>
      </c>
      <c r="C57" s="11">
        <v>1</v>
      </c>
      <c r="D57" s="55"/>
      <c r="E57" s="55"/>
      <c r="F57" t="str">
        <f>IFERROR(HYPERLINK("#Main!A"&amp;MATCH(A57,Main!A:A,0),"Open"),HYPERLINK("#Main!A1","Open"))</f>
        <v>Open</v>
      </c>
    </row>
    <row r="58" spans="1:7" ht="30" customHeight="1" x14ac:dyDescent="0.25">
      <c r="A58" s="59" t="s">
        <v>590</v>
      </c>
      <c r="B58" s="8">
        <v>1</v>
      </c>
      <c r="C58" s="8">
        <v>1</v>
      </c>
      <c r="D58" s="51"/>
      <c r="E58" s="51"/>
      <c r="F58" s="9" t="str">
        <f>IFERROR(HYPERLINK("#Main!A"&amp;MATCH(A58,Main!A:A,0),"Open"),HYPERLINK("#Main!A1","Open"))</f>
        <v>Open</v>
      </c>
      <c r="G58" s="9"/>
    </row>
    <row r="59" spans="1:7" ht="30" customHeight="1" x14ac:dyDescent="0.25">
      <c r="A59" s="58" t="s">
        <v>758</v>
      </c>
      <c r="B59" s="11">
        <v>1</v>
      </c>
      <c r="C59" s="11">
        <v>1</v>
      </c>
      <c r="D59" s="55"/>
      <c r="E59" s="55"/>
      <c r="F59" t="str">
        <f>IFERROR(HYPERLINK("#Main!A"&amp;MATCH(A59,Main!A:A,0),"Open"),HYPERLINK("#Main!A1","Open"))</f>
        <v>Open</v>
      </c>
    </row>
    <row r="60" spans="1:7" ht="30" customHeight="1" x14ac:dyDescent="0.25">
      <c r="A60" s="59" t="s">
        <v>282</v>
      </c>
      <c r="B60" s="8">
        <v>1</v>
      </c>
      <c r="C60" s="8">
        <v>1</v>
      </c>
      <c r="D60" s="51"/>
      <c r="E60" s="51"/>
      <c r="F60" s="9" t="str">
        <f>IFERROR(HYPERLINK("#Main!A"&amp;MATCH(A60,Main!A:A,0),"Open"),HYPERLINK("#Main!A1","Open"))</f>
        <v>Open</v>
      </c>
      <c r="G60" s="9"/>
    </row>
    <row r="61" spans="1:7" ht="30" customHeight="1" x14ac:dyDescent="0.25">
      <c r="A61" s="58" t="s">
        <v>766</v>
      </c>
      <c r="B61" s="11">
        <v>1</v>
      </c>
      <c r="C61" s="11">
        <v>1</v>
      </c>
      <c r="D61" s="55"/>
      <c r="E61" s="55"/>
      <c r="F61" t="str">
        <f>IFERROR(HYPERLINK("#Main!A"&amp;MATCH(A61,Main!A:A,0),"Open"),HYPERLINK("#Main!A1","Open"))</f>
        <v>Open</v>
      </c>
    </row>
    <row r="62" spans="1:7" ht="30" customHeight="1" x14ac:dyDescent="0.25">
      <c r="A62" s="59" t="s">
        <v>614</v>
      </c>
      <c r="B62" s="8">
        <v>1</v>
      </c>
      <c r="C62" s="8">
        <v>1</v>
      </c>
      <c r="D62" s="51"/>
      <c r="E62" s="51"/>
      <c r="F62" s="9" t="str">
        <f>IFERROR(HYPERLINK("#Main!A"&amp;MATCH(A62,Main!A:A,0),"Open"),HYPERLINK("#Main!A1","Open"))</f>
        <v>Open</v>
      </c>
      <c r="G62" s="9"/>
    </row>
    <row r="63" spans="1:7" ht="30" customHeight="1" x14ac:dyDescent="0.25">
      <c r="A63" s="58" t="s">
        <v>425</v>
      </c>
      <c r="B63" s="11">
        <v>1</v>
      </c>
      <c r="C63" s="11">
        <v>1</v>
      </c>
      <c r="D63" s="55"/>
      <c r="E63" s="55"/>
      <c r="F63" t="str">
        <f>IFERROR(HYPERLINK("#Main!A"&amp;MATCH(A63,Main!A:A,0),"Open"),HYPERLINK("#Main!A1","Open"))</f>
        <v>Open</v>
      </c>
    </row>
    <row r="64" spans="1:7" ht="30" customHeight="1" x14ac:dyDescent="0.25">
      <c r="A64" s="59" t="s">
        <v>210</v>
      </c>
      <c r="B64" s="8">
        <v>1</v>
      </c>
      <c r="C64" s="8">
        <v>1</v>
      </c>
      <c r="D64" s="51"/>
      <c r="E64" s="51"/>
      <c r="F64" s="9" t="str">
        <f>IFERROR(HYPERLINK("#Main!A"&amp;MATCH(A64,Main!A:A,0),"Open"),HYPERLINK("#Main!A1","Open"))</f>
        <v>Open</v>
      </c>
      <c r="G64" s="9"/>
    </row>
    <row r="65" spans="1:7" ht="30" customHeight="1" x14ac:dyDescent="0.25">
      <c r="A65" s="58" t="s">
        <v>258</v>
      </c>
      <c r="B65" s="11">
        <v>1</v>
      </c>
      <c r="C65" s="11">
        <v>1</v>
      </c>
      <c r="D65" s="55"/>
      <c r="E65" s="55"/>
      <c r="F65" t="str">
        <f>IFERROR(HYPERLINK("#Main!A"&amp;MATCH(A65,Main!A:A,0),"Open"),HYPERLINK("#Main!A1","Open"))</f>
        <v>Open</v>
      </c>
    </row>
    <row r="66" spans="1:7" ht="30" customHeight="1" x14ac:dyDescent="0.25">
      <c r="A66" s="59" t="s">
        <v>250</v>
      </c>
      <c r="B66" s="8">
        <v>1</v>
      </c>
      <c r="C66" s="8">
        <v>1</v>
      </c>
      <c r="D66" s="51"/>
      <c r="E66" s="51"/>
      <c r="F66" s="9" t="str">
        <f>IFERROR(HYPERLINK("#Main!A"&amp;MATCH(A66,Main!A:A,0),"Open"),HYPERLINK("#Main!A1","Open"))</f>
        <v>Open</v>
      </c>
      <c r="G66" s="9"/>
    </row>
    <row r="67" spans="1:7" ht="30" customHeight="1" x14ac:dyDescent="0.25">
      <c r="A67" s="58" t="s">
        <v>266</v>
      </c>
      <c r="B67" s="11">
        <v>2</v>
      </c>
      <c r="C67" s="11">
        <v>1</v>
      </c>
      <c r="D67" s="55" t="s">
        <v>2355</v>
      </c>
      <c r="E67" s="55"/>
      <c r="F67" t="str">
        <f>IFERROR(HYPERLINK("#Main!A"&amp;MATCH(A67,Main!A:A,0),"Open"),HYPERLINK("#Main!A1","Open"))</f>
        <v>Open</v>
      </c>
    </row>
    <row r="68" spans="1:7" ht="30" customHeight="1" x14ac:dyDescent="0.25">
      <c r="A68" s="59" t="s">
        <v>543</v>
      </c>
      <c r="B68" s="8">
        <v>1</v>
      </c>
      <c r="C68" s="8">
        <v>1</v>
      </c>
      <c r="D68" s="51"/>
      <c r="E68" s="51"/>
      <c r="F68" s="9" t="str">
        <f>IFERROR(HYPERLINK("#Main!A"&amp;MATCH(A68,Main!A:A,0),"Open"),HYPERLINK("#Main!A1","Open"))</f>
        <v>Open</v>
      </c>
      <c r="G68" s="9"/>
    </row>
    <row r="69" spans="1:7" ht="30" customHeight="1" x14ac:dyDescent="0.25">
      <c r="A69" s="58" t="s">
        <v>99</v>
      </c>
      <c r="B69" s="11">
        <v>1</v>
      </c>
      <c r="C69" s="11">
        <v>0</v>
      </c>
      <c r="D69" s="55"/>
      <c r="E69" s="55"/>
      <c r="F69" t="str">
        <f>IFERROR(HYPERLINK("#Main!A"&amp;MATCH(A69,Main!A:A,0),"Open"),HYPERLINK("#Main!A1","Open"))</f>
        <v>Open</v>
      </c>
    </row>
    <row r="70" spans="1:7" ht="30" customHeight="1" x14ac:dyDescent="0.25">
      <c r="A70" s="59" t="s">
        <v>226</v>
      </c>
      <c r="B70" s="8">
        <v>1</v>
      </c>
      <c r="C70" s="8">
        <v>1</v>
      </c>
      <c r="D70" s="51"/>
      <c r="E70" s="51"/>
      <c r="F70" s="9" t="str">
        <f>IFERROR(HYPERLINK("#Main!A"&amp;MATCH(A70,Main!A:A,0),"Open"),HYPERLINK("#Main!A1","Open"))</f>
        <v>Open</v>
      </c>
      <c r="G70" s="9"/>
    </row>
    <row r="71" spans="1:7" ht="30" customHeight="1" x14ac:dyDescent="0.25">
      <c r="A71" s="58" t="s">
        <v>234</v>
      </c>
      <c r="B71" s="11">
        <v>1</v>
      </c>
      <c r="C71" s="11">
        <v>1</v>
      </c>
      <c r="D71" s="55"/>
      <c r="E71" s="55"/>
      <c r="F71" t="str">
        <f>IFERROR(HYPERLINK("#Main!A"&amp;MATCH(A71,Main!A:A,0),"Open"),HYPERLINK("#Main!A1","Open"))</f>
        <v>Open</v>
      </c>
    </row>
    <row r="72" spans="1:7" ht="30" customHeight="1" x14ac:dyDescent="0.25">
      <c r="A72" s="59" t="s">
        <v>218</v>
      </c>
      <c r="B72" s="8">
        <v>1</v>
      </c>
      <c r="C72" s="8">
        <v>1</v>
      </c>
      <c r="D72" s="51"/>
      <c r="E72" s="51"/>
      <c r="F72" s="9" t="str">
        <f>IFERROR(HYPERLINK("#Main!A"&amp;MATCH(A72,Main!A:A,0),"Open"),HYPERLINK("#Main!A1","Open"))</f>
        <v>Open</v>
      </c>
      <c r="G72" s="9"/>
    </row>
    <row r="73" spans="1:7" ht="30" customHeight="1" x14ac:dyDescent="0.25">
      <c r="A73" s="58" t="s">
        <v>342</v>
      </c>
      <c r="B73" s="11">
        <v>1</v>
      </c>
      <c r="C73" s="11">
        <v>1</v>
      </c>
      <c r="D73" s="55"/>
      <c r="E73" s="55"/>
      <c r="F73" t="str">
        <f>IFERROR(HYPERLINK("#Main!A"&amp;MATCH(A73,Main!A:A,0),"Open"),HYPERLINK("#Main!A1","Open"))</f>
        <v>Open</v>
      </c>
    </row>
    <row r="74" spans="1:7" ht="30" customHeight="1" x14ac:dyDescent="0.25">
      <c r="A74" s="59" t="s">
        <v>774</v>
      </c>
      <c r="B74" s="8">
        <v>1</v>
      </c>
      <c r="C74" s="8">
        <v>1</v>
      </c>
      <c r="D74" s="51"/>
      <c r="E74" s="51"/>
      <c r="F74" s="9" t="str">
        <f>IFERROR(HYPERLINK("#Main!A"&amp;MATCH(A74,Main!A:A,0),"Open"),HYPERLINK("#Main!A1","Open"))</f>
        <v>Open</v>
      </c>
      <c r="G74" s="9"/>
    </row>
    <row r="75" spans="1:7" ht="30" customHeight="1" x14ac:dyDescent="0.25">
      <c r="A75" s="58" t="s">
        <v>750</v>
      </c>
      <c r="B75" s="11">
        <v>1</v>
      </c>
      <c r="C75" s="11">
        <v>1</v>
      </c>
      <c r="D75" s="55"/>
      <c r="E75" s="55"/>
      <c r="F75" t="str">
        <f>IFERROR(HYPERLINK("#Main!A"&amp;MATCH(A75,Main!A:A,0),"Open"),HYPERLINK("#Main!A1","Open"))</f>
        <v>Open</v>
      </c>
    </row>
    <row r="76" spans="1:7" ht="30" customHeight="1" x14ac:dyDescent="0.25">
      <c r="A76" s="59" t="s">
        <v>465</v>
      </c>
      <c r="B76" s="8">
        <v>1</v>
      </c>
      <c r="C76" s="8">
        <v>1</v>
      </c>
      <c r="D76" s="51"/>
      <c r="E76" s="51"/>
      <c r="F76" s="9" t="str">
        <f>IFERROR(HYPERLINK("#Main!A"&amp;MATCH(A76,Main!A:A,0),"Open"),HYPERLINK("#Main!A1","Open"))</f>
        <v>Open</v>
      </c>
      <c r="G76" s="9"/>
    </row>
    <row r="77" spans="1:7" ht="30" customHeight="1" x14ac:dyDescent="0.25">
      <c r="A77" s="58" t="s">
        <v>457</v>
      </c>
      <c r="B77" s="11">
        <v>1</v>
      </c>
      <c r="C77" s="11">
        <v>1</v>
      </c>
      <c r="D77" s="55"/>
      <c r="E77" s="55"/>
      <c r="F77" t="str">
        <f>IFERROR(HYPERLINK("#Main!A"&amp;MATCH(A77,Main!A:A,0),"Open"),HYPERLINK("#Main!A1","Open"))</f>
        <v>Open</v>
      </c>
    </row>
    <row r="78" spans="1:7" ht="30" customHeight="1" x14ac:dyDescent="0.25">
      <c r="A78" s="59" t="s">
        <v>449</v>
      </c>
      <c r="B78" s="8">
        <v>1</v>
      </c>
      <c r="C78" s="8">
        <v>1</v>
      </c>
      <c r="D78" s="51"/>
      <c r="E78" s="51"/>
      <c r="F78" s="9" t="str">
        <f>IFERROR(HYPERLINK("#Main!A"&amp;MATCH(A78,Main!A:A,0),"Open"),HYPERLINK("#Main!A1","Open"))</f>
        <v>Open</v>
      </c>
      <c r="G78" s="9"/>
    </row>
    <row r="79" spans="1:7" ht="30" customHeight="1" x14ac:dyDescent="0.25">
      <c r="A79" s="58" t="s">
        <v>444</v>
      </c>
      <c r="B79" s="11">
        <v>1</v>
      </c>
      <c r="C79" s="11">
        <v>0</v>
      </c>
      <c r="D79" s="55"/>
      <c r="E79" s="55"/>
      <c r="F79" t="str">
        <f>IFERROR(HYPERLINK("#Main!A"&amp;MATCH(A79,Main!A:A,0),"Open"),HYPERLINK("#Main!A1","Open"))</f>
        <v>Open</v>
      </c>
    </row>
    <row r="80" spans="1:7" ht="30" customHeight="1" x14ac:dyDescent="0.25">
      <c r="A80" s="59" t="s">
        <v>330</v>
      </c>
      <c r="B80" s="8">
        <v>1</v>
      </c>
      <c r="C80" s="8">
        <v>1</v>
      </c>
      <c r="D80" s="51"/>
      <c r="E80" s="51"/>
      <c r="F80" s="9" t="str">
        <f>IFERROR(HYPERLINK("#Main!A"&amp;MATCH(A80,Main!A:A,0),"Open"),HYPERLINK("#Main!A1","Open"))</f>
        <v>Open</v>
      </c>
      <c r="G80" s="9"/>
    </row>
    <row r="81" spans="1:7" ht="30" customHeight="1" x14ac:dyDescent="0.25">
      <c r="A81" s="58" t="s">
        <v>782</v>
      </c>
      <c r="B81" s="11">
        <v>1</v>
      </c>
      <c r="C81" s="11">
        <v>1</v>
      </c>
      <c r="D81" s="55"/>
      <c r="E81" s="55"/>
      <c r="F81" t="str">
        <f>IFERROR(HYPERLINK("#Main!A"&amp;MATCH(A81,Main!A:A,0),"Open"),HYPERLINK("#Main!A1","Open"))</f>
        <v>Open</v>
      </c>
    </row>
    <row r="82" spans="1:7" ht="30" customHeight="1" x14ac:dyDescent="0.25">
      <c r="A82" s="59" t="s">
        <v>720</v>
      </c>
      <c r="B82" s="8">
        <v>1</v>
      </c>
      <c r="C82" s="8">
        <v>1</v>
      </c>
      <c r="D82" s="51"/>
      <c r="E82" s="51"/>
      <c r="F82" s="9" t="str">
        <f>IFERROR(HYPERLINK("#Main!A"&amp;MATCH(A82,Main!A:A,0),"Open"),HYPERLINK("#Main!A1","Open"))</f>
        <v>Open</v>
      </c>
      <c r="G82" s="9"/>
    </row>
    <row r="83" spans="1:7" ht="30" customHeight="1" x14ac:dyDescent="0.25">
      <c r="A83" s="58" t="s">
        <v>635</v>
      </c>
      <c r="B83" s="11">
        <v>1</v>
      </c>
      <c r="C83" s="11">
        <v>1</v>
      </c>
      <c r="D83" s="55"/>
      <c r="E83" s="55"/>
      <c r="F83" t="str">
        <f>IFERROR(HYPERLINK("#Main!A"&amp;MATCH(A83,Main!A:A,0),"Open"),HYPERLINK("#Main!A1","Open"))</f>
        <v>Open</v>
      </c>
    </row>
    <row r="84" spans="1:7" ht="30" customHeight="1" x14ac:dyDescent="0.25">
      <c r="A84" s="59" t="s">
        <v>180</v>
      </c>
      <c r="B84" s="8">
        <v>1</v>
      </c>
      <c r="C84" s="8">
        <v>1</v>
      </c>
      <c r="D84" s="51"/>
      <c r="E84" s="51"/>
      <c r="F84" s="9" t="str">
        <f>IFERROR(HYPERLINK("#Main!A"&amp;MATCH(A84,Main!A:A,0),"Open"),HYPERLINK("#Main!A1","Open"))</f>
        <v>Open</v>
      </c>
      <c r="G84" s="9"/>
    </row>
    <row r="85" spans="1:7" ht="30" customHeight="1" x14ac:dyDescent="0.25">
      <c r="A85" s="58" t="s">
        <v>698</v>
      </c>
      <c r="B85" s="11">
        <v>2</v>
      </c>
      <c r="C85" s="11">
        <v>1</v>
      </c>
      <c r="D85" s="55" t="s">
        <v>2355</v>
      </c>
      <c r="E85" s="55"/>
      <c r="F85" t="str">
        <f>IFERROR(HYPERLINK("#Main!A"&amp;MATCH(A85,Main!A:A,0),"Open"),HYPERLINK("#Main!A1","Open"))</f>
        <v>Open</v>
      </c>
    </row>
    <row r="86" spans="1:7" ht="30" customHeight="1" x14ac:dyDescent="0.25">
      <c r="A86" s="59" t="s">
        <v>666</v>
      </c>
      <c r="B86" s="8">
        <v>1</v>
      </c>
      <c r="C86" s="8">
        <v>1</v>
      </c>
      <c r="D86" s="51"/>
      <c r="E86" s="51"/>
      <c r="F86" s="9" t="str">
        <f>IFERROR(HYPERLINK("#Main!A"&amp;MATCH(A86,Main!A:A,0),"Open"),HYPERLINK("#Main!A1","Open"))</f>
        <v>Open</v>
      </c>
      <c r="G86" s="9"/>
    </row>
  </sheetData>
  <autoFilter ref="A1:G86" xr:uid="{00000000-0009-0000-0000-000013000000}"/>
  <dataValidations count="7">
    <dataValidation type="custom" allowBlank="1" showInputMessage="1" promptTitle="URL" prompt="URL. Use this URL to inspect the page directly or jump to related tabs." sqref="A1" xr:uid="{00000000-0002-0000-1300-000000000000}">
      <formula1>TRUE</formula1>
    </dataValidation>
    <dataValidation type="custom" allowBlank="1" showInputMessage="1" promptTitle="Title Duplicate Count" prompt="Title Duplicate Count. Review this metric to identify risk, then use linked tabs for details and remediation." sqref="B1" xr:uid="{00000000-0002-0000-1300-000001000000}">
      <formula1>TRUE</formula1>
    </dataValidation>
    <dataValidation type="custom" allowBlank="1" showInputMessage="1" promptTitle="Meta Description Duplicate Count" prompt="Meta Description Duplicate Count. Review this metric to identify risk, then use linked tabs for details and remediation." sqref="C1" xr:uid="{00000000-0002-0000-1300-000002000000}">
      <formula1>TRUE</formula1>
    </dataValidation>
    <dataValidation type="custom" allowBlank="1" showInputMessage="1" promptTitle="Title Duplicate URLs" prompt="Title Duplicate URLs. Use this URL to inspect the page directly or jump to related tabs." sqref="D1" xr:uid="{00000000-0002-0000-1300-000003000000}">
      <formula1>TRUE</formula1>
    </dataValidation>
    <dataValidation type="custom" allowBlank="1" showInputMessage="1" promptTitle="Meta Duplicate URLs" prompt="Meta Duplicate URLs. Use this URL to inspect the page directly or jump to related tabs." sqref="E1" xr:uid="{00000000-0002-0000-1300-000004000000}">
      <formula1>TRUE</formula1>
    </dataValidation>
    <dataValidation type="custom" allowBlank="1" showInputMessage="1" promptTitle="Open in Main" prompt="Navigation helper. Click to jump directly to the related record in another tab." sqref="F1" xr:uid="{00000000-0002-0000-1300-000005000000}">
      <formula1>TRUE</formula1>
    </dataValidation>
    <dataValidation type="custom" allowBlank="1" showInputMessage="1" promptTitle="BACK TO DASHBOARD" prompt="BACK TO DASHBOARD. Review this metric to identify risk, then use linked tabs for details and remediation." sqref="G1" xr:uid="{00000000-0002-0000-1300-000006000000}">
      <formula1>TRUE</formula1>
    </dataValidation>
  </dataValidations>
  <hyperlinks>
    <hyperlink ref="G1" location="Dashboard!A1" display="BACK TO DASHBOARD" xr:uid="{00000000-0004-0000-1300-000000000000}"/>
    <hyperlink ref="A2" r:id="rId1" xr:uid="{00000000-0004-0000-1300-000001000000}"/>
    <hyperlink ref="A3" r:id="rId2" xr:uid="{00000000-0004-0000-1300-000002000000}"/>
    <hyperlink ref="A4" r:id="rId3" xr:uid="{00000000-0004-0000-1300-000003000000}"/>
    <hyperlink ref="A5" r:id="rId4" xr:uid="{00000000-0004-0000-1300-000004000000}"/>
    <hyperlink ref="A6" r:id="rId5" xr:uid="{00000000-0004-0000-1300-000005000000}"/>
    <hyperlink ref="A7" r:id="rId6" xr:uid="{00000000-0004-0000-1300-000006000000}"/>
    <hyperlink ref="A8" r:id="rId7" xr:uid="{00000000-0004-0000-1300-000007000000}"/>
    <hyperlink ref="A9" r:id="rId8" xr:uid="{00000000-0004-0000-1300-000008000000}"/>
    <hyperlink ref="A10" r:id="rId9" xr:uid="{00000000-0004-0000-1300-000009000000}"/>
    <hyperlink ref="A11" r:id="rId10" xr:uid="{00000000-0004-0000-1300-00000A000000}"/>
    <hyperlink ref="A12" r:id="rId11" xr:uid="{00000000-0004-0000-1300-00000B000000}"/>
    <hyperlink ref="A13" r:id="rId12" xr:uid="{00000000-0004-0000-1300-00000C000000}"/>
    <hyperlink ref="A14" r:id="rId13" xr:uid="{00000000-0004-0000-1300-00000D000000}"/>
    <hyperlink ref="A15" r:id="rId14" xr:uid="{00000000-0004-0000-1300-00000E000000}"/>
    <hyperlink ref="A16" r:id="rId15" xr:uid="{00000000-0004-0000-1300-00000F000000}"/>
    <hyperlink ref="A17" r:id="rId16" xr:uid="{00000000-0004-0000-1300-000010000000}"/>
    <hyperlink ref="A18" r:id="rId17" xr:uid="{00000000-0004-0000-1300-000011000000}"/>
    <hyperlink ref="A19" r:id="rId18" xr:uid="{00000000-0004-0000-1300-000012000000}"/>
    <hyperlink ref="A20" r:id="rId19" xr:uid="{00000000-0004-0000-1300-000013000000}"/>
    <hyperlink ref="A21" r:id="rId20" xr:uid="{00000000-0004-0000-1300-000014000000}"/>
    <hyperlink ref="A22" r:id="rId21" xr:uid="{00000000-0004-0000-1300-000015000000}"/>
    <hyperlink ref="A23" r:id="rId22" xr:uid="{00000000-0004-0000-1300-000016000000}"/>
    <hyperlink ref="A24" r:id="rId23" xr:uid="{00000000-0004-0000-1300-000017000000}"/>
    <hyperlink ref="A25" r:id="rId24" xr:uid="{00000000-0004-0000-1300-000018000000}"/>
    <hyperlink ref="A26" r:id="rId25" xr:uid="{00000000-0004-0000-1300-000019000000}"/>
    <hyperlink ref="A27" r:id="rId26" xr:uid="{00000000-0004-0000-1300-00001A000000}"/>
    <hyperlink ref="A28" r:id="rId27" xr:uid="{00000000-0004-0000-1300-00001B000000}"/>
    <hyperlink ref="A29" r:id="rId28" xr:uid="{00000000-0004-0000-1300-00001C000000}"/>
    <hyperlink ref="A30" r:id="rId29" xr:uid="{00000000-0004-0000-1300-00001D000000}"/>
    <hyperlink ref="A31" r:id="rId30" xr:uid="{00000000-0004-0000-1300-00001E000000}"/>
    <hyperlink ref="A32" r:id="rId31" xr:uid="{00000000-0004-0000-1300-00001F000000}"/>
    <hyperlink ref="A33" r:id="rId32" xr:uid="{00000000-0004-0000-1300-000020000000}"/>
    <hyperlink ref="A34" r:id="rId33" xr:uid="{00000000-0004-0000-1300-000021000000}"/>
    <hyperlink ref="A35" r:id="rId34" xr:uid="{00000000-0004-0000-1300-000022000000}"/>
    <hyperlink ref="A36" r:id="rId35" xr:uid="{00000000-0004-0000-1300-000023000000}"/>
    <hyperlink ref="A37" r:id="rId36" xr:uid="{00000000-0004-0000-1300-000024000000}"/>
    <hyperlink ref="A38" r:id="rId37" xr:uid="{00000000-0004-0000-1300-000025000000}"/>
    <hyperlink ref="A39" r:id="rId38" xr:uid="{00000000-0004-0000-1300-000026000000}"/>
    <hyperlink ref="A40" r:id="rId39" xr:uid="{00000000-0004-0000-1300-000027000000}"/>
    <hyperlink ref="A41" r:id="rId40" xr:uid="{00000000-0004-0000-1300-000028000000}"/>
    <hyperlink ref="A42" r:id="rId41" xr:uid="{00000000-0004-0000-1300-000029000000}"/>
    <hyperlink ref="A43" r:id="rId42" xr:uid="{00000000-0004-0000-1300-00002A000000}"/>
    <hyperlink ref="A44" r:id="rId43" xr:uid="{00000000-0004-0000-1300-00002B000000}"/>
    <hyperlink ref="A45" r:id="rId44" xr:uid="{00000000-0004-0000-1300-00002C000000}"/>
    <hyperlink ref="A46" r:id="rId45" xr:uid="{00000000-0004-0000-1300-00002D000000}"/>
    <hyperlink ref="A47" r:id="rId46" xr:uid="{00000000-0004-0000-1300-00002E000000}"/>
    <hyperlink ref="A48" r:id="rId47" xr:uid="{00000000-0004-0000-1300-00002F000000}"/>
    <hyperlink ref="A49" r:id="rId48" xr:uid="{00000000-0004-0000-1300-000030000000}"/>
    <hyperlink ref="A50" r:id="rId49" xr:uid="{00000000-0004-0000-1300-000031000000}"/>
    <hyperlink ref="A51" r:id="rId50" xr:uid="{00000000-0004-0000-1300-000032000000}"/>
    <hyperlink ref="A52" r:id="rId51" xr:uid="{00000000-0004-0000-1300-000033000000}"/>
    <hyperlink ref="A53" r:id="rId52" xr:uid="{00000000-0004-0000-1300-000034000000}"/>
    <hyperlink ref="A54" r:id="rId53" xr:uid="{00000000-0004-0000-1300-000035000000}"/>
    <hyperlink ref="A55" r:id="rId54" xr:uid="{00000000-0004-0000-1300-000036000000}"/>
    <hyperlink ref="A56" r:id="rId55" xr:uid="{00000000-0004-0000-1300-000037000000}"/>
    <hyperlink ref="A57" r:id="rId56" xr:uid="{00000000-0004-0000-1300-000038000000}"/>
    <hyperlink ref="A58" r:id="rId57" xr:uid="{00000000-0004-0000-1300-000039000000}"/>
    <hyperlink ref="A59" r:id="rId58" xr:uid="{00000000-0004-0000-1300-00003A000000}"/>
    <hyperlink ref="A60" r:id="rId59" xr:uid="{00000000-0004-0000-1300-00003B000000}"/>
    <hyperlink ref="A61" r:id="rId60" xr:uid="{00000000-0004-0000-1300-00003C000000}"/>
    <hyperlink ref="A62" r:id="rId61" xr:uid="{00000000-0004-0000-1300-00003D000000}"/>
    <hyperlink ref="A63" r:id="rId62" xr:uid="{00000000-0004-0000-1300-00003E000000}"/>
    <hyperlink ref="A64" r:id="rId63" xr:uid="{00000000-0004-0000-1300-00003F000000}"/>
    <hyperlink ref="A65" r:id="rId64" xr:uid="{00000000-0004-0000-1300-000040000000}"/>
    <hyperlink ref="A66" r:id="rId65" xr:uid="{00000000-0004-0000-1300-000041000000}"/>
    <hyperlink ref="A67" r:id="rId66" xr:uid="{00000000-0004-0000-1300-000042000000}"/>
    <hyperlink ref="A68" r:id="rId67" xr:uid="{00000000-0004-0000-1300-000043000000}"/>
    <hyperlink ref="A69" r:id="rId68" xr:uid="{00000000-0004-0000-1300-000044000000}"/>
    <hyperlink ref="A70" r:id="rId69" xr:uid="{00000000-0004-0000-1300-000045000000}"/>
    <hyperlink ref="A71" r:id="rId70" xr:uid="{00000000-0004-0000-1300-000046000000}"/>
    <hyperlink ref="A72" r:id="rId71" xr:uid="{00000000-0004-0000-1300-000047000000}"/>
    <hyperlink ref="A73" r:id="rId72" xr:uid="{00000000-0004-0000-1300-000048000000}"/>
    <hyperlink ref="A74" r:id="rId73" xr:uid="{00000000-0004-0000-1300-000049000000}"/>
    <hyperlink ref="A75" r:id="rId74" xr:uid="{00000000-0004-0000-1300-00004A000000}"/>
    <hyperlink ref="A76" r:id="rId75" xr:uid="{00000000-0004-0000-1300-00004B000000}"/>
    <hyperlink ref="A77" r:id="rId76" xr:uid="{00000000-0004-0000-1300-00004C000000}"/>
    <hyperlink ref="A78" r:id="rId77" xr:uid="{00000000-0004-0000-1300-00004D000000}"/>
    <hyperlink ref="A79" r:id="rId78" xr:uid="{00000000-0004-0000-1300-00004E000000}"/>
    <hyperlink ref="A80" r:id="rId79" xr:uid="{00000000-0004-0000-1300-00004F000000}"/>
    <hyperlink ref="A81" r:id="rId80" xr:uid="{00000000-0004-0000-1300-000050000000}"/>
    <hyperlink ref="A82" r:id="rId81" xr:uid="{00000000-0004-0000-1300-000051000000}"/>
    <hyperlink ref="A83" r:id="rId82" xr:uid="{00000000-0004-0000-1300-000052000000}"/>
    <hyperlink ref="A84" r:id="rId83" xr:uid="{00000000-0004-0000-1300-000053000000}"/>
    <hyperlink ref="A85" r:id="rId84" xr:uid="{00000000-0004-0000-1300-000054000000}"/>
    <hyperlink ref="A86" r:id="rId85" xr:uid="{00000000-0004-0000-1300-000055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5"/>
  <sheetViews>
    <sheetView workbookViewId="0">
      <pane ySplit="1" topLeftCell="A2" activePane="bottomLeft" state="frozen"/>
      <selection pane="bottomLeft"/>
    </sheetView>
  </sheetViews>
  <sheetFormatPr defaultRowHeight="15" x14ac:dyDescent="0.25"/>
  <cols>
    <col min="1" max="1" width="52" customWidth="1"/>
    <col min="2" max="2" width="60" customWidth="1"/>
    <col min="3" max="3" width="11" customWidth="1"/>
    <col min="4" max="4" width="26" customWidth="1"/>
    <col min="5" max="6" width="17" customWidth="1"/>
    <col min="7" max="7" width="26" customWidth="1"/>
    <col min="8" max="9" width="60" customWidth="1"/>
  </cols>
  <sheetData>
    <row r="1" spans="1:10" ht="45" x14ac:dyDescent="0.25">
      <c r="A1" s="4" t="s">
        <v>2356</v>
      </c>
      <c r="B1" s="4" t="s">
        <v>2357</v>
      </c>
      <c r="C1" s="4" t="s">
        <v>2358</v>
      </c>
      <c r="D1" s="4" t="s">
        <v>2359</v>
      </c>
      <c r="E1" s="4" t="s">
        <v>2360</v>
      </c>
      <c r="F1" s="4" t="s">
        <v>2361</v>
      </c>
      <c r="G1" s="4" t="s">
        <v>2362</v>
      </c>
      <c r="H1" s="4" t="s">
        <v>2363</v>
      </c>
      <c r="I1" s="4" t="s">
        <v>2364</v>
      </c>
      <c r="J1" s="39" t="s">
        <v>136</v>
      </c>
    </row>
    <row r="2" spans="1:10" ht="45" x14ac:dyDescent="0.25">
      <c r="A2" s="8" t="s">
        <v>2365</v>
      </c>
      <c r="B2" s="8" t="s">
        <v>2366</v>
      </c>
      <c r="C2" s="51">
        <v>2</v>
      </c>
      <c r="D2" s="8">
        <v>69</v>
      </c>
      <c r="E2" s="76">
        <v>0</v>
      </c>
      <c r="F2" s="77">
        <v>100</v>
      </c>
      <c r="G2" s="8" t="s">
        <v>858</v>
      </c>
      <c r="H2" s="8" t="s">
        <v>859</v>
      </c>
      <c r="I2" s="51" t="s">
        <v>2354</v>
      </c>
      <c r="J2" s="9"/>
    </row>
    <row r="3" spans="1:10" x14ac:dyDescent="0.25">
      <c r="A3" s="11" t="s">
        <v>2367</v>
      </c>
      <c r="B3" s="11" t="s">
        <v>2368</v>
      </c>
      <c r="C3" s="55">
        <v>1</v>
      </c>
      <c r="D3" s="11">
        <v>66</v>
      </c>
      <c r="E3" s="76">
        <v>0</v>
      </c>
      <c r="F3" s="77">
        <v>100</v>
      </c>
      <c r="G3" s="11" t="s">
        <v>858</v>
      </c>
      <c r="H3" s="11" t="s">
        <v>859</v>
      </c>
      <c r="I3" s="55" t="s">
        <v>682</v>
      </c>
    </row>
    <row r="4" spans="1:10" x14ac:dyDescent="0.25">
      <c r="A4" s="8" t="s">
        <v>2369</v>
      </c>
      <c r="B4" s="8" t="s">
        <v>2370</v>
      </c>
      <c r="C4" s="51">
        <v>1</v>
      </c>
      <c r="D4" s="8">
        <v>56</v>
      </c>
      <c r="E4" s="76">
        <v>0</v>
      </c>
      <c r="F4" s="77">
        <v>100</v>
      </c>
      <c r="G4" s="8" t="s">
        <v>852</v>
      </c>
      <c r="H4" s="8" t="s">
        <v>823</v>
      </c>
      <c r="I4" s="51" t="s">
        <v>140</v>
      </c>
      <c r="J4" s="9"/>
    </row>
    <row r="5" spans="1:10" ht="30" x14ac:dyDescent="0.25">
      <c r="A5" s="11" t="s">
        <v>2371</v>
      </c>
      <c r="B5" s="11" t="s">
        <v>2372</v>
      </c>
      <c r="C5" s="55">
        <v>1</v>
      </c>
      <c r="D5" s="11">
        <v>56</v>
      </c>
      <c r="E5" s="76">
        <v>0</v>
      </c>
      <c r="F5" s="77">
        <v>100</v>
      </c>
      <c r="G5" s="11" t="s">
        <v>857</v>
      </c>
      <c r="H5" s="11" t="s">
        <v>823</v>
      </c>
      <c r="I5" s="55" t="s">
        <v>674</v>
      </c>
    </row>
    <row r="6" spans="1:10" ht="30" x14ac:dyDescent="0.25">
      <c r="A6" s="8" t="s">
        <v>2373</v>
      </c>
      <c r="B6" s="8" t="s">
        <v>2374</v>
      </c>
      <c r="C6" s="51">
        <v>1</v>
      </c>
      <c r="D6" s="8">
        <v>66</v>
      </c>
      <c r="E6" s="76">
        <v>0</v>
      </c>
      <c r="F6" s="77">
        <v>100</v>
      </c>
      <c r="G6" s="8" t="s">
        <v>858</v>
      </c>
      <c r="H6" s="8" t="s">
        <v>859</v>
      </c>
      <c r="I6" s="51" t="s">
        <v>642</v>
      </c>
      <c r="J6" s="9"/>
    </row>
    <row r="7" spans="1:10" ht="30" x14ac:dyDescent="0.25">
      <c r="A7" s="11" t="s">
        <v>2375</v>
      </c>
      <c r="B7" s="11" t="s">
        <v>2376</v>
      </c>
      <c r="C7" s="55">
        <v>1</v>
      </c>
      <c r="D7" s="11">
        <v>66</v>
      </c>
      <c r="E7" s="76">
        <v>0</v>
      </c>
      <c r="F7" s="77">
        <v>100</v>
      </c>
      <c r="G7" s="11" t="s">
        <v>858</v>
      </c>
      <c r="H7" s="11" t="s">
        <v>859</v>
      </c>
      <c r="I7" s="55" t="s">
        <v>322</v>
      </c>
    </row>
    <row r="8" spans="1:10" ht="30" x14ac:dyDescent="0.25">
      <c r="A8" s="8" t="s">
        <v>2377</v>
      </c>
      <c r="B8" s="8" t="s">
        <v>2378</v>
      </c>
      <c r="C8" s="51">
        <v>1</v>
      </c>
      <c r="D8" s="8">
        <v>59</v>
      </c>
      <c r="E8" s="76">
        <v>0</v>
      </c>
      <c r="F8" s="77">
        <v>100</v>
      </c>
      <c r="G8" s="8" t="s">
        <v>857</v>
      </c>
      <c r="H8" s="8" t="s">
        <v>823</v>
      </c>
      <c r="I8" s="51" t="s">
        <v>519</v>
      </c>
      <c r="J8" s="9"/>
    </row>
    <row r="9" spans="1:10" ht="30" x14ac:dyDescent="0.25">
      <c r="A9" s="11" t="s">
        <v>2379</v>
      </c>
      <c r="B9" s="11" t="s">
        <v>2380</v>
      </c>
      <c r="C9" s="55">
        <v>1</v>
      </c>
      <c r="D9" s="11">
        <v>69</v>
      </c>
      <c r="E9" s="76">
        <v>0</v>
      </c>
      <c r="F9" s="77">
        <v>100</v>
      </c>
      <c r="G9" s="11" t="s">
        <v>858</v>
      </c>
      <c r="H9" s="11" t="s">
        <v>859</v>
      </c>
      <c r="I9" s="55" t="s">
        <v>551</v>
      </c>
    </row>
    <row r="10" spans="1:10" x14ac:dyDescent="0.25">
      <c r="A10" s="8" t="s">
        <v>2381</v>
      </c>
      <c r="B10" s="8" t="s">
        <v>2382</v>
      </c>
      <c r="C10" s="51">
        <v>1</v>
      </c>
      <c r="D10" s="8">
        <v>59</v>
      </c>
      <c r="E10" s="76">
        <v>0</v>
      </c>
      <c r="F10" s="77">
        <v>100</v>
      </c>
      <c r="G10" s="8" t="s">
        <v>857</v>
      </c>
      <c r="H10" s="8" t="s">
        <v>823</v>
      </c>
      <c r="I10" s="51" t="s">
        <v>606</v>
      </c>
      <c r="J10" s="9"/>
    </row>
    <row r="11" spans="1:10" x14ac:dyDescent="0.25">
      <c r="A11" s="11" t="s">
        <v>2383</v>
      </c>
      <c r="B11" s="11" t="s">
        <v>2384</v>
      </c>
      <c r="C11" s="55">
        <v>1</v>
      </c>
      <c r="D11" s="11">
        <v>59</v>
      </c>
      <c r="E11" s="76">
        <v>0</v>
      </c>
      <c r="F11" s="77">
        <v>100</v>
      </c>
      <c r="G11" s="11" t="s">
        <v>852</v>
      </c>
      <c r="H11" s="11" t="s">
        <v>823</v>
      </c>
      <c r="I11" s="55" t="s">
        <v>512</v>
      </c>
    </row>
    <row r="12" spans="1:10" x14ac:dyDescent="0.25">
      <c r="A12" s="8" t="s">
        <v>2385</v>
      </c>
      <c r="B12" s="8" t="s">
        <v>2386</v>
      </c>
      <c r="C12" s="51">
        <v>1</v>
      </c>
      <c r="D12" s="8">
        <v>59</v>
      </c>
      <c r="E12" s="76">
        <v>0</v>
      </c>
      <c r="F12" s="77">
        <v>100</v>
      </c>
      <c r="G12" s="8" t="s">
        <v>852</v>
      </c>
      <c r="H12" s="8" t="s">
        <v>823</v>
      </c>
      <c r="I12" s="51" t="s">
        <v>582</v>
      </c>
      <c r="J12" s="9"/>
    </row>
    <row r="13" spans="1:10" x14ac:dyDescent="0.25">
      <c r="A13" s="11" t="s">
        <v>2387</v>
      </c>
      <c r="B13" s="11" t="s">
        <v>2388</v>
      </c>
      <c r="C13" s="55">
        <v>1</v>
      </c>
      <c r="D13" s="11">
        <v>66</v>
      </c>
      <c r="E13" s="76">
        <v>0</v>
      </c>
      <c r="F13" s="77">
        <v>100</v>
      </c>
      <c r="G13" s="11" t="s">
        <v>858</v>
      </c>
      <c r="H13" s="11" t="s">
        <v>859</v>
      </c>
      <c r="I13" s="55" t="s">
        <v>658</v>
      </c>
    </row>
    <row r="14" spans="1:10" ht="30" x14ac:dyDescent="0.25">
      <c r="A14" s="8" t="s">
        <v>2389</v>
      </c>
      <c r="B14" s="8" t="s">
        <v>2390</v>
      </c>
      <c r="C14" s="51">
        <v>1</v>
      </c>
      <c r="D14" s="8">
        <v>59</v>
      </c>
      <c r="E14" s="76">
        <v>0</v>
      </c>
      <c r="F14" s="77">
        <v>100</v>
      </c>
      <c r="G14" s="8" t="s">
        <v>852</v>
      </c>
      <c r="H14" s="8" t="s">
        <v>823</v>
      </c>
      <c r="I14" s="51" t="s">
        <v>156</v>
      </c>
      <c r="J14" s="9"/>
    </row>
    <row r="15" spans="1:10" x14ac:dyDescent="0.25">
      <c r="A15" s="11" t="s">
        <v>2391</v>
      </c>
      <c r="B15" s="11" t="s">
        <v>2392</v>
      </c>
      <c r="C15" s="55">
        <v>1</v>
      </c>
      <c r="D15" s="11">
        <v>69</v>
      </c>
      <c r="E15" s="76">
        <v>0</v>
      </c>
      <c r="F15" s="77">
        <v>100</v>
      </c>
      <c r="G15" s="11" t="s">
        <v>858</v>
      </c>
      <c r="H15" s="11" t="s">
        <v>859</v>
      </c>
      <c r="I15" s="55" t="s">
        <v>650</v>
      </c>
    </row>
    <row r="16" spans="1:10" x14ac:dyDescent="0.25">
      <c r="A16" s="8" t="s">
        <v>2393</v>
      </c>
      <c r="B16" s="8" t="s">
        <v>2394</v>
      </c>
      <c r="C16" s="51">
        <v>1</v>
      </c>
      <c r="D16" s="8">
        <v>69</v>
      </c>
      <c r="E16" s="76">
        <v>0</v>
      </c>
      <c r="F16" s="77">
        <v>100</v>
      </c>
      <c r="G16" s="8" t="s">
        <v>858</v>
      </c>
      <c r="H16" s="8" t="s">
        <v>859</v>
      </c>
      <c r="I16" s="51" t="s">
        <v>704</v>
      </c>
      <c r="J16" s="9"/>
    </row>
    <row r="17" spans="1:10" x14ac:dyDescent="0.25">
      <c r="A17" s="11" t="s">
        <v>2395</v>
      </c>
      <c r="B17" s="11" t="s">
        <v>2396</v>
      </c>
      <c r="C17" s="55">
        <v>1</v>
      </c>
      <c r="D17" s="11">
        <v>66</v>
      </c>
      <c r="E17" s="76">
        <v>0</v>
      </c>
      <c r="F17" s="77">
        <v>100</v>
      </c>
      <c r="G17" s="11" t="s">
        <v>858</v>
      </c>
      <c r="H17" s="11" t="s">
        <v>859</v>
      </c>
      <c r="I17" s="55" t="s">
        <v>148</v>
      </c>
    </row>
    <row r="18" spans="1:10" x14ac:dyDescent="0.25">
      <c r="A18" s="8" t="s">
        <v>2397</v>
      </c>
      <c r="B18" s="8" t="s">
        <v>2398</v>
      </c>
      <c r="C18" s="51">
        <v>1</v>
      </c>
      <c r="D18" s="8">
        <v>59</v>
      </c>
      <c r="E18" s="76">
        <v>0</v>
      </c>
      <c r="F18" s="77">
        <v>100</v>
      </c>
      <c r="G18" s="8" t="s">
        <v>852</v>
      </c>
      <c r="H18" s="8" t="s">
        <v>823</v>
      </c>
      <c r="I18" s="51" t="s">
        <v>497</v>
      </c>
      <c r="J18" s="9"/>
    </row>
    <row r="19" spans="1:10" x14ac:dyDescent="0.25">
      <c r="A19" s="11" t="s">
        <v>2399</v>
      </c>
      <c r="B19" s="11" t="s">
        <v>2400</v>
      </c>
      <c r="C19" s="55">
        <v>1</v>
      </c>
      <c r="D19" s="11">
        <v>59</v>
      </c>
      <c r="E19" s="76">
        <v>0</v>
      </c>
      <c r="F19" s="77">
        <v>100</v>
      </c>
      <c r="G19" s="11" t="s">
        <v>852</v>
      </c>
      <c r="H19" s="11" t="s">
        <v>823</v>
      </c>
      <c r="I19" s="55" t="s">
        <v>505</v>
      </c>
    </row>
    <row r="20" spans="1:10" x14ac:dyDescent="0.25">
      <c r="A20" s="8" t="s">
        <v>2401</v>
      </c>
      <c r="B20" s="8" t="s">
        <v>2402</v>
      </c>
      <c r="C20" s="51">
        <v>1</v>
      </c>
      <c r="D20" s="8">
        <v>59</v>
      </c>
      <c r="E20" s="76">
        <v>0</v>
      </c>
      <c r="F20" s="77">
        <v>100</v>
      </c>
      <c r="G20" s="8" t="s">
        <v>852</v>
      </c>
      <c r="H20" s="8" t="s">
        <v>823</v>
      </c>
      <c r="I20" s="51" t="s">
        <v>690</v>
      </c>
      <c r="J20" s="9"/>
    </row>
    <row r="21" spans="1:10" ht="30" x14ac:dyDescent="0.25">
      <c r="A21" s="11" t="s">
        <v>2403</v>
      </c>
      <c r="B21" s="11" t="s">
        <v>2404</v>
      </c>
      <c r="C21" s="55">
        <v>1</v>
      </c>
      <c r="D21" s="11">
        <v>56</v>
      </c>
      <c r="E21" s="76">
        <v>0</v>
      </c>
      <c r="F21" s="77">
        <v>100</v>
      </c>
      <c r="G21" s="11" t="s">
        <v>852</v>
      </c>
      <c r="H21" s="11" t="s">
        <v>823</v>
      </c>
      <c r="I21" s="55" t="s">
        <v>306</v>
      </c>
    </row>
    <row r="22" spans="1:10" ht="30" x14ac:dyDescent="0.25">
      <c r="A22" s="8" t="s">
        <v>2405</v>
      </c>
      <c r="B22" s="8" t="s">
        <v>2406</v>
      </c>
      <c r="C22" s="51">
        <v>1</v>
      </c>
      <c r="D22" s="8">
        <v>56</v>
      </c>
      <c r="E22" s="76">
        <v>0</v>
      </c>
      <c r="F22" s="77">
        <v>100</v>
      </c>
      <c r="G22" s="8" t="s">
        <v>852</v>
      </c>
      <c r="H22" s="8" t="s">
        <v>823</v>
      </c>
      <c r="I22" s="51" t="s">
        <v>314</v>
      </c>
      <c r="J22" s="9"/>
    </row>
    <row r="23" spans="1:10" ht="30" x14ac:dyDescent="0.25">
      <c r="A23" s="11" t="s">
        <v>2407</v>
      </c>
      <c r="B23" s="11" t="s">
        <v>2408</v>
      </c>
      <c r="C23" s="55">
        <v>1</v>
      </c>
      <c r="D23" s="11">
        <v>56</v>
      </c>
      <c r="E23" s="76">
        <v>0</v>
      </c>
      <c r="F23" s="77">
        <v>100</v>
      </c>
      <c r="G23" s="11" t="s">
        <v>852</v>
      </c>
      <c r="H23" s="11" t="s">
        <v>823</v>
      </c>
      <c r="I23" s="55" t="s">
        <v>366</v>
      </c>
    </row>
    <row r="24" spans="1:10" ht="30" x14ac:dyDescent="0.25">
      <c r="A24" s="8" t="s">
        <v>2409</v>
      </c>
      <c r="B24" s="8" t="s">
        <v>2410</v>
      </c>
      <c r="C24" s="51">
        <v>1</v>
      </c>
      <c r="D24" s="8">
        <v>69</v>
      </c>
      <c r="E24" s="76">
        <v>0</v>
      </c>
      <c r="F24" s="77">
        <v>100</v>
      </c>
      <c r="G24" s="8" t="s">
        <v>858</v>
      </c>
      <c r="H24" s="8" t="s">
        <v>859</v>
      </c>
      <c r="I24" s="51" t="s">
        <v>417</v>
      </c>
      <c r="J24" s="9"/>
    </row>
    <row r="25" spans="1:10" ht="30" x14ac:dyDescent="0.25">
      <c r="A25" s="11" t="s">
        <v>2411</v>
      </c>
      <c r="B25" s="11" t="s">
        <v>2412</v>
      </c>
      <c r="C25" s="55">
        <v>1</v>
      </c>
      <c r="D25" s="11">
        <v>56</v>
      </c>
      <c r="E25" s="76">
        <v>0</v>
      </c>
      <c r="F25" s="77">
        <v>100</v>
      </c>
      <c r="G25" s="11" t="s">
        <v>852</v>
      </c>
      <c r="H25" s="11" t="s">
        <v>823</v>
      </c>
      <c r="I25" s="55" t="s">
        <v>290</v>
      </c>
    </row>
    <row r="26" spans="1:10" ht="30" x14ac:dyDescent="0.25">
      <c r="A26" s="8" t="s">
        <v>2413</v>
      </c>
      <c r="B26" s="8" t="s">
        <v>2376</v>
      </c>
      <c r="C26" s="51">
        <v>1</v>
      </c>
      <c r="D26" s="8">
        <v>56</v>
      </c>
      <c r="E26" s="76">
        <v>0</v>
      </c>
      <c r="F26" s="77">
        <v>100</v>
      </c>
      <c r="G26" s="8" t="s">
        <v>857</v>
      </c>
      <c r="H26" s="8" t="s">
        <v>823</v>
      </c>
      <c r="I26" s="51" t="s">
        <v>188</v>
      </c>
      <c r="J26" s="9"/>
    </row>
    <row r="27" spans="1:10" ht="30" x14ac:dyDescent="0.25">
      <c r="A27" s="11" t="s">
        <v>2414</v>
      </c>
      <c r="B27" s="11" t="s">
        <v>2415</v>
      </c>
      <c r="C27" s="55">
        <v>1</v>
      </c>
      <c r="D27" s="11">
        <v>66</v>
      </c>
      <c r="E27" s="76">
        <v>0</v>
      </c>
      <c r="F27" s="77">
        <v>100</v>
      </c>
      <c r="G27" s="11" t="s">
        <v>858</v>
      </c>
      <c r="H27" s="11" t="s">
        <v>859</v>
      </c>
      <c r="I27" s="55" t="s">
        <v>242</v>
      </c>
    </row>
    <row r="28" spans="1:10" ht="30" x14ac:dyDescent="0.25">
      <c r="A28" s="8" t="s">
        <v>2416</v>
      </c>
      <c r="B28" s="8" t="s">
        <v>2417</v>
      </c>
      <c r="C28" s="51">
        <v>1</v>
      </c>
      <c r="D28" s="8">
        <v>69</v>
      </c>
      <c r="E28" s="76">
        <v>0</v>
      </c>
      <c r="F28" s="77">
        <v>100</v>
      </c>
      <c r="G28" s="8" t="s">
        <v>858</v>
      </c>
      <c r="H28" s="8" t="s">
        <v>859</v>
      </c>
      <c r="I28" s="51" t="s">
        <v>574</v>
      </c>
      <c r="J28" s="9"/>
    </row>
    <row r="29" spans="1:10" x14ac:dyDescent="0.25">
      <c r="A29" s="11" t="s">
        <v>2418</v>
      </c>
      <c r="B29" s="11" t="s">
        <v>2419</v>
      </c>
      <c r="C29" s="55">
        <v>1</v>
      </c>
      <c r="D29" s="11">
        <v>69</v>
      </c>
      <c r="E29" s="76">
        <v>0</v>
      </c>
      <c r="F29" s="77">
        <v>100</v>
      </c>
      <c r="G29" s="11" t="s">
        <v>858</v>
      </c>
      <c r="H29" s="11" t="s">
        <v>859</v>
      </c>
      <c r="I29" s="55" t="s">
        <v>627</v>
      </c>
    </row>
    <row r="30" spans="1:10" ht="30" x14ac:dyDescent="0.25">
      <c r="A30" s="8" t="s">
        <v>2420</v>
      </c>
      <c r="B30" s="8" t="s">
        <v>2421</v>
      </c>
      <c r="C30" s="51">
        <v>1</v>
      </c>
      <c r="D30" s="8">
        <v>59</v>
      </c>
      <c r="E30" s="76">
        <v>0</v>
      </c>
      <c r="F30" s="77">
        <v>100</v>
      </c>
      <c r="G30" s="8" t="s">
        <v>852</v>
      </c>
      <c r="H30" s="8" t="s">
        <v>823</v>
      </c>
      <c r="I30" s="51" t="s">
        <v>274</v>
      </c>
      <c r="J30" s="9"/>
    </row>
    <row r="31" spans="1:10" ht="30" x14ac:dyDescent="0.25">
      <c r="A31" s="11" t="s">
        <v>2409</v>
      </c>
      <c r="B31" s="11" t="s">
        <v>2422</v>
      </c>
      <c r="C31" s="55">
        <v>1</v>
      </c>
      <c r="D31" s="11">
        <v>56</v>
      </c>
      <c r="E31" s="76">
        <v>0</v>
      </c>
      <c r="F31" s="77">
        <v>100</v>
      </c>
      <c r="G31" s="11" t="s">
        <v>858</v>
      </c>
      <c r="H31" s="11" t="s">
        <v>859</v>
      </c>
      <c r="I31" s="55" t="s">
        <v>401</v>
      </c>
    </row>
    <row r="32" spans="1:10" ht="30" x14ac:dyDescent="0.25">
      <c r="A32" s="8" t="s">
        <v>2423</v>
      </c>
      <c r="B32" s="8" t="s">
        <v>2424</v>
      </c>
      <c r="C32" s="51">
        <v>1</v>
      </c>
      <c r="D32" s="8">
        <v>59</v>
      </c>
      <c r="E32" s="76">
        <v>0</v>
      </c>
      <c r="F32" s="77">
        <v>100</v>
      </c>
      <c r="G32" s="8" t="s">
        <v>852</v>
      </c>
      <c r="H32" s="8" t="s">
        <v>823</v>
      </c>
      <c r="I32" s="51" t="s">
        <v>298</v>
      </c>
      <c r="J32" s="9"/>
    </row>
    <row r="33" spans="1:10" x14ac:dyDescent="0.25">
      <c r="A33" s="11" t="s">
        <v>2425</v>
      </c>
      <c r="B33" s="11" t="s">
        <v>2426</v>
      </c>
      <c r="C33" s="55">
        <v>1</v>
      </c>
      <c r="D33" s="11">
        <v>69</v>
      </c>
      <c r="E33" s="76">
        <v>0</v>
      </c>
      <c r="F33" s="77">
        <v>100</v>
      </c>
      <c r="G33" s="11" t="s">
        <v>858</v>
      </c>
      <c r="H33" s="11" t="s">
        <v>859</v>
      </c>
      <c r="I33" s="55" t="s">
        <v>481</v>
      </c>
    </row>
    <row r="34" spans="1:10" ht="30" x14ac:dyDescent="0.25">
      <c r="A34" s="8" t="s">
        <v>2427</v>
      </c>
      <c r="B34" s="8" t="s">
        <v>2428</v>
      </c>
      <c r="C34" s="51">
        <v>1</v>
      </c>
      <c r="D34" s="8">
        <v>56</v>
      </c>
      <c r="E34" s="76">
        <v>0</v>
      </c>
      <c r="F34" s="77">
        <v>100</v>
      </c>
      <c r="G34" s="8" t="s">
        <v>857</v>
      </c>
      <c r="H34" s="8" t="s">
        <v>823</v>
      </c>
      <c r="I34" s="51" t="s">
        <v>172</v>
      </c>
      <c r="J34" s="9"/>
    </row>
    <row r="35" spans="1:10" x14ac:dyDescent="0.25">
      <c r="A35" s="11" t="s">
        <v>2429</v>
      </c>
      <c r="B35" s="11" t="s">
        <v>2430</v>
      </c>
      <c r="C35" s="55">
        <v>1</v>
      </c>
      <c r="D35" s="11">
        <v>56</v>
      </c>
      <c r="E35" s="76">
        <v>0</v>
      </c>
      <c r="F35" s="77">
        <v>100</v>
      </c>
      <c r="G35" s="11" t="s">
        <v>857</v>
      </c>
      <c r="H35" s="11" t="s">
        <v>823</v>
      </c>
      <c r="I35" s="55" t="s">
        <v>727</v>
      </c>
    </row>
    <row r="36" spans="1:10" x14ac:dyDescent="0.25">
      <c r="A36" s="8" t="s">
        <v>2431</v>
      </c>
      <c r="B36" s="8" t="s">
        <v>2432</v>
      </c>
      <c r="C36" s="51">
        <v>1</v>
      </c>
      <c r="D36" s="8">
        <v>56</v>
      </c>
      <c r="E36" s="76">
        <v>0</v>
      </c>
      <c r="F36" s="77">
        <v>100</v>
      </c>
      <c r="G36" s="8" t="s">
        <v>857</v>
      </c>
      <c r="H36" s="8" t="s">
        <v>823</v>
      </c>
      <c r="I36" s="51" t="s">
        <v>559</v>
      </c>
      <c r="J36" s="9"/>
    </row>
    <row r="37" spans="1:10" ht="30" x14ac:dyDescent="0.25">
      <c r="A37" s="11" t="s">
        <v>2409</v>
      </c>
      <c r="B37" s="11" t="s">
        <v>2433</v>
      </c>
      <c r="C37" s="55">
        <v>1</v>
      </c>
      <c r="D37" s="11">
        <v>69</v>
      </c>
      <c r="E37" s="76">
        <v>0</v>
      </c>
      <c r="F37" s="77">
        <v>100</v>
      </c>
      <c r="G37" s="11" t="s">
        <v>858</v>
      </c>
      <c r="H37" s="11" t="s">
        <v>859</v>
      </c>
      <c r="I37" s="55" t="s">
        <v>393</v>
      </c>
    </row>
    <row r="38" spans="1:10" ht="30" x14ac:dyDescent="0.25">
      <c r="A38" s="8" t="s">
        <v>2434</v>
      </c>
      <c r="B38" s="8" t="s">
        <v>2435</v>
      </c>
      <c r="C38" s="51">
        <v>1</v>
      </c>
      <c r="D38" s="8">
        <v>69</v>
      </c>
      <c r="E38" s="76">
        <v>0</v>
      </c>
      <c r="F38" s="77">
        <v>100</v>
      </c>
      <c r="G38" s="8" t="s">
        <v>858</v>
      </c>
      <c r="H38" s="8" t="s">
        <v>859</v>
      </c>
      <c r="I38" s="51" t="s">
        <v>566</v>
      </c>
      <c r="J38" s="9"/>
    </row>
    <row r="39" spans="1:10" ht="30" x14ac:dyDescent="0.25">
      <c r="A39" s="11" t="s">
        <v>2409</v>
      </c>
      <c r="B39" s="11" t="s">
        <v>2436</v>
      </c>
      <c r="C39" s="55">
        <v>1</v>
      </c>
      <c r="D39" s="11">
        <v>66</v>
      </c>
      <c r="E39" s="76">
        <v>0</v>
      </c>
      <c r="F39" s="77">
        <v>100</v>
      </c>
      <c r="G39" s="11" t="s">
        <v>858</v>
      </c>
      <c r="H39" s="11" t="s">
        <v>859</v>
      </c>
      <c r="I39" s="55" t="s">
        <v>377</v>
      </c>
    </row>
    <row r="40" spans="1:10" ht="30" x14ac:dyDescent="0.25">
      <c r="A40" s="8" t="s">
        <v>2409</v>
      </c>
      <c r="B40" s="8" t="s">
        <v>2437</v>
      </c>
      <c r="C40" s="51">
        <v>1</v>
      </c>
      <c r="D40" s="8">
        <v>69</v>
      </c>
      <c r="E40" s="76">
        <v>0</v>
      </c>
      <c r="F40" s="77">
        <v>100</v>
      </c>
      <c r="G40" s="8" t="s">
        <v>858</v>
      </c>
      <c r="H40" s="8" t="s">
        <v>859</v>
      </c>
      <c r="I40" s="51" t="s">
        <v>385</v>
      </c>
      <c r="J40" s="9"/>
    </row>
    <row r="41" spans="1:10" ht="30" x14ac:dyDescent="0.25">
      <c r="A41" s="11" t="s">
        <v>2438</v>
      </c>
      <c r="B41" s="11" t="s">
        <v>2439</v>
      </c>
      <c r="C41" s="55">
        <v>1</v>
      </c>
      <c r="D41" s="11">
        <v>56</v>
      </c>
      <c r="E41" s="76">
        <v>0</v>
      </c>
      <c r="F41" s="77">
        <v>100</v>
      </c>
      <c r="G41" s="11" t="s">
        <v>857</v>
      </c>
      <c r="H41" s="11" t="s">
        <v>823</v>
      </c>
      <c r="I41" s="55" t="s">
        <v>358</v>
      </c>
    </row>
    <row r="42" spans="1:10" ht="30" x14ac:dyDescent="0.25">
      <c r="A42" s="8" t="s">
        <v>2414</v>
      </c>
      <c r="B42" s="8" t="s">
        <v>2376</v>
      </c>
      <c r="C42" s="51">
        <v>1</v>
      </c>
      <c r="D42" s="8">
        <v>69</v>
      </c>
      <c r="E42" s="76">
        <v>0</v>
      </c>
      <c r="F42" s="77">
        <v>100</v>
      </c>
      <c r="G42" s="8" t="s">
        <v>858</v>
      </c>
      <c r="H42" s="8" t="s">
        <v>859</v>
      </c>
      <c r="I42" s="51" t="s">
        <v>196</v>
      </c>
      <c r="J42" s="9"/>
    </row>
    <row r="43" spans="1:10" x14ac:dyDescent="0.25">
      <c r="A43" s="11" t="s">
        <v>2440</v>
      </c>
      <c r="B43" s="11" t="s">
        <v>2441</v>
      </c>
      <c r="C43" s="55">
        <v>1</v>
      </c>
      <c r="D43" s="11">
        <v>59</v>
      </c>
      <c r="E43" s="76">
        <v>0</v>
      </c>
      <c r="F43" s="77">
        <v>100</v>
      </c>
      <c r="G43" s="11" t="s">
        <v>852</v>
      </c>
      <c r="H43" s="11" t="s">
        <v>823</v>
      </c>
      <c r="I43" s="55" t="s">
        <v>164</v>
      </c>
    </row>
    <row r="44" spans="1:10" ht="30" x14ac:dyDescent="0.25">
      <c r="A44" s="8" t="s">
        <v>2409</v>
      </c>
      <c r="B44" s="8" t="s">
        <v>2442</v>
      </c>
      <c r="C44" s="51">
        <v>1</v>
      </c>
      <c r="D44" s="8">
        <v>56</v>
      </c>
      <c r="E44" s="76">
        <v>0</v>
      </c>
      <c r="F44" s="77">
        <v>100</v>
      </c>
      <c r="G44" s="8" t="s">
        <v>858</v>
      </c>
      <c r="H44" s="8" t="s">
        <v>859</v>
      </c>
      <c r="I44" s="51" t="s">
        <v>409</v>
      </c>
      <c r="J44" s="9"/>
    </row>
    <row r="45" spans="1:10" ht="30" x14ac:dyDescent="0.25">
      <c r="A45" s="11" t="s">
        <v>2409</v>
      </c>
      <c r="B45" s="11" t="s">
        <v>2443</v>
      </c>
      <c r="C45" s="55">
        <v>1</v>
      </c>
      <c r="D45" s="11">
        <v>56</v>
      </c>
      <c r="E45" s="76">
        <v>0</v>
      </c>
      <c r="F45" s="77">
        <v>100</v>
      </c>
      <c r="G45" s="11" t="s">
        <v>858</v>
      </c>
      <c r="H45" s="11" t="s">
        <v>859</v>
      </c>
      <c r="I45" s="55" t="s">
        <v>436</v>
      </c>
    </row>
    <row r="46" spans="1:10" ht="30" x14ac:dyDescent="0.25">
      <c r="A46" s="8" t="s">
        <v>2444</v>
      </c>
      <c r="B46" s="8" t="s">
        <v>2445</v>
      </c>
      <c r="C46" s="51">
        <v>1</v>
      </c>
      <c r="D46" s="8">
        <v>69</v>
      </c>
      <c r="E46" s="76">
        <v>0</v>
      </c>
      <c r="F46" s="77">
        <v>100</v>
      </c>
      <c r="G46" s="8" t="s">
        <v>858</v>
      </c>
      <c r="H46" s="8" t="s">
        <v>859</v>
      </c>
      <c r="I46" s="51" t="s">
        <v>473</v>
      </c>
      <c r="J46" s="9"/>
    </row>
    <row r="47" spans="1:10" ht="30" x14ac:dyDescent="0.25">
      <c r="A47" s="11" t="s">
        <v>2446</v>
      </c>
      <c r="B47" s="11" t="s">
        <v>2447</v>
      </c>
      <c r="C47" s="55">
        <v>1</v>
      </c>
      <c r="D47" s="11">
        <v>69</v>
      </c>
      <c r="E47" s="76">
        <v>0</v>
      </c>
      <c r="F47" s="77">
        <v>100</v>
      </c>
      <c r="G47" s="11" t="s">
        <v>858</v>
      </c>
      <c r="H47" s="11" t="s">
        <v>859</v>
      </c>
      <c r="I47" s="55" t="s">
        <v>489</v>
      </c>
    </row>
    <row r="48" spans="1:10" ht="30" x14ac:dyDescent="0.25">
      <c r="A48" s="8" t="s">
        <v>2448</v>
      </c>
      <c r="B48" s="8" t="s">
        <v>2449</v>
      </c>
      <c r="C48" s="51">
        <v>1</v>
      </c>
      <c r="D48" s="8">
        <v>6</v>
      </c>
      <c r="E48" s="77">
        <v>100</v>
      </c>
      <c r="F48" s="76">
        <v>0</v>
      </c>
      <c r="G48" s="8" t="s">
        <v>830</v>
      </c>
      <c r="H48" s="8" t="s">
        <v>832</v>
      </c>
      <c r="I48" s="51" t="s">
        <v>338</v>
      </c>
      <c r="J48" s="9"/>
    </row>
    <row r="49" spans="1:10" ht="30" x14ac:dyDescent="0.25">
      <c r="A49" s="11" t="s">
        <v>2450</v>
      </c>
      <c r="B49" s="11" t="s">
        <v>2449</v>
      </c>
      <c r="C49" s="55">
        <v>1</v>
      </c>
      <c r="D49" s="11">
        <v>6</v>
      </c>
      <c r="E49" s="77">
        <v>100</v>
      </c>
      <c r="F49" s="76">
        <v>0</v>
      </c>
      <c r="G49" s="11" t="s">
        <v>830</v>
      </c>
      <c r="H49" s="11" t="s">
        <v>832</v>
      </c>
      <c r="I49" s="55" t="s">
        <v>433</v>
      </c>
    </row>
    <row r="50" spans="1:10" ht="30" x14ac:dyDescent="0.25">
      <c r="A50" s="8" t="s">
        <v>2451</v>
      </c>
      <c r="B50" s="8" t="s">
        <v>2452</v>
      </c>
      <c r="C50" s="51">
        <v>1</v>
      </c>
      <c r="D50" s="8">
        <v>56</v>
      </c>
      <c r="E50" s="76">
        <v>0</v>
      </c>
      <c r="F50" s="77">
        <v>100</v>
      </c>
      <c r="G50" s="8" t="s">
        <v>857</v>
      </c>
      <c r="H50" s="8" t="s">
        <v>823</v>
      </c>
      <c r="I50" s="51" t="s">
        <v>743</v>
      </c>
      <c r="J50" s="9"/>
    </row>
    <row r="51" spans="1:10" ht="30" x14ac:dyDescent="0.25">
      <c r="A51" s="11" t="s">
        <v>2453</v>
      </c>
      <c r="B51" s="11" t="s">
        <v>2454</v>
      </c>
      <c r="C51" s="55">
        <v>1</v>
      </c>
      <c r="D51" s="11">
        <v>56</v>
      </c>
      <c r="E51" s="76">
        <v>0</v>
      </c>
      <c r="F51" s="77">
        <v>100</v>
      </c>
      <c r="G51" s="11" t="s">
        <v>857</v>
      </c>
      <c r="H51" s="11" t="s">
        <v>823</v>
      </c>
      <c r="I51" s="55" t="s">
        <v>598</v>
      </c>
    </row>
    <row r="52" spans="1:10" ht="30" x14ac:dyDescent="0.25">
      <c r="A52" s="8" t="s">
        <v>2455</v>
      </c>
      <c r="B52" s="8" t="s">
        <v>2456</v>
      </c>
      <c r="C52" s="51">
        <v>1</v>
      </c>
      <c r="D52" s="8">
        <v>56</v>
      </c>
      <c r="E52" s="76">
        <v>0</v>
      </c>
      <c r="F52" s="77">
        <v>100</v>
      </c>
      <c r="G52" s="8" t="s">
        <v>857</v>
      </c>
      <c r="H52" s="8" t="s">
        <v>823</v>
      </c>
      <c r="I52" s="51" t="s">
        <v>735</v>
      </c>
      <c r="J52" s="9"/>
    </row>
    <row r="53" spans="1:10" x14ac:dyDescent="0.25">
      <c r="A53" s="11" t="s">
        <v>2457</v>
      </c>
      <c r="B53" s="11" t="s">
        <v>2458</v>
      </c>
      <c r="C53" s="55">
        <v>1</v>
      </c>
      <c r="D53" s="11">
        <v>59</v>
      </c>
      <c r="E53" s="76">
        <v>0</v>
      </c>
      <c r="F53" s="77">
        <v>100</v>
      </c>
      <c r="G53" s="11" t="s">
        <v>857</v>
      </c>
      <c r="H53" s="11" t="s">
        <v>823</v>
      </c>
      <c r="I53" s="55" t="s">
        <v>712</v>
      </c>
    </row>
    <row r="54" spans="1:10" x14ac:dyDescent="0.25">
      <c r="A54" s="8" t="s">
        <v>2459</v>
      </c>
      <c r="B54" s="8" t="s">
        <v>2419</v>
      </c>
      <c r="C54" s="51">
        <v>1</v>
      </c>
      <c r="D54" s="8">
        <v>46</v>
      </c>
      <c r="E54" s="76">
        <v>0</v>
      </c>
      <c r="F54" s="77">
        <v>100</v>
      </c>
      <c r="G54" s="8" t="s">
        <v>853</v>
      </c>
      <c r="H54" s="8" t="s">
        <v>855</v>
      </c>
      <c r="I54" s="51" t="s">
        <v>622</v>
      </c>
      <c r="J54" s="9"/>
    </row>
    <row r="55" spans="1:10" ht="30" x14ac:dyDescent="0.25">
      <c r="A55" s="11" t="s">
        <v>2460</v>
      </c>
      <c r="B55" s="11" t="s">
        <v>2461</v>
      </c>
      <c r="C55" s="55">
        <v>1</v>
      </c>
      <c r="D55" s="11">
        <v>66</v>
      </c>
      <c r="E55" s="76">
        <v>0</v>
      </c>
      <c r="F55" s="77">
        <v>100</v>
      </c>
      <c r="G55" s="11" t="s">
        <v>858</v>
      </c>
      <c r="H55" s="11" t="s">
        <v>859</v>
      </c>
      <c r="I55" s="55" t="s">
        <v>535</v>
      </c>
    </row>
    <row r="56" spans="1:10" ht="30" x14ac:dyDescent="0.25">
      <c r="A56" s="8" t="s">
        <v>2462</v>
      </c>
      <c r="B56" s="8" t="s">
        <v>2463</v>
      </c>
      <c r="C56" s="51">
        <v>1</v>
      </c>
      <c r="D56" s="8">
        <v>66</v>
      </c>
      <c r="E56" s="76">
        <v>0</v>
      </c>
      <c r="F56" s="77">
        <v>100</v>
      </c>
      <c r="G56" s="8" t="s">
        <v>858</v>
      </c>
      <c r="H56" s="8" t="s">
        <v>859</v>
      </c>
      <c r="I56" s="51" t="s">
        <v>527</v>
      </c>
      <c r="J56" s="9"/>
    </row>
    <row r="57" spans="1:10" x14ac:dyDescent="0.25">
      <c r="A57" s="11" t="s">
        <v>2464</v>
      </c>
      <c r="B57" s="11" t="s">
        <v>2465</v>
      </c>
      <c r="C57" s="55">
        <v>1</v>
      </c>
      <c r="D57" s="11">
        <v>56</v>
      </c>
      <c r="E57" s="76">
        <v>0</v>
      </c>
      <c r="F57" s="77">
        <v>100</v>
      </c>
      <c r="G57" s="11" t="s">
        <v>857</v>
      </c>
      <c r="H57" s="11" t="s">
        <v>823</v>
      </c>
      <c r="I57" s="55" t="s">
        <v>590</v>
      </c>
    </row>
    <row r="58" spans="1:10" ht="30" x14ac:dyDescent="0.25">
      <c r="A58" s="8" t="s">
        <v>2466</v>
      </c>
      <c r="B58" s="8" t="s">
        <v>2467</v>
      </c>
      <c r="C58" s="51">
        <v>1</v>
      </c>
      <c r="D58" s="8">
        <v>56</v>
      </c>
      <c r="E58" s="76">
        <v>0</v>
      </c>
      <c r="F58" s="77">
        <v>100</v>
      </c>
      <c r="G58" s="8" t="s">
        <v>857</v>
      </c>
      <c r="H58" s="8" t="s">
        <v>823</v>
      </c>
      <c r="I58" s="51" t="s">
        <v>758</v>
      </c>
      <c r="J58" s="9"/>
    </row>
    <row r="59" spans="1:10" ht="30" x14ac:dyDescent="0.25">
      <c r="A59" s="11" t="s">
        <v>2468</v>
      </c>
      <c r="B59" s="11" t="s">
        <v>2469</v>
      </c>
      <c r="C59" s="55">
        <v>1</v>
      </c>
      <c r="D59" s="11">
        <v>66</v>
      </c>
      <c r="E59" s="76">
        <v>0</v>
      </c>
      <c r="F59" s="77">
        <v>100</v>
      </c>
      <c r="G59" s="11" t="s">
        <v>858</v>
      </c>
      <c r="H59" s="11" t="s">
        <v>859</v>
      </c>
      <c r="I59" s="55" t="s">
        <v>282</v>
      </c>
    </row>
    <row r="60" spans="1:10" ht="30" x14ac:dyDescent="0.25">
      <c r="A60" s="8" t="s">
        <v>2470</v>
      </c>
      <c r="B60" s="8" t="s">
        <v>2471</v>
      </c>
      <c r="C60" s="51">
        <v>1</v>
      </c>
      <c r="D60" s="8">
        <v>56</v>
      </c>
      <c r="E60" s="76">
        <v>0</v>
      </c>
      <c r="F60" s="77">
        <v>100</v>
      </c>
      <c r="G60" s="8" t="s">
        <v>857</v>
      </c>
      <c r="H60" s="8" t="s">
        <v>823</v>
      </c>
      <c r="I60" s="51" t="s">
        <v>766</v>
      </c>
      <c r="J60" s="9"/>
    </row>
    <row r="61" spans="1:10" x14ac:dyDescent="0.25">
      <c r="A61" s="11" t="s">
        <v>2472</v>
      </c>
      <c r="B61" s="11" t="s">
        <v>2473</v>
      </c>
      <c r="C61" s="55">
        <v>1</v>
      </c>
      <c r="D61" s="11">
        <v>56</v>
      </c>
      <c r="E61" s="76">
        <v>0</v>
      </c>
      <c r="F61" s="77">
        <v>100</v>
      </c>
      <c r="G61" s="11" t="s">
        <v>857</v>
      </c>
      <c r="H61" s="11" t="s">
        <v>823</v>
      </c>
      <c r="I61" s="55" t="s">
        <v>614</v>
      </c>
    </row>
    <row r="62" spans="1:10" ht="30" x14ac:dyDescent="0.25">
      <c r="A62" s="8" t="s">
        <v>2409</v>
      </c>
      <c r="B62" s="8" t="s">
        <v>2474</v>
      </c>
      <c r="C62" s="51">
        <v>1</v>
      </c>
      <c r="D62" s="8">
        <v>69</v>
      </c>
      <c r="E62" s="76">
        <v>0</v>
      </c>
      <c r="F62" s="77">
        <v>100</v>
      </c>
      <c r="G62" s="8" t="s">
        <v>858</v>
      </c>
      <c r="H62" s="8" t="s">
        <v>859</v>
      </c>
      <c r="I62" s="51" t="s">
        <v>425</v>
      </c>
      <c r="J62" s="9"/>
    </row>
    <row r="63" spans="1:10" ht="30" x14ac:dyDescent="0.25">
      <c r="A63" s="11" t="s">
        <v>2414</v>
      </c>
      <c r="B63" s="11" t="s">
        <v>2475</v>
      </c>
      <c r="C63" s="55">
        <v>1</v>
      </c>
      <c r="D63" s="11">
        <v>69</v>
      </c>
      <c r="E63" s="76">
        <v>0</v>
      </c>
      <c r="F63" s="77">
        <v>100</v>
      </c>
      <c r="G63" s="11" t="s">
        <v>858</v>
      </c>
      <c r="H63" s="11" t="s">
        <v>859</v>
      </c>
      <c r="I63" s="55" t="s">
        <v>210</v>
      </c>
    </row>
    <row r="64" spans="1:10" ht="30" x14ac:dyDescent="0.25">
      <c r="A64" s="8" t="s">
        <v>2414</v>
      </c>
      <c r="B64" s="8" t="s">
        <v>2476</v>
      </c>
      <c r="C64" s="51">
        <v>1</v>
      </c>
      <c r="D64" s="8">
        <v>69</v>
      </c>
      <c r="E64" s="76">
        <v>0</v>
      </c>
      <c r="F64" s="77">
        <v>100</v>
      </c>
      <c r="G64" s="8" t="s">
        <v>858</v>
      </c>
      <c r="H64" s="8" t="s">
        <v>859</v>
      </c>
      <c r="I64" s="51" t="s">
        <v>258</v>
      </c>
      <c r="J64" s="9"/>
    </row>
    <row r="65" spans="1:10" ht="30" x14ac:dyDescent="0.25">
      <c r="A65" s="11" t="s">
        <v>2414</v>
      </c>
      <c r="B65" s="11" t="s">
        <v>2477</v>
      </c>
      <c r="C65" s="55">
        <v>1</v>
      </c>
      <c r="D65" s="11">
        <v>66</v>
      </c>
      <c r="E65" s="76">
        <v>0</v>
      </c>
      <c r="F65" s="77">
        <v>100</v>
      </c>
      <c r="G65" s="11" t="s">
        <v>858</v>
      </c>
      <c r="H65" s="11" t="s">
        <v>859</v>
      </c>
      <c r="I65" s="55" t="s">
        <v>250</v>
      </c>
    </row>
    <row r="66" spans="1:10" ht="30" x14ac:dyDescent="0.25">
      <c r="A66" s="8" t="s">
        <v>2414</v>
      </c>
      <c r="B66" s="8" t="s">
        <v>2478</v>
      </c>
      <c r="C66" s="51">
        <v>1</v>
      </c>
      <c r="D66" s="8">
        <v>69</v>
      </c>
      <c r="E66" s="76">
        <v>0</v>
      </c>
      <c r="F66" s="77">
        <v>100</v>
      </c>
      <c r="G66" s="8" t="s">
        <v>858</v>
      </c>
      <c r="H66" s="8" t="s">
        <v>859</v>
      </c>
      <c r="I66" s="51" t="s">
        <v>266</v>
      </c>
      <c r="J66" s="9"/>
    </row>
    <row r="67" spans="1:10" ht="30" x14ac:dyDescent="0.25">
      <c r="A67" s="11" t="s">
        <v>2479</v>
      </c>
      <c r="B67" s="11" t="s">
        <v>2480</v>
      </c>
      <c r="C67" s="55">
        <v>1</v>
      </c>
      <c r="D67" s="11">
        <v>56</v>
      </c>
      <c r="E67" s="76">
        <v>0</v>
      </c>
      <c r="F67" s="77">
        <v>100</v>
      </c>
      <c r="G67" s="11" t="s">
        <v>857</v>
      </c>
      <c r="H67" s="11" t="s">
        <v>823</v>
      </c>
      <c r="I67" s="55" t="s">
        <v>543</v>
      </c>
    </row>
    <row r="68" spans="1:10" ht="30" x14ac:dyDescent="0.25">
      <c r="A68" s="8" t="s">
        <v>2414</v>
      </c>
      <c r="B68" s="8" t="s">
        <v>2481</v>
      </c>
      <c r="C68" s="51">
        <v>1</v>
      </c>
      <c r="D68" s="8">
        <v>46</v>
      </c>
      <c r="E68" s="76">
        <v>0</v>
      </c>
      <c r="F68" s="77">
        <v>100</v>
      </c>
      <c r="G68" s="8" t="s">
        <v>858</v>
      </c>
      <c r="H68" s="8" t="s">
        <v>859</v>
      </c>
      <c r="I68" s="51" t="s">
        <v>99</v>
      </c>
      <c r="J68" s="9"/>
    </row>
    <row r="69" spans="1:10" ht="30" x14ac:dyDescent="0.25">
      <c r="A69" s="11" t="s">
        <v>2414</v>
      </c>
      <c r="B69" s="11" t="s">
        <v>2482</v>
      </c>
      <c r="C69" s="55">
        <v>1</v>
      </c>
      <c r="D69" s="11">
        <v>66</v>
      </c>
      <c r="E69" s="76">
        <v>0</v>
      </c>
      <c r="F69" s="77">
        <v>100</v>
      </c>
      <c r="G69" s="11" t="s">
        <v>858</v>
      </c>
      <c r="H69" s="11" t="s">
        <v>859</v>
      </c>
      <c r="I69" s="55" t="s">
        <v>226</v>
      </c>
    </row>
    <row r="70" spans="1:10" ht="30" x14ac:dyDescent="0.25">
      <c r="A70" s="8" t="s">
        <v>2414</v>
      </c>
      <c r="B70" s="8" t="s">
        <v>2483</v>
      </c>
      <c r="C70" s="51">
        <v>1</v>
      </c>
      <c r="D70" s="8">
        <v>66</v>
      </c>
      <c r="E70" s="76">
        <v>0</v>
      </c>
      <c r="F70" s="77">
        <v>100</v>
      </c>
      <c r="G70" s="8" t="s">
        <v>858</v>
      </c>
      <c r="H70" s="8" t="s">
        <v>859</v>
      </c>
      <c r="I70" s="51" t="s">
        <v>234</v>
      </c>
      <c r="J70" s="9"/>
    </row>
    <row r="71" spans="1:10" ht="30" x14ac:dyDescent="0.25">
      <c r="A71" s="11" t="s">
        <v>2414</v>
      </c>
      <c r="B71" s="11" t="s">
        <v>2484</v>
      </c>
      <c r="C71" s="55">
        <v>1</v>
      </c>
      <c r="D71" s="11">
        <v>56</v>
      </c>
      <c r="E71" s="76">
        <v>0</v>
      </c>
      <c r="F71" s="77">
        <v>100</v>
      </c>
      <c r="G71" s="11" t="s">
        <v>858</v>
      </c>
      <c r="H71" s="11" t="s">
        <v>859</v>
      </c>
      <c r="I71" s="55" t="s">
        <v>218</v>
      </c>
    </row>
    <row r="72" spans="1:10" ht="30" x14ac:dyDescent="0.25">
      <c r="A72" s="8" t="s">
        <v>2485</v>
      </c>
      <c r="B72" s="8" t="s">
        <v>2486</v>
      </c>
      <c r="C72" s="51">
        <v>1</v>
      </c>
      <c r="D72" s="8">
        <v>69</v>
      </c>
      <c r="E72" s="76">
        <v>0</v>
      </c>
      <c r="F72" s="77">
        <v>100</v>
      </c>
      <c r="G72" s="8" t="s">
        <v>858</v>
      </c>
      <c r="H72" s="8" t="s">
        <v>859</v>
      </c>
      <c r="I72" s="51" t="s">
        <v>342</v>
      </c>
      <c r="J72" s="9"/>
    </row>
    <row r="73" spans="1:10" x14ac:dyDescent="0.25">
      <c r="A73" s="11" t="s">
        <v>2487</v>
      </c>
      <c r="B73" s="11" t="s">
        <v>2488</v>
      </c>
      <c r="C73" s="55">
        <v>1</v>
      </c>
      <c r="D73" s="11">
        <v>56</v>
      </c>
      <c r="E73" s="76">
        <v>0</v>
      </c>
      <c r="F73" s="77">
        <v>100</v>
      </c>
      <c r="G73" s="11" t="s">
        <v>857</v>
      </c>
      <c r="H73" s="11" t="s">
        <v>823</v>
      </c>
      <c r="I73" s="55" t="s">
        <v>774</v>
      </c>
    </row>
    <row r="74" spans="1:10" ht="30" x14ac:dyDescent="0.25">
      <c r="A74" s="8" t="s">
        <v>2489</v>
      </c>
      <c r="B74" s="8" t="s">
        <v>2490</v>
      </c>
      <c r="C74" s="51">
        <v>1</v>
      </c>
      <c r="D74" s="8">
        <v>56</v>
      </c>
      <c r="E74" s="76">
        <v>0</v>
      </c>
      <c r="F74" s="77">
        <v>100</v>
      </c>
      <c r="G74" s="8" t="s">
        <v>857</v>
      </c>
      <c r="H74" s="8" t="s">
        <v>823</v>
      </c>
      <c r="I74" s="51" t="s">
        <v>750</v>
      </c>
      <c r="J74" s="9"/>
    </row>
    <row r="75" spans="1:10" ht="30" x14ac:dyDescent="0.25">
      <c r="A75" s="11" t="s">
        <v>2491</v>
      </c>
      <c r="B75" s="11" t="s">
        <v>2492</v>
      </c>
      <c r="C75" s="55">
        <v>1</v>
      </c>
      <c r="D75" s="11">
        <v>59</v>
      </c>
      <c r="E75" s="76">
        <v>0</v>
      </c>
      <c r="F75" s="77">
        <v>100</v>
      </c>
      <c r="G75" s="11" t="s">
        <v>857</v>
      </c>
      <c r="H75" s="11" t="s">
        <v>823</v>
      </c>
      <c r="I75" s="55" t="s">
        <v>465</v>
      </c>
    </row>
    <row r="76" spans="1:10" x14ac:dyDescent="0.25">
      <c r="A76" s="8" t="s">
        <v>2493</v>
      </c>
      <c r="B76" s="8" t="s">
        <v>2494</v>
      </c>
      <c r="C76" s="51">
        <v>1</v>
      </c>
      <c r="D76" s="8">
        <v>56</v>
      </c>
      <c r="E76" s="76">
        <v>0</v>
      </c>
      <c r="F76" s="77">
        <v>100</v>
      </c>
      <c r="G76" s="8" t="s">
        <v>857</v>
      </c>
      <c r="H76" s="8" t="s">
        <v>823</v>
      </c>
      <c r="I76" s="51" t="s">
        <v>457</v>
      </c>
      <c r="J76" s="9"/>
    </row>
    <row r="77" spans="1:10" ht="30" x14ac:dyDescent="0.25">
      <c r="A77" s="11" t="s">
        <v>2495</v>
      </c>
      <c r="B77" s="11" t="s">
        <v>2496</v>
      </c>
      <c r="C77" s="55">
        <v>1</v>
      </c>
      <c r="D77" s="11">
        <v>56</v>
      </c>
      <c r="E77" s="76">
        <v>0</v>
      </c>
      <c r="F77" s="77">
        <v>100</v>
      </c>
      <c r="G77" s="11" t="s">
        <v>857</v>
      </c>
      <c r="H77" s="11" t="s">
        <v>823</v>
      </c>
      <c r="I77" s="55" t="s">
        <v>449</v>
      </c>
    </row>
    <row r="78" spans="1:10" ht="30" x14ac:dyDescent="0.25">
      <c r="A78" s="8" t="s">
        <v>2497</v>
      </c>
      <c r="B78" s="8" t="s">
        <v>2498</v>
      </c>
      <c r="C78" s="51">
        <v>1</v>
      </c>
      <c r="D78" s="8">
        <v>46</v>
      </c>
      <c r="E78" s="76">
        <v>0</v>
      </c>
      <c r="F78" s="77">
        <v>100</v>
      </c>
      <c r="G78" s="8" t="s">
        <v>853</v>
      </c>
      <c r="H78" s="8" t="s">
        <v>855</v>
      </c>
      <c r="I78" s="51" t="s">
        <v>444</v>
      </c>
      <c r="J78" s="9"/>
    </row>
    <row r="79" spans="1:10" ht="30" x14ac:dyDescent="0.25">
      <c r="A79" s="11" t="s">
        <v>2499</v>
      </c>
      <c r="B79" s="11" t="s">
        <v>2500</v>
      </c>
      <c r="C79" s="55">
        <v>1</v>
      </c>
      <c r="D79" s="11">
        <v>59</v>
      </c>
      <c r="E79" s="76">
        <v>0</v>
      </c>
      <c r="F79" s="77">
        <v>100</v>
      </c>
      <c r="G79" s="11" t="s">
        <v>857</v>
      </c>
      <c r="H79" s="11" t="s">
        <v>823</v>
      </c>
      <c r="I79" s="55" t="s">
        <v>330</v>
      </c>
    </row>
    <row r="80" spans="1:10" x14ac:dyDescent="0.25">
      <c r="A80" s="8" t="s">
        <v>2501</v>
      </c>
      <c r="B80" s="8" t="s">
        <v>2502</v>
      </c>
      <c r="C80" s="51">
        <v>1</v>
      </c>
      <c r="D80" s="8">
        <v>59</v>
      </c>
      <c r="E80" s="76">
        <v>0</v>
      </c>
      <c r="F80" s="77">
        <v>100</v>
      </c>
      <c r="G80" s="8" t="s">
        <v>857</v>
      </c>
      <c r="H80" s="8" t="s">
        <v>823</v>
      </c>
      <c r="I80" s="51" t="s">
        <v>782</v>
      </c>
      <c r="J80" s="9"/>
    </row>
    <row r="81" spans="1:10" x14ac:dyDescent="0.25">
      <c r="A81" s="11" t="s">
        <v>2503</v>
      </c>
      <c r="B81" s="11" t="s">
        <v>2504</v>
      </c>
      <c r="C81" s="55">
        <v>1</v>
      </c>
      <c r="D81" s="11">
        <v>56</v>
      </c>
      <c r="E81" s="76">
        <v>0</v>
      </c>
      <c r="F81" s="77">
        <v>100</v>
      </c>
      <c r="G81" s="11" t="s">
        <v>857</v>
      </c>
      <c r="H81" s="11" t="s">
        <v>823</v>
      </c>
      <c r="I81" s="55" t="s">
        <v>720</v>
      </c>
    </row>
    <row r="82" spans="1:10" ht="30" x14ac:dyDescent="0.25">
      <c r="A82" s="8" t="s">
        <v>2505</v>
      </c>
      <c r="B82" s="8" t="s">
        <v>2506</v>
      </c>
      <c r="C82" s="51">
        <v>1</v>
      </c>
      <c r="D82" s="8">
        <v>56</v>
      </c>
      <c r="E82" s="76">
        <v>0</v>
      </c>
      <c r="F82" s="77">
        <v>100</v>
      </c>
      <c r="G82" s="8" t="s">
        <v>857</v>
      </c>
      <c r="H82" s="8" t="s">
        <v>823</v>
      </c>
      <c r="I82" s="51" t="s">
        <v>635</v>
      </c>
      <c r="J82" s="9"/>
    </row>
    <row r="83" spans="1:10" ht="30" x14ac:dyDescent="0.25">
      <c r="A83" s="11" t="s">
        <v>2507</v>
      </c>
      <c r="B83" s="11" t="s">
        <v>2508</v>
      </c>
      <c r="C83" s="55">
        <v>1</v>
      </c>
      <c r="D83" s="11">
        <v>59</v>
      </c>
      <c r="E83" s="76">
        <v>0</v>
      </c>
      <c r="F83" s="77">
        <v>100</v>
      </c>
      <c r="G83" s="11" t="s">
        <v>857</v>
      </c>
      <c r="H83" s="11" t="s">
        <v>823</v>
      </c>
      <c r="I83" s="55" t="s">
        <v>180</v>
      </c>
    </row>
    <row r="84" spans="1:10" x14ac:dyDescent="0.25">
      <c r="A84" s="8" t="s">
        <v>2509</v>
      </c>
      <c r="B84" s="8" t="s">
        <v>2478</v>
      </c>
      <c r="C84" s="51">
        <v>1</v>
      </c>
      <c r="D84" s="8">
        <v>56</v>
      </c>
      <c r="E84" s="76">
        <v>0</v>
      </c>
      <c r="F84" s="77">
        <v>100</v>
      </c>
      <c r="G84" s="8" t="s">
        <v>857</v>
      </c>
      <c r="H84" s="8" t="s">
        <v>823</v>
      </c>
      <c r="I84" s="51" t="s">
        <v>698</v>
      </c>
      <c r="J84" s="9"/>
    </row>
    <row r="85" spans="1:10" x14ac:dyDescent="0.25">
      <c r="A85" s="11" t="s">
        <v>2510</v>
      </c>
      <c r="B85" s="11" t="s">
        <v>2511</v>
      </c>
      <c r="C85" s="55">
        <v>1</v>
      </c>
      <c r="D85" s="11">
        <v>59</v>
      </c>
      <c r="E85" s="76">
        <v>0</v>
      </c>
      <c r="F85" s="77">
        <v>100</v>
      </c>
      <c r="G85" s="11" t="s">
        <v>852</v>
      </c>
      <c r="H85" s="11" t="s">
        <v>823</v>
      </c>
      <c r="I85" s="55" t="s">
        <v>666</v>
      </c>
    </row>
  </sheetData>
  <autoFilter ref="A1:J85" xr:uid="{00000000-0009-0000-0000-000014000000}"/>
  <dataValidations count="10">
    <dataValidation type="custom" allowBlank="1" showInputMessage="1" promptTitle="Path Segment" prompt="Path Segment. Review this metric to identify risk, then use linked tabs for details and remediation." sqref="A1" xr:uid="{00000000-0002-0000-1400-000000000000}">
      <formula1>TRUE</formula1>
    </dataValidation>
    <dataValidation type="custom" allowBlank="1" showInputMessage="1" promptTitle="Title Pattern" prompt="Title Pattern. Review this metric to identify risk, then use linked tabs for details and remediation." sqref="B1" xr:uid="{00000000-0002-0000-1400-000001000000}">
      <formula1>TRUE</formula1>
    </dataValidation>
    <dataValidation type="custom" allowBlank="1" showInputMessage="1" promptTitle="URL Count" prompt="URL Count. Use this URL to inspect the page directly or jump to related tabs." sqref="C1" xr:uid="{00000000-0002-0000-1400-000002000000}">
      <formula1>TRUE</formula1>
    </dataValidation>
    <dataValidation type="custom" allowBlank="1" showInputMessage="1" promptTitle="Cluster Health Score Avg" prompt="Composite SEO quality score for this URL. Higher is better. Guide: 90+ strong, 70-89 needs tuning, below 70 high priority." sqref="D1" xr:uid="{00000000-0002-0000-1400-000003000000}">
      <formula1>TRUE</formula1>
    </dataValidation>
    <dataValidation type="custom" allowBlank="1" showInputMessage="1" promptTitle="% with Critical" prompt="% with Critical. Review this metric to identify risk, then use linked tabs for details and remediation." sqref="E1" xr:uid="{00000000-0002-0000-1400-000004000000}">
      <formula1>TRUE</formula1>
    </dataValidation>
    <dataValidation type="custom" allowBlank="1" showInputMessage="1" promptTitle="% with Warnings" prompt="% with Warnings. Review this metric to identify risk, then use linked tabs for details and remediation." sqref="F1" xr:uid="{00000000-0002-0000-1400-000005000000}">
      <formula1>TRUE</formula1>
    </dataValidation>
    <dataValidation type="custom" allowBlank="1" showInputMessage="1" promptTitle="Dominant Issue Type" prompt="Dominant Issue Type. Review this metric to identify risk, then use linked tabs for details and remediation." sqref="G1" xr:uid="{00000000-0002-0000-1400-000006000000}">
      <formula1>TRUE</formula1>
    </dataValidation>
    <dataValidation type="custom" allowBlank="1" showInputMessage="1" promptTitle="Suggested Template Fix" prompt="Suggested Template Fix. Review this metric to identify risk, then use linked tabs for details and remediation." sqref="H1" xr:uid="{00000000-0002-0000-1400-000007000000}">
      <formula1>TRUE</formula1>
    </dataValidation>
    <dataValidation type="custom" allowBlank="1" showInputMessage="1" promptTitle="URLs" prompt="URLs. Use this URL to inspect the page directly or jump to related tabs." sqref="I1" xr:uid="{00000000-0002-0000-1400-000008000000}">
      <formula1>TRUE</formula1>
    </dataValidation>
    <dataValidation type="custom" allowBlank="1" showInputMessage="1" promptTitle="BACK TO DASHBOARD" prompt="BACK TO DASHBOARD. Review this metric to identify risk, then use linked tabs for details and remediation." sqref="J1" xr:uid="{00000000-0002-0000-1400-000009000000}">
      <formula1>TRUE</formula1>
    </dataValidation>
  </dataValidations>
  <hyperlinks>
    <hyperlink ref="J1" location="Dashboard!A1" display="BACK TO DASHBOARD" xr:uid="{00000000-0004-0000-1400-000000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788"/>
  <sheetViews>
    <sheetView workbookViewId="0">
      <pane ySplit="1" topLeftCell="A2" activePane="bottomLeft" state="frozen"/>
      <selection pane="bottomLeft"/>
    </sheetView>
  </sheetViews>
  <sheetFormatPr defaultRowHeight="15" x14ac:dyDescent="0.25"/>
  <cols>
    <col min="1" max="1" width="45" customWidth="1"/>
    <col min="2" max="2" width="36" customWidth="1"/>
    <col min="3" max="3" width="13" customWidth="1"/>
    <col min="4" max="4" width="15" customWidth="1"/>
    <col min="5" max="5" width="60" customWidth="1"/>
    <col min="6" max="6" width="13" customWidth="1"/>
    <col min="7" max="8" width="8" customWidth="1"/>
  </cols>
  <sheetData>
    <row r="1" spans="1:11" ht="45" x14ac:dyDescent="0.25">
      <c r="A1" s="4" t="s">
        <v>118</v>
      </c>
      <c r="B1" s="4" t="s">
        <v>1216</v>
      </c>
      <c r="C1" s="4" t="s">
        <v>88</v>
      </c>
      <c r="D1" s="4" t="s">
        <v>1220</v>
      </c>
      <c r="E1" s="4" t="s">
        <v>1222</v>
      </c>
      <c r="F1" s="4" t="s">
        <v>63</v>
      </c>
      <c r="G1" s="4" t="s">
        <v>73</v>
      </c>
      <c r="H1" s="4" t="s">
        <v>806</v>
      </c>
      <c r="I1" s="5" t="s">
        <v>135</v>
      </c>
      <c r="J1" s="5" t="s">
        <v>2512</v>
      </c>
      <c r="K1" s="39" t="s">
        <v>136</v>
      </c>
    </row>
    <row r="2" spans="1:11" ht="30" customHeight="1" x14ac:dyDescent="0.25">
      <c r="A2" s="59" t="s">
        <v>682</v>
      </c>
      <c r="B2" s="48" t="s">
        <v>858</v>
      </c>
      <c r="C2" s="61" t="s">
        <v>67</v>
      </c>
      <c r="D2" s="8" t="s">
        <v>9</v>
      </c>
      <c r="E2" s="71" t="s">
        <v>2513</v>
      </c>
      <c r="F2" s="60" t="s">
        <v>98</v>
      </c>
      <c r="G2" s="49" t="s">
        <v>2</v>
      </c>
      <c r="H2" s="8"/>
      <c r="I2" s="9" t="str">
        <f>IFERROR(HYPERLINK("#Main!A"&amp;MATCH(A2,Main!A:A,0),"Open"),HYPERLINK("#Main!A1","Open"))</f>
        <v>Open</v>
      </c>
      <c r="J2" s="9" t="str">
        <f t="shared" ref="J2:J65" ca="1" si="0">IFERROR(HYPERLINK("#"&amp;D2&amp;"!A"&amp;MATCH(A2,INDIRECT("'"&amp;D2&amp;"'!A:A"),0),"Open"),HYPERLINK("#"&amp;D2&amp;"!A1","Open"))</f>
        <v>Open</v>
      </c>
      <c r="K2" s="9"/>
    </row>
    <row r="3" spans="1:11" ht="30" customHeight="1" x14ac:dyDescent="0.25">
      <c r="A3" s="58" t="s">
        <v>682</v>
      </c>
      <c r="B3" s="42" t="s">
        <v>102</v>
      </c>
      <c r="C3" s="64" t="s">
        <v>68</v>
      </c>
      <c r="D3" s="11" t="s">
        <v>7</v>
      </c>
      <c r="E3" s="72" t="s">
        <v>2514</v>
      </c>
      <c r="F3" s="57" t="s">
        <v>825</v>
      </c>
      <c r="G3" s="49" t="s">
        <v>2</v>
      </c>
      <c r="H3" s="11"/>
      <c r="I3" t="str">
        <f>IFERROR(HYPERLINK("#Main!A"&amp;MATCH(A3,Main!A:A,0),"Open"),HYPERLINK("#Main!A1","Open"))</f>
        <v>Open</v>
      </c>
      <c r="J3" t="str">
        <f t="shared" ca="1" si="0"/>
        <v>Open</v>
      </c>
    </row>
    <row r="4" spans="1:11" ht="30" customHeight="1" x14ac:dyDescent="0.25">
      <c r="A4" s="59" t="s">
        <v>682</v>
      </c>
      <c r="B4" s="48" t="s">
        <v>872</v>
      </c>
      <c r="C4" s="64" t="s">
        <v>68</v>
      </c>
      <c r="D4" s="8" t="s">
        <v>7</v>
      </c>
      <c r="E4" s="71" t="s">
        <v>2515</v>
      </c>
      <c r="F4" s="57" t="s">
        <v>825</v>
      </c>
      <c r="G4" s="49" t="s">
        <v>2</v>
      </c>
      <c r="H4" s="8"/>
      <c r="I4" s="9" t="str">
        <f>IFERROR(HYPERLINK("#Main!A"&amp;MATCH(A4,Main!A:A,0),"Open"),HYPERLINK("#Main!A1","Open"))</f>
        <v>Open</v>
      </c>
      <c r="J4" s="9" t="str">
        <f t="shared" ca="1" si="0"/>
        <v>Open</v>
      </c>
      <c r="K4" s="9"/>
    </row>
    <row r="5" spans="1:11" ht="30" customHeight="1" x14ac:dyDescent="0.25">
      <c r="A5" s="58" t="s">
        <v>682</v>
      </c>
      <c r="B5" s="42" t="s">
        <v>873</v>
      </c>
      <c r="C5" s="64" t="s">
        <v>68</v>
      </c>
      <c r="D5" s="11" t="s">
        <v>7</v>
      </c>
      <c r="E5" s="72" t="s">
        <v>2516</v>
      </c>
      <c r="F5" s="57" t="s">
        <v>825</v>
      </c>
      <c r="G5" s="49" t="s">
        <v>2</v>
      </c>
      <c r="H5" s="11"/>
      <c r="I5" t="str">
        <f>IFERROR(HYPERLINK("#Main!A"&amp;MATCH(A5,Main!A:A,0),"Open"),HYPERLINK("#Main!A1","Open"))</f>
        <v>Open</v>
      </c>
      <c r="J5" t="str">
        <f t="shared" ca="1" si="0"/>
        <v>Open</v>
      </c>
    </row>
    <row r="6" spans="1:11" ht="30" customHeight="1" x14ac:dyDescent="0.25">
      <c r="A6" s="59" t="s">
        <v>682</v>
      </c>
      <c r="B6" s="48" t="s">
        <v>884</v>
      </c>
      <c r="C6" s="64" t="s">
        <v>68</v>
      </c>
      <c r="D6" s="8" t="s">
        <v>7</v>
      </c>
      <c r="E6" s="71" t="s">
        <v>2517</v>
      </c>
      <c r="F6" s="60" t="s">
        <v>98</v>
      </c>
      <c r="G6" s="49" t="s">
        <v>2</v>
      </c>
      <c r="H6" s="8"/>
      <c r="I6" s="9" t="str">
        <f>IFERROR(HYPERLINK("#Main!A"&amp;MATCH(A6,Main!A:A,0),"Open"),HYPERLINK("#Main!A1","Open"))</f>
        <v>Open</v>
      </c>
      <c r="J6" s="9" t="str">
        <f t="shared" ca="1" si="0"/>
        <v>Open</v>
      </c>
      <c r="K6" s="9"/>
    </row>
    <row r="7" spans="1:11" ht="30" customHeight="1" x14ac:dyDescent="0.25">
      <c r="A7" s="58" t="s">
        <v>682</v>
      </c>
      <c r="B7" s="42" t="s">
        <v>874</v>
      </c>
      <c r="C7" s="64" t="s">
        <v>68</v>
      </c>
      <c r="D7" s="11" t="s">
        <v>9</v>
      </c>
      <c r="E7" s="72" t="s">
        <v>2518</v>
      </c>
      <c r="F7" s="60" t="s">
        <v>98</v>
      </c>
      <c r="G7" s="49" t="s">
        <v>2</v>
      </c>
      <c r="H7" s="11"/>
      <c r="I7" t="str">
        <f>IFERROR(HYPERLINK("#Main!A"&amp;MATCH(A7,Main!A:A,0),"Open"),HYPERLINK("#Main!A1","Open"))</f>
        <v>Open</v>
      </c>
      <c r="J7" t="str">
        <f t="shared" ca="1" si="0"/>
        <v>Open</v>
      </c>
    </row>
    <row r="8" spans="1:11" ht="30" customHeight="1" x14ac:dyDescent="0.25">
      <c r="A8" s="59" t="s">
        <v>682</v>
      </c>
      <c r="B8" s="48" t="s">
        <v>877</v>
      </c>
      <c r="C8" s="64" t="s">
        <v>68</v>
      </c>
      <c r="D8" s="8" t="s">
        <v>7</v>
      </c>
      <c r="E8" s="71" t="s">
        <v>2519</v>
      </c>
      <c r="F8" s="60" t="s">
        <v>98</v>
      </c>
      <c r="G8" s="49" t="s">
        <v>2</v>
      </c>
      <c r="H8" s="8"/>
      <c r="I8" s="9" t="str">
        <f>IFERROR(HYPERLINK("#Main!A"&amp;MATCH(A8,Main!A:A,0),"Open"),HYPERLINK("#Main!A1","Open"))</f>
        <v>Open</v>
      </c>
      <c r="J8" s="9" t="str">
        <f t="shared" ca="1" si="0"/>
        <v>Open</v>
      </c>
      <c r="K8" s="9"/>
    </row>
    <row r="9" spans="1:11" ht="30" customHeight="1" x14ac:dyDescent="0.25">
      <c r="A9" s="58" t="s">
        <v>682</v>
      </c>
      <c r="B9" s="42" t="s">
        <v>880</v>
      </c>
      <c r="C9" s="64" t="s">
        <v>68</v>
      </c>
      <c r="D9" s="11" t="s">
        <v>7</v>
      </c>
      <c r="E9" s="72" t="s">
        <v>2520</v>
      </c>
      <c r="F9" s="60" t="s">
        <v>98</v>
      </c>
      <c r="G9" s="49" t="s">
        <v>2</v>
      </c>
      <c r="H9" s="11"/>
      <c r="I9" t="str">
        <f>IFERROR(HYPERLINK("#Main!A"&amp;MATCH(A9,Main!A:A,0),"Open"),HYPERLINK("#Main!A1","Open"))</f>
        <v>Open</v>
      </c>
      <c r="J9" t="str">
        <f t="shared" ca="1" si="0"/>
        <v>Open</v>
      </c>
    </row>
    <row r="10" spans="1:11" ht="30" customHeight="1" x14ac:dyDescent="0.25">
      <c r="A10" s="59" t="s">
        <v>682</v>
      </c>
      <c r="B10" s="48" t="s">
        <v>883</v>
      </c>
      <c r="C10" s="64" t="s">
        <v>68</v>
      </c>
      <c r="D10" s="8" t="s">
        <v>7</v>
      </c>
      <c r="E10" s="71" t="s">
        <v>2521</v>
      </c>
      <c r="F10" s="60" t="s">
        <v>98</v>
      </c>
      <c r="G10" s="49" t="s">
        <v>2</v>
      </c>
      <c r="H10" s="8"/>
      <c r="I10" s="9" t="str">
        <f>IFERROR(HYPERLINK("#Main!A"&amp;MATCH(A10,Main!A:A,0),"Open"),HYPERLINK("#Main!A1","Open"))</f>
        <v>Open</v>
      </c>
      <c r="J10" s="9" t="str">
        <f t="shared" ca="1" si="0"/>
        <v>Open</v>
      </c>
      <c r="K10" s="9"/>
    </row>
    <row r="11" spans="1:11" ht="15.75" x14ac:dyDescent="0.25">
      <c r="A11" s="58" t="s">
        <v>140</v>
      </c>
      <c r="B11" s="42" t="s">
        <v>852</v>
      </c>
      <c r="C11" s="61" t="s">
        <v>67</v>
      </c>
      <c r="D11" s="11" t="s">
        <v>7</v>
      </c>
      <c r="E11" s="72" t="s">
        <v>2522</v>
      </c>
      <c r="F11" s="60" t="s">
        <v>98</v>
      </c>
      <c r="G11" s="49" t="s">
        <v>2</v>
      </c>
      <c r="H11" s="11"/>
      <c r="I11" t="str">
        <f>IFERROR(HYPERLINK("#Main!A"&amp;MATCH(A11,Main!A:A,0),"Open"),HYPERLINK("#Main!A1","Open"))</f>
        <v>Open</v>
      </c>
      <c r="J11" t="str">
        <f t="shared" ca="1" si="0"/>
        <v>Open</v>
      </c>
    </row>
    <row r="12" spans="1:11" ht="15.75" x14ac:dyDescent="0.25">
      <c r="A12" s="59" t="s">
        <v>140</v>
      </c>
      <c r="B12" s="48" t="s">
        <v>858</v>
      </c>
      <c r="C12" s="61" t="s">
        <v>67</v>
      </c>
      <c r="D12" s="8" t="s">
        <v>9</v>
      </c>
      <c r="E12" s="71" t="s">
        <v>2523</v>
      </c>
      <c r="F12" s="60" t="s">
        <v>98</v>
      </c>
      <c r="G12" s="49" t="s">
        <v>2</v>
      </c>
      <c r="H12" s="8"/>
      <c r="I12" s="9" t="str">
        <f>IFERROR(HYPERLINK("#Main!A"&amp;MATCH(A12,Main!A:A,0),"Open"),HYPERLINK("#Main!A1","Open"))</f>
        <v>Open</v>
      </c>
      <c r="J12" s="9" t="str">
        <f t="shared" ca="1" si="0"/>
        <v>Open</v>
      </c>
      <c r="K12" s="9"/>
    </row>
    <row r="13" spans="1:11" ht="15.75" x14ac:dyDescent="0.25">
      <c r="A13" s="58" t="s">
        <v>140</v>
      </c>
      <c r="B13" s="42" t="s">
        <v>102</v>
      </c>
      <c r="C13" s="64" t="s">
        <v>68</v>
      </c>
      <c r="D13" s="11" t="s">
        <v>7</v>
      </c>
      <c r="E13" s="72" t="s">
        <v>2524</v>
      </c>
      <c r="F13" s="57" t="s">
        <v>825</v>
      </c>
      <c r="G13" s="49" t="s">
        <v>2</v>
      </c>
      <c r="H13" s="11"/>
      <c r="I13" t="str">
        <f>IFERROR(HYPERLINK("#Main!A"&amp;MATCH(A13,Main!A:A,0),"Open"),HYPERLINK("#Main!A1","Open"))</f>
        <v>Open</v>
      </c>
      <c r="J13" t="str">
        <f t="shared" ca="1" si="0"/>
        <v>Open</v>
      </c>
    </row>
    <row r="14" spans="1:11" ht="15.75" x14ac:dyDescent="0.25">
      <c r="A14" s="59" t="s">
        <v>140</v>
      </c>
      <c r="B14" s="48" t="s">
        <v>872</v>
      </c>
      <c r="C14" s="64" t="s">
        <v>68</v>
      </c>
      <c r="D14" s="8" t="s">
        <v>7</v>
      </c>
      <c r="E14" s="71" t="s">
        <v>2525</v>
      </c>
      <c r="F14" s="57" t="s">
        <v>825</v>
      </c>
      <c r="G14" s="49" t="s">
        <v>2</v>
      </c>
      <c r="H14" s="8"/>
      <c r="I14" s="9" t="str">
        <f>IFERROR(HYPERLINK("#Main!A"&amp;MATCH(A14,Main!A:A,0),"Open"),HYPERLINK("#Main!A1","Open"))</f>
        <v>Open</v>
      </c>
      <c r="J14" s="9" t="str">
        <f t="shared" ca="1" si="0"/>
        <v>Open</v>
      </c>
      <c r="K14" s="9"/>
    </row>
    <row r="15" spans="1:11" ht="15.75" x14ac:dyDescent="0.25">
      <c r="A15" s="58" t="s">
        <v>140</v>
      </c>
      <c r="B15" s="42" t="s">
        <v>873</v>
      </c>
      <c r="C15" s="64" t="s">
        <v>68</v>
      </c>
      <c r="D15" s="11" t="s">
        <v>7</v>
      </c>
      <c r="E15" s="72" t="s">
        <v>2526</v>
      </c>
      <c r="F15" s="57" t="s">
        <v>825</v>
      </c>
      <c r="G15" s="49" t="s">
        <v>2</v>
      </c>
      <c r="H15" s="11"/>
      <c r="I15" t="str">
        <f>IFERROR(HYPERLINK("#Main!A"&amp;MATCH(A15,Main!A:A,0),"Open"),HYPERLINK("#Main!A1","Open"))</f>
        <v>Open</v>
      </c>
      <c r="J15" t="str">
        <f t="shared" ca="1" si="0"/>
        <v>Open</v>
      </c>
    </row>
    <row r="16" spans="1:11" ht="15.75" x14ac:dyDescent="0.25">
      <c r="A16" s="59" t="s">
        <v>140</v>
      </c>
      <c r="B16" s="48" t="s">
        <v>884</v>
      </c>
      <c r="C16" s="64" t="s">
        <v>68</v>
      </c>
      <c r="D16" s="8" t="s">
        <v>7</v>
      </c>
      <c r="E16" s="71" t="s">
        <v>2527</v>
      </c>
      <c r="F16" s="60" t="s">
        <v>98</v>
      </c>
      <c r="G16" s="49" t="s">
        <v>2</v>
      </c>
      <c r="H16" s="8"/>
      <c r="I16" s="9" t="str">
        <f>IFERROR(HYPERLINK("#Main!A"&amp;MATCH(A16,Main!A:A,0),"Open"),HYPERLINK("#Main!A1","Open"))</f>
        <v>Open</v>
      </c>
      <c r="J16" s="9" t="str">
        <f t="shared" ca="1" si="0"/>
        <v>Open</v>
      </c>
      <c r="K16" s="9"/>
    </row>
    <row r="17" spans="1:11" ht="15.75" x14ac:dyDescent="0.25">
      <c r="A17" s="58" t="s">
        <v>140</v>
      </c>
      <c r="B17" s="42" t="s">
        <v>874</v>
      </c>
      <c r="C17" s="64" t="s">
        <v>68</v>
      </c>
      <c r="D17" s="11" t="s">
        <v>9</v>
      </c>
      <c r="E17" s="72" t="s">
        <v>2528</v>
      </c>
      <c r="F17" s="60" t="s">
        <v>98</v>
      </c>
      <c r="G17" s="49" t="s">
        <v>2</v>
      </c>
      <c r="H17" s="11"/>
      <c r="I17" t="str">
        <f>IFERROR(HYPERLINK("#Main!A"&amp;MATCH(A17,Main!A:A,0),"Open"),HYPERLINK("#Main!A1","Open"))</f>
        <v>Open</v>
      </c>
      <c r="J17" t="str">
        <f t="shared" ca="1" si="0"/>
        <v>Open</v>
      </c>
    </row>
    <row r="18" spans="1:11" ht="15.75" x14ac:dyDescent="0.25">
      <c r="A18" s="59" t="s">
        <v>140</v>
      </c>
      <c r="B18" s="48" t="s">
        <v>877</v>
      </c>
      <c r="C18" s="64" t="s">
        <v>68</v>
      </c>
      <c r="D18" s="8" t="s">
        <v>7</v>
      </c>
      <c r="E18" s="71" t="s">
        <v>2529</v>
      </c>
      <c r="F18" s="60" t="s">
        <v>98</v>
      </c>
      <c r="G18" s="49" t="s">
        <v>2</v>
      </c>
      <c r="H18" s="8"/>
      <c r="I18" s="9" t="str">
        <f>IFERROR(HYPERLINK("#Main!A"&amp;MATCH(A18,Main!A:A,0),"Open"),HYPERLINK("#Main!A1","Open"))</f>
        <v>Open</v>
      </c>
      <c r="J18" s="9" t="str">
        <f t="shared" ca="1" si="0"/>
        <v>Open</v>
      </c>
      <c r="K18" s="9"/>
    </row>
    <row r="19" spans="1:11" ht="15.75" x14ac:dyDescent="0.25">
      <c r="A19" s="58" t="s">
        <v>140</v>
      </c>
      <c r="B19" s="42" t="s">
        <v>880</v>
      </c>
      <c r="C19" s="64" t="s">
        <v>68</v>
      </c>
      <c r="D19" s="11" t="s">
        <v>7</v>
      </c>
      <c r="E19" s="72" t="s">
        <v>2530</v>
      </c>
      <c r="F19" s="60" t="s">
        <v>98</v>
      </c>
      <c r="G19" s="49" t="s">
        <v>2</v>
      </c>
      <c r="H19" s="11"/>
      <c r="I19" t="str">
        <f>IFERROR(HYPERLINK("#Main!A"&amp;MATCH(A19,Main!A:A,0),"Open"),HYPERLINK("#Main!A1","Open"))</f>
        <v>Open</v>
      </c>
      <c r="J19" t="str">
        <f t="shared" ca="1" si="0"/>
        <v>Open</v>
      </c>
    </row>
    <row r="20" spans="1:11" ht="15.75" x14ac:dyDescent="0.25">
      <c r="A20" s="59" t="s">
        <v>140</v>
      </c>
      <c r="B20" s="48" t="s">
        <v>883</v>
      </c>
      <c r="C20" s="64" t="s">
        <v>68</v>
      </c>
      <c r="D20" s="8" t="s">
        <v>7</v>
      </c>
      <c r="E20" s="71" t="s">
        <v>2531</v>
      </c>
      <c r="F20" s="60" t="s">
        <v>98</v>
      </c>
      <c r="G20" s="49" t="s">
        <v>2</v>
      </c>
      <c r="H20" s="8"/>
      <c r="I20" s="9" t="str">
        <f>IFERROR(HYPERLINK("#Main!A"&amp;MATCH(A20,Main!A:A,0),"Open"),HYPERLINK("#Main!A1","Open"))</f>
        <v>Open</v>
      </c>
      <c r="J20" s="9" t="str">
        <f t="shared" ca="1" si="0"/>
        <v>Open</v>
      </c>
      <c r="K20" s="9"/>
    </row>
    <row r="21" spans="1:11" ht="30" customHeight="1" x14ac:dyDescent="0.25">
      <c r="A21" s="58" t="s">
        <v>674</v>
      </c>
      <c r="B21" s="42" t="s">
        <v>857</v>
      </c>
      <c r="C21" s="61" t="s">
        <v>67</v>
      </c>
      <c r="D21" s="11" t="s">
        <v>7</v>
      </c>
      <c r="E21" s="72" t="s">
        <v>2532</v>
      </c>
      <c r="F21" s="60" t="s">
        <v>98</v>
      </c>
      <c r="G21" s="49" t="s">
        <v>2</v>
      </c>
      <c r="H21" s="11"/>
      <c r="I21" t="str">
        <f>IFERROR(HYPERLINK("#Main!A"&amp;MATCH(A21,Main!A:A,0),"Open"),HYPERLINK("#Main!A1","Open"))</f>
        <v>Open</v>
      </c>
      <c r="J21" t="str">
        <f t="shared" ca="1" si="0"/>
        <v>Open</v>
      </c>
    </row>
    <row r="22" spans="1:11" ht="30" customHeight="1" x14ac:dyDescent="0.25">
      <c r="A22" s="59" t="s">
        <v>674</v>
      </c>
      <c r="B22" s="48" t="s">
        <v>858</v>
      </c>
      <c r="C22" s="61" t="s">
        <v>67</v>
      </c>
      <c r="D22" s="8" t="s">
        <v>9</v>
      </c>
      <c r="E22" s="71" t="s">
        <v>2533</v>
      </c>
      <c r="F22" s="60" t="s">
        <v>98</v>
      </c>
      <c r="G22" s="49" t="s">
        <v>2</v>
      </c>
      <c r="H22" s="8"/>
      <c r="I22" s="9" t="str">
        <f>IFERROR(HYPERLINK("#Main!A"&amp;MATCH(A22,Main!A:A,0),"Open"),HYPERLINK("#Main!A1","Open"))</f>
        <v>Open</v>
      </c>
      <c r="J22" s="9" t="str">
        <f t="shared" ca="1" si="0"/>
        <v>Open</v>
      </c>
      <c r="K22" s="9"/>
    </row>
    <row r="23" spans="1:11" ht="30" customHeight="1" x14ac:dyDescent="0.25">
      <c r="A23" s="58" t="s">
        <v>674</v>
      </c>
      <c r="B23" s="42" t="s">
        <v>102</v>
      </c>
      <c r="C23" s="64" t="s">
        <v>68</v>
      </c>
      <c r="D23" s="11" t="s">
        <v>7</v>
      </c>
      <c r="E23" s="72" t="s">
        <v>2534</v>
      </c>
      <c r="F23" s="57" t="s">
        <v>825</v>
      </c>
      <c r="G23" s="49" t="s">
        <v>2</v>
      </c>
      <c r="H23" s="11"/>
      <c r="I23" t="str">
        <f>IFERROR(HYPERLINK("#Main!A"&amp;MATCH(A23,Main!A:A,0),"Open"),HYPERLINK("#Main!A1","Open"))</f>
        <v>Open</v>
      </c>
      <c r="J23" t="str">
        <f t="shared" ca="1" si="0"/>
        <v>Open</v>
      </c>
    </row>
    <row r="24" spans="1:11" ht="30" customHeight="1" x14ac:dyDescent="0.25">
      <c r="A24" s="59" t="s">
        <v>674</v>
      </c>
      <c r="B24" s="48" t="s">
        <v>872</v>
      </c>
      <c r="C24" s="64" t="s">
        <v>68</v>
      </c>
      <c r="D24" s="8" t="s">
        <v>7</v>
      </c>
      <c r="E24" s="71" t="s">
        <v>2535</v>
      </c>
      <c r="F24" s="57" t="s">
        <v>825</v>
      </c>
      <c r="G24" s="49" t="s">
        <v>2</v>
      </c>
      <c r="H24" s="8"/>
      <c r="I24" s="9" t="str">
        <f>IFERROR(HYPERLINK("#Main!A"&amp;MATCH(A24,Main!A:A,0),"Open"),HYPERLINK("#Main!A1","Open"))</f>
        <v>Open</v>
      </c>
      <c r="J24" s="9" t="str">
        <f t="shared" ca="1" si="0"/>
        <v>Open</v>
      </c>
      <c r="K24" s="9"/>
    </row>
    <row r="25" spans="1:11" ht="30" customHeight="1" x14ac:dyDescent="0.25">
      <c r="A25" s="58" t="s">
        <v>674</v>
      </c>
      <c r="B25" s="42" t="s">
        <v>873</v>
      </c>
      <c r="C25" s="64" t="s">
        <v>68</v>
      </c>
      <c r="D25" s="11" t="s">
        <v>7</v>
      </c>
      <c r="E25" s="72" t="s">
        <v>2536</v>
      </c>
      <c r="F25" s="57" t="s">
        <v>825</v>
      </c>
      <c r="G25" s="49" t="s">
        <v>2</v>
      </c>
      <c r="H25" s="11"/>
      <c r="I25" t="str">
        <f>IFERROR(HYPERLINK("#Main!A"&amp;MATCH(A25,Main!A:A,0),"Open"),HYPERLINK("#Main!A1","Open"))</f>
        <v>Open</v>
      </c>
      <c r="J25" t="str">
        <f t="shared" ca="1" si="0"/>
        <v>Open</v>
      </c>
    </row>
    <row r="26" spans="1:11" ht="30" customHeight="1" x14ac:dyDescent="0.25">
      <c r="A26" s="59" t="s">
        <v>674</v>
      </c>
      <c r="B26" s="48" t="s">
        <v>884</v>
      </c>
      <c r="C26" s="64" t="s">
        <v>68</v>
      </c>
      <c r="D26" s="8" t="s">
        <v>7</v>
      </c>
      <c r="E26" s="71" t="s">
        <v>2537</v>
      </c>
      <c r="F26" s="60" t="s">
        <v>98</v>
      </c>
      <c r="G26" s="49" t="s">
        <v>2</v>
      </c>
      <c r="H26" s="8"/>
      <c r="I26" s="9" t="str">
        <f>IFERROR(HYPERLINK("#Main!A"&amp;MATCH(A26,Main!A:A,0),"Open"),HYPERLINK("#Main!A1","Open"))</f>
        <v>Open</v>
      </c>
      <c r="J26" s="9" t="str">
        <f t="shared" ca="1" si="0"/>
        <v>Open</v>
      </c>
      <c r="K26" s="9"/>
    </row>
    <row r="27" spans="1:11" ht="30" customHeight="1" x14ac:dyDescent="0.25">
      <c r="A27" s="58" t="s">
        <v>674</v>
      </c>
      <c r="B27" s="42" t="s">
        <v>874</v>
      </c>
      <c r="C27" s="64" t="s">
        <v>68</v>
      </c>
      <c r="D27" s="11" t="s">
        <v>9</v>
      </c>
      <c r="E27" s="72" t="s">
        <v>2538</v>
      </c>
      <c r="F27" s="60" t="s">
        <v>98</v>
      </c>
      <c r="G27" s="49" t="s">
        <v>2</v>
      </c>
      <c r="H27" s="11"/>
      <c r="I27" t="str">
        <f>IFERROR(HYPERLINK("#Main!A"&amp;MATCH(A27,Main!A:A,0),"Open"),HYPERLINK("#Main!A1","Open"))</f>
        <v>Open</v>
      </c>
      <c r="J27" t="str">
        <f t="shared" ca="1" si="0"/>
        <v>Open</v>
      </c>
    </row>
    <row r="28" spans="1:11" ht="30" customHeight="1" x14ac:dyDescent="0.25">
      <c r="A28" s="59" t="s">
        <v>674</v>
      </c>
      <c r="B28" s="48" t="s">
        <v>877</v>
      </c>
      <c r="C28" s="64" t="s">
        <v>68</v>
      </c>
      <c r="D28" s="8" t="s">
        <v>7</v>
      </c>
      <c r="E28" s="71" t="s">
        <v>2539</v>
      </c>
      <c r="F28" s="60" t="s">
        <v>98</v>
      </c>
      <c r="G28" s="49" t="s">
        <v>2</v>
      </c>
      <c r="H28" s="8"/>
      <c r="I28" s="9" t="str">
        <f>IFERROR(HYPERLINK("#Main!A"&amp;MATCH(A28,Main!A:A,0),"Open"),HYPERLINK("#Main!A1","Open"))</f>
        <v>Open</v>
      </c>
      <c r="J28" s="9" t="str">
        <f t="shared" ca="1" si="0"/>
        <v>Open</v>
      </c>
      <c r="K28" s="9"/>
    </row>
    <row r="29" spans="1:11" ht="30" customHeight="1" x14ac:dyDescent="0.25">
      <c r="A29" s="58" t="s">
        <v>674</v>
      </c>
      <c r="B29" s="42" t="s">
        <v>880</v>
      </c>
      <c r="C29" s="64" t="s">
        <v>68</v>
      </c>
      <c r="D29" s="11" t="s">
        <v>7</v>
      </c>
      <c r="E29" s="72" t="s">
        <v>2540</v>
      </c>
      <c r="F29" s="60" t="s">
        <v>98</v>
      </c>
      <c r="G29" s="49" t="s">
        <v>2</v>
      </c>
      <c r="H29" s="11"/>
      <c r="I29" t="str">
        <f>IFERROR(HYPERLINK("#Main!A"&amp;MATCH(A29,Main!A:A,0),"Open"),HYPERLINK("#Main!A1","Open"))</f>
        <v>Open</v>
      </c>
      <c r="J29" t="str">
        <f t="shared" ca="1" si="0"/>
        <v>Open</v>
      </c>
    </row>
    <row r="30" spans="1:11" ht="30" customHeight="1" x14ac:dyDescent="0.25">
      <c r="A30" s="59" t="s">
        <v>674</v>
      </c>
      <c r="B30" s="48" t="s">
        <v>883</v>
      </c>
      <c r="C30" s="64" t="s">
        <v>68</v>
      </c>
      <c r="D30" s="8" t="s">
        <v>7</v>
      </c>
      <c r="E30" s="71" t="s">
        <v>2541</v>
      </c>
      <c r="F30" s="60" t="s">
        <v>98</v>
      </c>
      <c r="G30" s="49" t="s">
        <v>2</v>
      </c>
      <c r="H30" s="8"/>
      <c r="I30" s="9" t="str">
        <f>IFERROR(HYPERLINK("#Main!A"&amp;MATCH(A30,Main!A:A,0),"Open"),HYPERLINK("#Main!A1","Open"))</f>
        <v>Open</v>
      </c>
      <c r="J30" s="9" t="str">
        <f t="shared" ca="1" si="0"/>
        <v>Open</v>
      </c>
      <c r="K30" s="9"/>
    </row>
    <row r="31" spans="1:11" ht="30" customHeight="1" x14ac:dyDescent="0.25">
      <c r="A31" s="58" t="s">
        <v>642</v>
      </c>
      <c r="B31" s="42" t="s">
        <v>858</v>
      </c>
      <c r="C31" s="61" t="s">
        <v>67</v>
      </c>
      <c r="D31" s="11" t="s">
        <v>9</v>
      </c>
      <c r="E31" s="72" t="s">
        <v>2542</v>
      </c>
      <c r="F31" s="60" t="s">
        <v>98</v>
      </c>
      <c r="G31" s="49" t="s">
        <v>2</v>
      </c>
      <c r="H31" s="11"/>
      <c r="I31" t="str">
        <f>IFERROR(HYPERLINK("#Main!A"&amp;MATCH(A31,Main!A:A,0),"Open"),HYPERLINK("#Main!A1","Open"))</f>
        <v>Open</v>
      </c>
      <c r="J31" t="str">
        <f t="shared" ca="1" si="0"/>
        <v>Open</v>
      </c>
    </row>
    <row r="32" spans="1:11" ht="30" customHeight="1" x14ac:dyDescent="0.25">
      <c r="A32" s="59" t="s">
        <v>642</v>
      </c>
      <c r="B32" s="48" t="s">
        <v>102</v>
      </c>
      <c r="C32" s="64" t="s">
        <v>68</v>
      </c>
      <c r="D32" s="8" t="s">
        <v>7</v>
      </c>
      <c r="E32" s="71" t="s">
        <v>2543</v>
      </c>
      <c r="F32" s="57" t="s">
        <v>825</v>
      </c>
      <c r="G32" s="49" t="s">
        <v>2</v>
      </c>
      <c r="H32" s="8"/>
      <c r="I32" s="9" t="str">
        <f>IFERROR(HYPERLINK("#Main!A"&amp;MATCH(A32,Main!A:A,0),"Open"),HYPERLINK("#Main!A1","Open"))</f>
        <v>Open</v>
      </c>
      <c r="J32" s="9" t="str">
        <f t="shared" ca="1" si="0"/>
        <v>Open</v>
      </c>
      <c r="K32" s="9"/>
    </row>
    <row r="33" spans="1:11" ht="30" customHeight="1" x14ac:dyDescent="0.25">
      <c r="A33" s="58" t="s">
        <v>642</v>
      </c>
      <c r="B33" s="42" t="s">
        <v>872</v>
      </c>
      <c r="C33" s="64" t="s">
        <v>68</v>
      </c>
      <c r="D33" s="11" t="s">
        <v>7</v>
      </c>
      <c r="E33" s="72" t="s">
        <v>2544</v>
      </c>
      <c r="F33" s="57" t="s">
        <v>825</v>
      </c>
      <c r="G33" s="49" t="s">
        <v>2</v>
      </c>
      <c r="H33" s="11"/>
      <c r="I33" t="str">
        <f>IFERROR(HYPERLINK("#Main!A"&amp;MATCH(A33,Main!A:A,0),"Open"),HYPERLINK("#Main!A1","Open"))</f>
        <v>Open</v>
      </c>
      <c r="J33" t="str">
        <f t="shared" ca="1" si="0"/>
        <v>Open</v>
      </c>
    </row>
    <row r="34" spans="1:11" ht="30" customHeight="1" x14ac:dyDescent="0.25">
      <c r="A34" s="59" t="s">
        <v>642</v>
      </c>
      <c r="B34" s="48" t="s">
        <v>873</v>
      </c>
      <c r="C34" s="64" t="s">
        <v>68</v>
      </c>
      <c r="D34" s="8" t="s">
        <v>7</v>
      </c>
      <c r="E34" s="71" t="s">
        <v>2545</v>
      </c>
      <c r="F34" s="57" t="s">
        <v>825</v>
      </c>
      <c r="G34" s="49" t="s">
        <v>2</v>
      </c>
      <c r="H34" s="8"/>
      <c r="I34" s="9" t="str">
        <f>IFERROR(HYPERLINK("#Main!A"&amp;MATCH(A34,Main!A:A,0),"Open"),HYPERLINK("#Main!A1","Open"))</f>
        <v>Open</v>
      </c>
      <c r="J34" s="9" t="str">
        <f t="shared" ca="1" si="0"/>
        <v>Open</v>
      </c>
      <c r="K34" s="9"/>
    </row>
    <row r="35" spans="1:11" ht="30" customHeight="1" x14ac:dyDescent="0.25">
      <c r="A35" s="58" t="s">
        <v>642</v>
      </c>
      <c r="B35" s="42" t="s">
        <v>884</v>
      </c>
      <c r="C35" s="64" t="s">
        <v>68</v>
      </c>
      <c r="D35" s="11" t="s">
        <v>7</v>
      </c>
      <c r="E35" s="72" t="s">
        <v>2546</v>
      </c>
      <c r="F35" s="60" t="s">
        <v>98</v>
      </c>
      <c r="G35" s="49" t="s">
        <v>2</v>
      </c>
      <c r="H35" s="11"/>
      <c r="I35" t="str">
        <f>IFERROR(HYPERLINK("#Main!A"&amp;MATCH(A35,Main!A:A,0),"Open"),HYPERLINK("#Main!A1","Open"))</f>
        <v>Open</v>
      </c>
      <c r="J35" t="str">
        <f t="shared" ca="1" si="0"/>
        <v>Open</v>
      </c>
    </row>
    <row r="36" spans="1:11" ht="30" customHeight="1" x14ac:dyDescent="0.25">
      <c r="A36" s="59" t="s">
        <v>642</v>
      </c>
      <c r="B36" s="48" t="s">
        <v>874</v>
      </c>
      <c r="C36" s="64" t="s">
        <v>68</v>
      </c>
      <c r="D36" s="8" t="s">
        <v>9</v>
      </c>
      <c r="E36" s="71" t="s">
        <v>2547</v>
      </c>
      <c r="F36" s="60" t="s">
        <v>98</v>
      </c>
      <c r="G36" s="49" t="s">
        <v>2</v>
      </c>
      <c r="H36" s="8"/>
      <c r="I36" s="9" t="str">
        <f>IFERROR(HYPERLINK("#Main!A"&amp;MATCH(A36,Main!A:A,0),"Open"),HYPERLINK("#Main!A1","Open"))</f>
        <v>Open</v>
      </c>
      <c r="J36" s="9" t="str">
        <f t="shared" ca="1" si="0"/>
        <v>Open</v>
      </c>
      <c r="K36" s="9"/>
    </row>
    <row r="37" spans="1:11" ht="30" customHeight="1" x14ac:dyDescent="0.25">
      <c r="A37" s="58" t="s">
        <v>642</v>
      </c>
      <c r="B37" s="42" t="s">
        <v>877</v>
      </c>
      <c r="C37" s="64" t="s">
        <v>68</v>
      </c>
      <c r="D37" s="11" t="s">
        <v>7</v>
      </c>
      <c r="E37" s="72" t="s">
        <v>2548</v>
      </c>
      <c r="F37" s="60" t="s">
        <v>98</v>
      </c>
      <c r="G37" s="49" t="s">
        <v>2</v>
      </c>
      <c r="H37" s="11"/>
      <c r="I37" t="str">
        <f>IFERROR(HYPERLINK("#Main!A"&amp;MATCH(A37,Main!A:A,0),"Open"),HYPERLINK("#Main!A1","Open"))</f>
        <v>Open</v>
      </c>
      <c r="J37" t="str">
        <f t="shared" ca="1" si="0"/>
        <v>Open</v>
      </c>
    </row>
    <row r="38" spans="1:11" ht="30" customHeight="1" x14ac:dyDescent="0.25">
      <c r="A38" s="59" t="s">
        <v>642</v>
      </c>
      <c r="B38" s="48" t="s">
        <v>880</v>
      </c>
      <c r="C38" s="64" t="s">
        <v>68</v>
      </c>
      <c r="D38" s="8" t="s">
        <v>7</v>
      </c>
      <c r="E38" s="71" t="s">
        <v>2549</v>
      </c>
      <c r="F38" s="60" t="s">
        <v>98</v>
      </c>
      <c r="G38" s="49" t="s">
        <v>2</v>
      </c>
      <c r="H38" s="8"/>
      <c r="I38" s="9" t="str">
        <f>IFERROR(HYPERLINK("#Main!A"&amp;MATCH(A38,Main!A:A,0),"Open"),HYPERLINK("#Main!A1","Open"))</f>
        <v>Open</v>
      </c>
      <c r="J38" s="9" t="str">
        <f t="shared" ca="1" si="0"/>
        <v>Open</v>
      </c>
      <c r="K38" s="9"/>
    </row>
    <row r="39" spans="1:11" ht="30" customHeight="1" x14ac:dyDescent="0.25">
      <c r="A39" s="58" t="s">
        <v>642</v>
      </c>
      <c r="B39" s="42" t="s">
        <v>883</v>
      </c>
      <c r="C39" s="64" t="s">
        <v>68</v>
      </c>
      <c r="D39" s="11" t="s">
        <v>7</v>
      </c>
      <c r="E39" s="72" t="s">
        <v>2550</v>
      </c>
      <c r="F39" s="60" t="s">
        <v>98</v>
      </c>
      <c r="G39" s="49" t="s">
        <v>2</v>
      </c>
      <c r="H39" s="11"/>
      <c r="I39" t="str">
        <f>IFERROR(HYPERLINK("#Main!A"&amp;MATCH(A39,Main!A:A,0),"Open"),HYPERLINK("#Main!A1","Open"))</f>
        <v>Open</v>
      </c>
      <c r="J39" t="str">
        <f t="shared" ca="1" si="0"/>
        <v>Open</v>
      </c>
    </row>
    <row r="40" spans="1:11" ht="30" customHeight="1" x14ac:dyDescent="0.25">
      <c r="A40" s="59" t="s">
        <v>322</v>
      </c>
      <c r="B40" s="48" t="s">
        <v>858</v>
      </c>
      <c r="C40" s="61" t="s">
        <v>67</v>
      </c>
      <c r="D40" s="8" t="s">
        <v>9</v>
      </c>
      <c r="E40" s="71" t="s">
        <v>2551</v>
      </c>
      <c r="F40" s="60" t="s">
        <v>98</v>
      </c>
      <c r="G40" s="49" t="s">
        <v>2</v>
      </c>
      <c r="H40" s="8"/>
      <c r="I40" s="9" t="str">
        <f>IFERROR(HYPERLINK("#Main!A"&amp;MATCH(A40,Main!A:A,0),"Open"),HYPERLINK("#Main!A1","Open"))</f>
        <v>Open</v>
      </c>
      <c r="J40" s="9" t="str">
        <f t="shared" ca="1" si="0"/>
        <v>Open</v>
      </c>
      <c r="K40" s="9"/>
    </row>
    <row r="41" spans="1:11" ht="30" customHeight="1" x14ac:dyDescent="0.25">
      <c r="A41" s="58" t="s">
        <v>322</v>
      </c>
      <c r="B41" s="42" t="s">
        <v>869</v>
      </c>
      <c r="C41" s="64" t="s">
        <v>68</v>
      </c>
      <c r="D41" s="11" t="s">
        <v>7</v>
      </c>
      <c r="E41" s="72" t="s">
        <v>2552</v>
      </c>
      <c r="F41" s="60" t="s">
        <v>98</v>
      </c>
      <c r="G41" s="49" t="s">
        <v>2</v>
      </c>
      <c r="H41" s="11"/>
      <c r="I41" t="str">
        <f>IFERROR(HYPERLINK("#Main!A"&amp;MATCH(A41,Main!A:A,0),"Open"),HYPERLINK("#Main!A1","Open"))</f>
        <v>Open</v>
      </c>
      <c r="J41" t="str">
        <f t="shared" ca="1" si="0"/>
        <v>Open</v>
      </c>
    </row>
    <row r="42" spans="1:11" ht="30" customHeight="1" x14ac:dyDescent="0.25">
      <c r="A42" s="59" t="s">
        <v>322</v>
      </c>
      <c r="B42" s="48" t="s">
        <v>102</v>
      </c>
      <c r="C42" s="64" t="s">
        <v>68</v>
      </c>
      <c r="D42" s="8" t="s">
        <v>7</v>
      </c>
      <c r="E42" s="71" t="s">
        <v>2553</v>
      </c>
      <c r="F42" s="57" t="s">
        <v>825</v>
      </c>
      <c r="G42" s="49" t="s">
        <v>2</v>
      </c>
      <c r="H42" s="8"/>
      <c r="I42" s="9" t="str">
        <f>IFERROR(HYPERLINK("#Main!A"&amp;MATCH(A42,Main!A:A,0),"Open"),HYPERLINK("#Main!A1","Open"))</f>
        <v>Open</v>
      </c>
      <c r="J42" s="9" t="str">
        <f t="shared" ca="1" si="0"/>
        <v>Open</v>
      </c>
      <c r="K42" s="9"/>
    </row>
    <row r="43" spans="1:11" ht="30" customHeight="1" x14ac:dyDescent="0.25">
      <c r="A43" s="58" t="s">
        <v>322</v>
      </c>
      <c r="B43" s="42" t="s">
        <v>872</v>
      </c>
      <c r="C43" s="64" t="s">
        <v>68</v>
      </c>
      <c r="D43" s="11" t="s">
        <v>7</v>
      </c>
      <c r="E43" s="72" t="s">
        <v>2554</v>
      </c>
      <c r="F43" s="57" t="s">
        <v>825</v>
      </c>
      <c r="G43" s="49" t="s">
        <v>2</v>
      </c>
      <c r="H43" s="11"/>
      <c r="I43" t="str">
        <f>IFERROR(HYPERLINK("#Main!A"&amp;MATCH(A43,Main!A:A,0),"Open"),HYPERLINK("#Main!A1","Open"))</f>
        <v>Open</v>
      </c>
      <c r="J43" t="str">
        <f t="shared" ca="1" si="0"/>
        <v>Open</v>
      </c>
    </row>
    <row r="44" spans="1:11" ht="30" customHeight="1" x14ac:dyDescent="0.25">
      <c r="A44" s="59" t="s">
        <v>322</v>
      </c>
      <c r="B44" s="48" t="s">
        <v>873</v>
      </c>
      <c r="C44" s="64" t="s">
        <v>68</v>
      </c>
      <c r="D44" s="8" t="s">
        <v>7</v>
      </c>
      <c r="E44" s="71" t="s">
        <v>2555</v>
      </c>
      <c r="F44" s="57" t="s">
        <v>825</v>
      </c>
      <c r="G44" s="49" t="s">
        <v>2</v>
      </c>
      <c r="H44" s="8"/>
      <c r="I44" s="9" t="str">
        <f>IFERROR(HYPERLINK("#Main!A"&amp;MATCH(A44,Main!A:A,0),"Open"),HYPERLINK("#Main!A1","Open"))</f>
        <v>Open</v>
      </c>
      <c r="J44" s="9" t="str">
        <f t="shared" ca="1" si="0"/>
        <v>Open</v>
      </c>
      <c r="K44" s="9"/>
    </row>
    <row r="45" spans="1:11" ht="30" customHeight="1" x14ac:dyDescent="0.25">
      <c r="A45" s="58" t="s">
        <v>322</v>
      </c>
      <c r="B45" s="42" t="s">
        <v>874</v>
      </c>
      <c r="C45" s="64" t="s">
        <v>68</v>
      </c>
      <c r="D45" s="11" t="s">
        <v>9</v>
      </c>
      <c r="E45" s="72" t="s">
        <v>2556</v>
      </c>
      <c r="F45" s="60" t="s">
        <v>98</v>
      </c>
      <c r="G45" s="49" t="s">
        <v>2</v>
      </c>
      <c r="H45" s="11"/>
      <c r="I45" t="str">
        <f>IFERROR(HYPERLINK("#Main!A"&amp;MATCH(A45,Main!A:A,0),"Open"),HYPERLINK("#Main!A1","Open"))</f>
        <v>Open</v>
      </c>
      <c r="J45" t="str">
        <f t="shared" ca="1" si="0"/>
        <v>Open</v>
      </c>
    </row>
    <row r="46" spans="1:11" ht="30" customHeight="1" x14ac:dyDescent="0.25">
      <c r="A46" s="59" t="s">
        <v>322</v>
      </c>
      <c r="B46" s="48" t="s">
        <v>877</v>
      </c>
      <c r="C46" s="64" t="s">
        <v>68</v>
      </c>
      <c r="D46" s="8" t="s">
        <v>7</v>
      </c>
      <c r="E46" s="71" t="s">
        <v>2557</v>
      </c>
      <c r="F46" s="60" t="s">
        <v>98</v>
      </c>
      <c r="G46" s="49" t="s">
        <v>2</v>
      </c>
      <c r="H46" s="8"/>
      <c r="I46" s="9" t="str">
        <f>IFERROR(HYPERLINK("#Main!A"&amp;MATCH(A46,Main!A:A,0),"Open"),HYPERLINK("#Main!A1","Open"))</f>
        <v>Open</v>
      </c>
      <c r="J46" s="9" t="str">
        <f t="shared" ca="1" si="0"/>
        <v>Open</v>
      </c>
      <c r="K46" s="9"/>
    </row>
    <row r="47" spans="1:11" ht="30" customHeight="1" x14ac:dyDescent="0.25">
      <c r="A47" s="58" t="s">
        <v>322</v>
      </c>
      <c r="B47" s="42" t="s">
        <v>880</v>
      </c>
      <c r="C47" s="64" t="s">
        <v>68</v>
      </c>
      <c r="D47" s="11" t="s">
        <v>7</v>
      </c>
      <c r="E47" s="72" t="s">
        <v>2558</v>
      </c>
      <c r="F47" s="60" t="s">
        <v>98</v>
      </c>
      <c r="G47" s="49" t="s">
        <v>2</v>
      </c>
      <c r="H47" s="11"/>
      <c r="I47" t="str">
        <f>IFERROR(HYPERLINK("#Main!A"&amp;MATCH(A47,Main!A:A,0),"Open"),HYPERLINK("#Main!A1","Open"))</f>
        <v>Open</v>
      </c>
      <c r="J47" t="str">
        <f t="shared" ca="1" si="0"/>
        <v>Open</v>
      </c>
    </row>
    <row r="48" spans="1:11" ht="30" customHeight="1" x14ac:dyDescent="0.25">
      <c r="A48" s="59" t="s">
        <v>322</v>
      </c>
      <c r="B48" s="48" t="s">
        <v>883</v>
      </c>
      <c r="C48" s="64" t="s">
        <v>68</v>
      </c>
      <c r="D48" s="8" t="s">
        <v>7</v>
      </c>
      <c r="E48" s="71" t="s">
        <v>2559</v>
      </c>
      <c r="F48" s="60" t="s">
        <v>98</v>
      </c>
      <c r="G48" s="49" t="s">
        <v>2</v>
      </c>
      <c r="H48" s="8"/>
      <c r="I48" s="9" t="str">
        <f>IFERROR(HYPERLINK("#Main!A"&amp;MATCH(A48,Main!A:A,0),"Open"),HYPERLINK("#Main!A1","Open"))</f>
        <v>Open</v>
      </c>
      <c r="J48" s="9" t="str">
        <f t="shared" ca="1" si="0"/>
        <v>Open</v>
      </c>
      <c r="K48" s="9"/>
    </row>
    <row r="49" spans="1:11" ht="30" customHeight="1" x14ac:dyDescent="0.25">
      <c r="A49" s="58" t="s">
        <v>519</v>
      </c>
      <c r="B49" s="42" t="s">
        <v>857</v>
      </c>
      <c r="C49" s="61" t="s">
        <v>67</v>
      </c>
      <c r="D49" s="11" t="s">
        <v>7</v>
      </c>
      <c r="E49" s="72" t="s">
        <v>2560</v>
      </c>
      <c r="F49" s="60" t="s">
        <v>98</v>
      </c>
      <c r="G49" s="49" t="s">
        <v>2</v>
      </c>
      <c r="H49" s="11"/>
      <c r="I49" t="str">
        <f>IFERROR(HYPERLINK("#Main!A"&amp;MATCH(A49,Main!A:A,0),"Open"),HYPERLINK("#Main!A1","Open"))</f>
        <v>Open</v>
      </c>
      <c r="J49" t="str">
        <f t="shared" ca="1" si="0"/>
        <v>Open</v>
      </c>
    </row>
    <row r="50" spans="1:11" ht="30" customHeight="1" x14ac:dyDescent="0.25">
      <c r="A50" s="59" t="s">
        <v>519</v>
      </c>
      <c r="B50" s="48" t="s">
        <v>858</v>
      </c>
      <c r="C50" s="61" t="s">
        <v>67</v>
      </c>
      <c r="D50" s="8" t="s">
        <v>9</v>
      </c>
      <c r="E50" s="71" t="s">
        <v>2561</v>
      </c>
      <c r="F50" s="60" t="s">
        <v>98</v>
      </c>
      <c r="G50" s="49" t="s">
        <v>2</v>
      </c>
      <c r="H50" s="8"/>
      <c r="I50" s="9" t="str">
        <f>IFERROR(HYPERLINK("#Main!A"&amp;MATCH(A50,Main!A:A,0),"Open"),HYPERLINK("#Main!A1","Open"))</f>
        <v>Open</v>
      </c>
      <c r="J50" s="9" t="str">
        <f t="shared" ca="1" si="0"/>
        <v>Open</v>
      </c>
      <c r="K50" s="9"/>
    </row>
    <row r="51" spans="1:11" ht="30" customHeight="1" x14ac:dyDescent="0.25">
      <c r="A51" s="58" t="s">
        <v>519</v>
      </c>
      <c r="B51" s="42" t="s">
        <v>102</v>
      </c>
      <c r="C51" s="64" t="s">
        <v>68</v>
      </c>
      <c r="D51" s="11" t="s">
        <v>7</v>
      </c>
      <c r="E51" s="72" t="s">
        <v>2562</v>
      </c>
      <c r="F51" s="57" t="s">
        <v>825</v>
      </c>
      <c r="G51" s="49" t="s">
        <v>2</v>
      </c>
      <c r="H51" s="11"/>
      <c r="I51" t="str">
        <f>IFERROR(HYPERLINK("#Main!A"&amp;MATCH(A51,Main!A:A,0),"Open"),HYPERLINK("#Main!A1","Open"))</f>
        <v>Open</v>
      </c>
      <c r="J51" t="str">
        <f t="shared" ca="1" si="0"/>
        <v>Open</v>
      </c>
    </row>
    <row r="52" spans="1:11" ht="30" customHeight="1" x14ac:dyDescent="0.25">
      <c r="A52" s="59" t="s">
        <v>519</v>
      </c>
      <c r="B52" s="48" t="s">
        <v>872</v>
      </c>
      <c r="C52" s="64" t="s">
        <v>68</v>
      </c>
      <c r="D52" s="8" t="s">
        <v>7</v>
      </c>
      <c r="E52" s="71" t="s">
        <v>2563</v>
      </c>
      <c r="F52" s="57" t="s">
        <v>825</v>
      </c>
      <c r="G52" s="49" t="s">
        <v>2</v>
      </c>
      <c r="H52" s="8"/>
      <c r="I52" s="9" t="str">
        <f>IFERROR(HYPERLINK("#Main!A"&amp;MATCH(A52,Main!A:A,0),"Open"),HYPERLINK("#Main!A1","Open"))</f>
        <v>Open</v>
      </c>
      <c r="J52" s="9" t="str">
        <f t="shared" ca="1" si="0"/>
        <v>Open</v>
      </c>
      <c r="K52" s="9"/>
    </row>
    <row r="53" spans="1:11" ht="30" customHeight="1" x14ac:dyDescent="0.25">
      <c r="A53" s="58" t="s">
        <v>519</v>
      </c>
      <c r="B53" s="42" t="s">
        <v>873</v>
      </c>
      <c r="C53" s="64" t="s">
        <v>68</v>
      </c>
      <c r="D53" s="11" t="s">
        <v>7</v>
      </c>
      <c r="E53" s="72" t="s">
        <v>2564</v>
      </c>
      <c r="F53" s="57" t="s">
        <v>825</v>
      </c>
      <c r="G53" s="49" t="s">
        <v>2</v>
      </c>
      <c r="H53" s="11"/>
      <c r="I53" t="str">
        <f>IFERROR(HYPERLINK("#Main!A"&amp;MATCH(A53,Main!A:A,0),"Open"),HYPERLINK("#Main!A1","Open"))</f>
        <v>Open</v>
      </c>
      <c r="J53" t="str">
        <f t="shared" ca="1" si="0"/>
        <v>Open</v>
      </c>
    </row>
    <row r="54" spans="1:11" ht="30" customHeight="1" x14ac:dyDescent="0.25">
      <c r="A54" s="59" t="s">
        <v>519</v>
      </c>
      <c r="B54" s="48" t="s">
        <v>874</v>
      </c>
      <c r="C54" s="64" t="s">
        <v>68</v>
      </c>
      <c r="D54" s="8" t="s">
        <v>9</v>
      </c>
      <c r="E54" s="71" t="s">
        <v>2565</v>
      </c>
      <c r="F54" s="60" t="s">
        <v>98</v>
      </c>
      <c r="G54" s="49" t="s">
        <v>2</v>
      </c>
      <c r="H54" s="8"/>
      <c r="I54" s="9" t="str">
        <f>IFERROR(HYPERLINK("#Main!A"&amp;MATCH(A54,Main!A:A,0),"Open"),HYPERLINK("#Main!A1","Open"))</f>
        <v>Open</v>
      </c>
      <c r="J54" s="9" t="str">
        <f t="shared" ca="1" si="0"/>
        <v>Open</v>
      </c>
      <c r="K54" s="9"/>
    </row>
    <row r="55" spans="1:11" ht="30" customHeight="1" x14ac:dyDescent="0.25">
      <c r="A55" s="58" t="s">
        <v>519</v>
      </c>
      <c r="B55" s="42" t="s">
        <v>877</v>
      </c>
      <c r="C55" s="64" t="s">
        <v>68</v>
      </c>
      <c r="D55" s="11" t="s">
        <v>7</v>
      </c>
      <c r="E55" s="72" t="s">
        <v>2566</v>
      </c>
      <c r="F55" s="60" t="s">
        <v>98</v>
      </c>
      <c r="G55" s="49" t="s">
        <v>2</v>
      </c>
      <c r="H55" s="11"/>
      <c r="I55" t="str">
        <f>IFERROR(HYPERLINK("#Main!A"&amp;MATCH(A55,Main!A:A,0),"Open"),HYPERLINK("#Main!A1","Open"))</f>
        <v>Open</v>
      </c>
      <c r="J55" t="str">
        <f t="shared" ca="1" si="0"/>
        <v>Open</v>
      </c>
    </row>
    <row r="56" spans="1:11" ht="30" customHeight="1" x14ac:dyDescent="0.25">
      <c r="A56" s="59" t="s">
        <v>519</v>
      </c>
      <c r="B56" s="48" t="s">
        <v>880</v>
      </c>
      <c r="C56" s="64" t="s">
        <v>68</v>
      </c>
      <c r="D56" s="8" t="s">
        <v>7</v>
      </c>
      <c r="E56" s="71" t="s">
        <v>2567</v>
      </c>
      <c r="F56" s="60" t="s">
        <v>98</v>
      </c>
      <c r="G56" s="49" t="s">
        <v>2</v>
      </c>
      <c r="H56" s="8"/>
      <c r="I56" s="9" t="str">
        <f>IFERROR(HYPERLINK("#Main!A"&amp;MATCH(A56,Main!A:A,0),"Open"),HYPERLINK("#Main!A1","Open"))</f>
        <v>Open</v>
      </c>
      <c r="J56" s="9" t="str">
        <f t="shared" ca="1" si="0"/>
        <v>Open</v>
      </c>
      <c r="K56" s="9"/>
    </row>
    <row r="57" spans="1:11" ht="30" customHeight="1" x14ac:dyDescent="0.25">
      <c r="A57" s="58" t="s">
        <v>519</v>
      </c>
      <c r="B57" s="42" t="s">
        <v>883</v>
      </c>
      <c r="C57" s="64" t="s">
        <v>68</v>
      </c>
      <c r="D57" s="11" t="s">
        <v>7</v>
      </c>
      <c r="E57" s="72" t="s">
        <v>2568</v>
      </c>
      <c r="F57" s="60" t="s">
        <v>98</v>
      </c>
      <c r="G57" s="49" t="s">
        <v>2</v>
      </c>
      <c r="H57" s="11"/>
      <c r="I57" t="str">
        <f>IFERROR(HYPERLINK("#Main!A"&amp;MATCH(A57,Main!A:A,0),"Open"),HYPERLINK("#Main!A1","Open"))</f>
        <v>Open</v>
      </c>
      <c r="J57" t="str">
        <f t="shared" ca="1" si="0"/>
        <v>Open</v>
      </c>
    </row>
    <row r="58" spans="1:11" ht="30" customHeight="1" x14ac:dyDescent="0.25">
      <c r="A58" s="59" t="s">
        <v>551</v>
      </c>
      <c r="B58" s="48" t="s">
        <v>858</v>
      </c>
      <c r="C58" s="61" t="s">
        <v>67</v>
      </c>
      <c r="D58" s="8" t="s">
        <v>9</v>
      </c>
      <c r="E58" s="71" t="s">
        <v>2569</v>
      </c>
      <c r="F58" s="60" t="s">
        <v>98</v>
      </c>
      <c r="G58" s="49" t="s">
        <v>2</v>
      </c>
      <c r="H58" s="8"/>
      <c r="I58" s="9" t="str">
        <f>IFERROR(HYPERLINK("#Main!A"&amp;MATCH(A58,Main!A:A,0),"Open"),HYPERLINK("#Main!A1","Open"))</f>
        <v>Open</v>
      </c>
      <c r="J58" s="9" t="str">
        <f t="shared" ca="1" si="0"/>
        <v>Open</v>
      </c>
      <c r="K58" s="9"/>
    </row>
    <row r="59" spans="1:11" ht="30" customHeight="1" x14ac:dyDescent="0.25">
      <c r="A59" s="58" t="s">
        <v>551</v>
      </c>
      <c r="B59" s="42" t="s">
        <v>102</v>
      </c>
      <c r="C59" s="64" t="s">
        <v>68</v>
      </c>
      <c r="D59" s="11" t="s">
        <v>7</v>
      </c>
      <c r="E59" s="72" t="s">
        <v>2570</v>
      </c>
      <c r="F59" s="57" t="s">
        <v>825</v>
      </c>
      <c r="G59" s="49" t="s">
        <v>2</v>
      </c>
      <c r="H59" s="11"/>
      <c r="I59" t="str">
        <f>IFERROR(HYPERLINK("#Main!A"&amp;MATCH(A59,Main!A:A,0),"Open"),HYPERLINK("#Main!A1","Open"))</f>
        <v>Open</v>
      </c>
      <c r="J59" t="str">
        <f t="shared" ca="1" si="0"/>
        <v>Open</v>
      </c>
    </row>
    <row r="60" spans="1:11" ht="30" customHeight="1" x14ac:dyDescent="0.25">
      <c r="A60" s="59" t="s">
        <v>551</v>
      </c>
      <c r="B60" s="48" t="s">
        <v>872</v>
      </c>
      <c r="C60" s="64" t="s">
        <v>68</v>
      </c>
      <c r="D60" s="8" t="s">
        <v>7</v>
      </c>
      <c r="E60" s="71" t="s">
        <v>2571</v>
      </c>
      <c r="F60" s="57" t="s">
        <v>825</v>
      </c>
      <c r="G60" s="49" t="s">
        <v>2</v>
      </c>
      <c r="H60" s="8"/>
      <c r="I60" s="9" t="str">
        <f>IFERROR(HYPERLINK("#Main!A"&amp;MATCH(A60,Main!A:A,0),"Open"),HYPERLINK("#Main!A1","Open"))</f>
        <v>Open</v>
      </c>
      <c r="J60" s="9" t="str">
        <f t="shared" ca="1" si="0"/>
        <v>Open</v>
      </c>
      <c r="K60" s="9"/>
    </row>
    <row r="61" spans="1:11" ht="30" customHeight="1" x14ac:dyDescent="0.25">
      <c r="A61" s="58" t="s">
        <v>551</v>
      </c>
      <c r="B61" s="42" t="s">
        <v>873</v>
      </c>
      <c r="C61" s="64" t="s">
        <v>68</v>
      </c>
      <c r="D61" s="11" t="s">
        <v>7</v>
      </c>
      <c r="E61" s="72" t="s">
        <v>2572</v>
      </c>
      <c r="F61" s="57" t="s">
        <v>825</v>
      </c>
      <c r="G61" s="49" t="s">
        <v>2</v>
      </c>
      <c r="H61" s="11"/>
      <c r="I61" t="str">
        <f>IFERROR(HYPERLINK("#Main!A"&amp;MATCH(A61,Main!A:A,0),"Open"),HYPERLINK("#Main!A1","Open"))</f>
        <v>Open</v>
      </c>
      <c r="J61" t="str">
        <f t="shared" ca="1" si="0"/>
        <v>Open</v>
      </c>
    </row>
    <row r="62" spans="1:11" ht="30" customHeight="1" x14ac:dyDescent="0.25">
      <c r="A62" s="59" t="s">
        <v>551</v>
      </c>
      <c r="B62" s="48" t="s">
        <v>874</v>
      </c>
      <c r="C62" s="64" t="s">
        <v>68</v>
      </c>
      <c r="D62" s="8" t="s">
        <v>9</v>
      </c>
      <c r="E62" s="71" t="s">
        <v>2573</v>
      </c>
      <c r="F62" s="60" t="s">
        <v>98</v>
      </c>
      <c r="G62" s="49" t="s">
        <v>2</v>
      </c>
      <c r="H62" s="8"/>
      <c r="I62" s="9" t="str">
        <f>IFERROR(HYPERLINK("#Main!A"&amp;MATCH(A62,Main!A:A,0),"Open"),HYPERLINK("#Main!A1","Open"))</f>
        <v>Open</v>
      </c>
      <c r="J62" s="9" t="str">
        <f t="shared" ca="1" si="0"/>
        <v>Open</v>
      </c>
      <c r="K62" s="9"/>
    </row>
    <row r="63" spans="1:11" ht="30" customHeight="1" x14ac:dyDescent="0.25">
      <c r="A63" s="58" t="s">
        <v>551</v>
      </c>
      <c r="B63" s="42" t="s">
        <v>877</v>
      </c>
      <c r="C63" s="64" t="s">
        <v>68</v>
      </c>
      <c r="D63" s="11" t="s">
        <v>7</v>
      </c>
      <c r="E63" s="72" t="s">
        <v>2574</v>
      </c>
      <c r="F63" s="60" t="s">
        <v>98</v>
      </c>
      <c r="G63" s="49" t="s">
        <v>2</v>
      </c>
      <c r="H63" s="11"/>
      <c r="I63" t="str">
        <f>IFERROR(HYPERLINK("#Main!A"&amp;MATCH(A63,Main!A:A,0),"Open"),HYPERLINK("#Main!A1","Open"))</f>
        <v>Open</v>
      </c>
      <c r="J63" t="str">
        <f t="shared" ca="1" si="0"/>
        <v>Open</v>
      </c>
    </row>
    <row r="64" spans="1:11" ht="30" customHeight="1" x14ac:dyDescent="0.25">
      <c r="A64" s="59" t="s">
        <v>551</v>
      </c>
      <c r="B64" s="48" t="s">
        <v>880</v>
      </c>
      <c r="C64" s="64" t="s">
        <v>68</v>
      </c>
      <c r="D64" s="8" t="s">
        <v>7</v>
      </c>
      <c r="E64" s="71" t="s">
        <v>2575</v>
      </c>
      <c r="F64" s="60" t="s">
        <v>98</v>
      </c>
      <c r="G64" s="49" t="s">
        <v>2</v>
      </c>
      <c r="H64" s="8"/>
      <c r="I64" s="9" t="str">
        <f>IFERROR(HYPERLINK("#Main!A"&amp;MATCH(A64,Main!A:A,0),"Open"),HYPERLINK("#Main!A1","Open"))</f>
        <v>Open</v>
      </c>
      <c r="J64" s="9" t="str">
        <f t="shared" ca="1" si="0"/>
        <v>Open</v>
      </c>
      <c r="K64" s="9"/>
    </row>
    <row r="65" spans="1:11" ht="30" customHeight="1" x14ac:dyDescent="0.25">
      <c r="A65" s="58" t="s">
        <v>551</v>
      </c>
      <c r="B65" s="42" t="s">
        <v>883</v>
      </c>
      <c r="C65" s="64" t="s">
        <v>68</v>
      </c>
      <c r="D65" s="11" t="s">
        <v>7</v>
      </c>
      <c r="E65" s="72" t="s">
        <v>2576</v>
      </c>
      <c r="F65" s="60" t="s">
        <v>98</v>
      </c>
      <c r="G65" s="49" t="s">
        <v>2</v>
      </c>
      <c r="H65" s="11"/>
      <c r="I65" t="str">
        <f>IFERROR(HYPERLINK("#Main!A"&amp;MATCH(A65,Main!A:A,0),"Open"),HYPERLINK("#Main!A1","Open"))</f>
        <v>Open</v>
      </c>
      <c r="J65" t="str">
        <f t="shared" ca="1" si="0"/>
        <v>Open</v>
      </c>
    </row>
    <row r="66" spans="1:11" ht="30" customHeight="1" x14ac:dyDescent="0.25">
      <c r="A66" s="59" t="s">
        <v>606</v>
      </c>
      <c r="B66" s="48" t="s">
        <v>857</v>
      </c>
      <c r="C66" s="61" t="s">
        <v>67</v>
      </c>
      <c r="D66" s="8" t="s">
        <v>7</v>
      </c>
      <c r="E66" s="71" t="s">
        <v>2577</v>
      </c>
      <c r="F66" s="60" t="s">
        <v>98</v>
      </c>
      <c r="G66" s="49" t="s">
        <v>2</v>
      </c>
      <c r="H66" s="8"/>
      <c r="I66" s="9" t="str">
        <f>IFERROR(HYPERLINK("#Main!A"&amp;MATCH(A66,Main!A:A,0),"Open"),HYPERLINK("#Main!A1","Open"))</f>
        <v>Open</v>
      </c>
      <c r="J66" s="9" t="str">
        <f t="shared" ref="J66:J129" ca="1" si="1">IFERROR(HYPERLINK("#"&amp;D66&amp;"!A"&amp;MATCH(A66,INDIRECT("'"&amp;D66&amp;"'!A:A"),0),"Open"),HYPERLINK("#"&amp;D66&amp;"!A1","Open"))</f>
        <v>Open</v>
      </c>
      <c r="K66" s="9"/>
    </row>
    <row r="67" spans="1:11" ht="30" customHeight="1" x14ac:dyDescent="0.25">
      <c r="A67" s="58" t="s">
        <v>606</v>
      </c>
      <c r="B67" s="42" t="s">
        <v>858</v>
      </c>
      <c r="C67" s="61" t="s">
        <v>67</v>
      </c>
      <c r="D67" s="11" t="s">
        <v>9</v>
      </c>
      <c r="E67" s="72" t="s">
        <v>2578</v>
      </c>
      <c r="F67" s="60" t="s">
        <v>98</v>
      </c>
      <c r="G67" s="49" t="s">
        <v>2</v>
      </c>
      <c r="H67" s="11"/>
      <c r="I67" t="str">
        <f>IFERROR(HYPERLINK("#Main!A"&amp;MATCH(A67,Main!A:A,0),"Open"),HYPERLINK("#Main!A1","Open"))</f>
        <v>Open</v>
      </c>
      <c r="J67" t="str">
        <f t="shared" ca="1" si="1"/>
        <v>Open</v>
      </c>
    </row>
    <row r="68" spans="1:11" ht="30" customHeight="1" x14ac:dyDescent="0.25">
      <c r="A68" s="59" t="s">
        <v>606</v>
      </c>
      <c r="B68" s="48" t="s">
        <v>102</v>
      </c>
      <c r="C68" s="64" t="s">
        <v>68</v>
      </c>
      <c r="D68" s="8" t="s">
        <v>7</v>
      </c>
      <c r="E68" s="71" t="s">
        <v>2579</v>
      </c>
      <c r="F68" s="57" t="s">
        <v>825</v>
      </c>
      <c r="G68" s="49" t="s">
        <v>2</v>
      </c>
      <c r="H68" s="8"/>
      <c r="I68" s="9" t="str">
        <f>IFERROR(HYPERLINK("#Main!A"&amp;MATCH(A68,Main!A:A,0),"Open"),HYPERLINK("#Main!A1","Open"))</f>
        <v>Open</v>
      </c>
      <c r="J68" s="9" t="str">
        <f t="shared" ca="1" si="1"/>
        <v>Open</v>
      </c>
      <c r="K68" s="9"/>
    </row>
    <row r="69" spans="1:11" ht="30" customHeight="1" x14ac:dyDescent="0.25">
      <c r="A69" s="58" t="s">
        <v>606</v>
      </c>
      <c r="B69" s="42" t="s">
        <v>872</v>
      </c>
      <c r="C69" s="64" t="s">
        <v>68</v>
      </c>
      <c r="D69" s="11" t="s">
        <v>7</v>
      </c>
      <c r="E69" s="72" t="s">
        <v>2580</v>
      </c>
      <c r="F69" s="57" t="s">
        <v>825</v>
      </c>
      <c r="G69" s="49" t="s">
        <v>2</v>
      </c>
      <c r="H69" s="11"/>
      <c r="I69" t="str">
        <f>IFERROR(HYPERLINK("#Main!A"&amp;MATCH(A69,Main!A:A,0),"Open"),HYPERLINK("#Main!A1","Open"))</f>
        <v>Open</v>
      </c>
      <c r="J69" t="str">
        <f t="shared" ca="1" si="1"/>
        <v>Open</v>
      </c>
    </row>
    <row r="70" spans="1:11" ht="30" customHeight="1" x14ac:dyDescent="0.25">
      <c r="A70" s="59" t="s">
        <v>606</v>
      </c>
      <c r="B70" s="48" t="s">
        <v>873</v>
      </c>
      <c r="C70" s="64" t="s">
        <v>68</v>
      </c>
      <c r="D70" s="8" t="s">
        <v>7</v>
      </c>
      <c r="E70" s="71" t="s">
        <v>2581</v>
      </c>
      <c r="F70" s="57" t="s">
        <v>825</v>
      </c>
      <c r="G70" s="49" t="s">
        <v>2</v>
      </c>
      <c r="H70" s="8"/>
      <c r="I70" s="9" t="str">
        <f>IFERROR(HYPERLINK("#Main!A"&amp;MATCH(A70,Main!A:A,0),"Open"),HYPERLINK("#Main!A1","Open"))</f>
        <v>Open</v>
      </c>
      <c r="J70" s="9" t="str">
        <f t="shared" ca="1" si="1"/>
        <v>Open</v>
      </c>
      <c r="K70" s="9"/>
    </row>
    <row r="71" spans="1:11" ht="30" customHeight="1" x14ac:dyDescent="0.25">
      <c r="A71" s="58" t="s">
        <v>606</v>
      </c>
      <c r="B71" s="42" t="s">
        <v>874</v>
      </c>
      <c r="C71" s="64" t="s">
        <v>68</v>
      </c>
      <c r="D71" s="11" t="s">
        <v>9</v>
      </c>
      <c r="E71" s="72" t="s">
        <v>2582</v>
      </c>
      <c r="F71" s="60" t="s">
        <v>98</v>
      </c>
      <c r="G71" s="49" t="s">
        <v>2</v>
      </c>
      <c r="H71" s="11"/>
      <c r="I71" t="str">
        <f>IFERROR(HYPERLINK("#Main!A"&amp;MATCH(A71,Main!A:A,0),"Open"),HYPERLINK("#Main!A1","Open"))</f>
        <v>Open</v>
      </c>
      <c r="J71" t="str">
        <f t="shared" ca="1" si="1"/>
        <v>Open</v>
      </c>
    </row>
    <row r="72" spans="1:11" ht="30" customHeight="1" x14ac:dyDescent="0.25">
      <c r="A72" s="59" t="s">
        <v>606</v>
      </c>
      <c r="B72" s="48" t="s">
        <v>877</v>
      </c>
      <c r="C72" s="64" t="s">
        <v>68</v>
      </c>
      <c r="D72" s="8" t="s">
        <v>7</v>
      </c>
      <c r="E72" s="71" t="s">
        <v>2583</v>
      </c>
      <c r="F72" s="60" t="s">
        <v>98</v>
      </c>
      <c r="G72" s="49" t="s">
        <v>2</v>
      </c>
      <c r="H72" s="8"/>
      <c r="I72" s="9" t="str">
        <f>IFERROR(HYPERLINK("#Main!A"&amp;MATCH(A72,Main!A:A,0),"Open"),HYPERLINK("#Main!A1","Open"))</f>
        <v>Open</v>
      </c>
      <c r="J72" s="9" t="str">
        <f t="shared" ca="1" si="1"/>
        <v>Open</v>
      </c>
      <c r="K72" s="9"/>
    </row>
    <row r="73" spans="1:11" ht="30" customHeight="1" x14ac:dyDescent="0.25">
      <c r="A73" s="58" t="s">
        <v>606</v>
      </c>
      <c r="B73" s="42" t="s">
        <v>880</v>
      </c>
      <c r="C73" s="64" t="s">
        <v>68</v>
      </c>
      <c r="D73" s="11" t="s">
        <v>7</v>
      </c>
      <c r="E73" s="72" t="s">
        <v>2584</v>
      </c>
      <c r="F73" s="60" t="s">
        <v>98</v>
      </c>
      <c r="G73" s="49" t="s">
        <v>2</v>
      </c>
      <c r="H73" s="11"/>
      <c r="I73" t="str">
        <f>IFERROR(HYPERLINK("#Main!A"&amp;MATCH(A73,Main!A:A,0),"Open"),HYPERLINK("#Main!A1","Open"))</f>
        <v>Open</v>
      </c>
      <c r="J73" t="str">
        <f t="shared" ca="1" si="1"/>
        <v>Open</v>
      </c>
    </row>
    <row r="74" spans="1:11" ht="30" customHeight="1" x14ac:dyDescent="0.25">
      <c r="A74" s="59" t="s">
        <v>606</v>
      </c>
      <c r="B74" s="48" t="s">
        <v>883</v>
      </c>
      <c r="C74" s="64" t="s">
        <v>68</v>
      </c>
      <c r="D74" s="8" t="s">
        <v>7</v>
      </c>
      <c r="E74" s="71" t="s">
        <v>2585</v>
      </c>
      <c r="F74" s="60" t="s">
        <v>98</v>
      </c>
      <c r="G74" s="49" t="s">
        <v>2</v>
      </c>
      <c r="H74" s="8"/>
      <c r="I74" s="9" t="str">
        <f>IFERROR(HYPERLINK("#Main!A"&amp;MATCH(A74,Main!A:A,0),"Open"),HYPERLINK("#Main!A1","Open"))</f>
        <v>Open</v>
      </c>
      <c r="J74" s="9" t="str">
        <f t="shared" ca="1" si="1"/>
        <v>Open</v>
      </c>
      <c r="K74" s="9"/>
    </row>
    <row r="75" spans="1:11" ht="30" customHeight="1" x14ac:dyDescent="0.25">
      <c r="A75" s="58" t="s">
        <v>512</v>
      </c>
      <c r="B75" s="42" t="s">
        <v>852</v>
      </c>
      <c r="C75" s="61" t="s">
        <v>67</v>
      </c>
      <c r="D75" s="11" t="s">
        <v>7</v>
      </c>
      <c r="E75" s="72" t="s">
        <v>2586</v>
      </c>
      <c r="F75" s="60" t="s">
        <v>98</v>
      </c>
      <c r="G75" s="49" t="s">
        <v>2</v>
      </c>
      <c r="H75" s="11"/>
      <c r="I75" t="str">
        <f>IFERROR(HYPERLINK("#Main!A"&amp;MATCH(A75,Main!A:A,0),"Open"),HYPERLINK("#Main!A1","Open"))</f>
        <v>Open</v>
      </c>
      <c r="J75" t="str">
        <f t="shared" ca="1" si="1"/>
        <v>Open</v>
      </c>
    </row>
    <row r="76" spans="1:11" ht="30" customHeight="1" x14ac:dyDescent="0.25">
      <c r="A76" s="59" t="s">
        <v>512</v>
      </c>
      <c r="B76" s="48" t="s">
        <v>858</v>
      </c>
      <c r="C76" s="61" t="s">
        <v>67</v>
      </c>
      <c r="D76" s="8" t="s">
        <v>9</v>
      </c>
      <c r="E76" s="71" t="s">
        <v>2587</v>
      </c>
      <c r="F76" s="60" t="s">
        <v>98</v>
      </c>
      <c r="G76" s="49" t="s">
        <v>2</v>
      </c>
      <c r="H76" s="8"/>
      <c r="I76" s="9" t="str">
        <f>IFERROR(HYPERLINK("#Main!A"&amp;MATCH(A76,Main!A:A,0),"Open"),HYPERLINK("#Main!A1","Open"))</f>
        <v>Open</v>
      </c>
      <c r="J76" s="9" t="str">
        <f t="shared" ca="1" si="1"/>
        <v>Open</v>
      </c>
      <c r="K76" s="9"/>
    </row>
    <row r="77" spans="1:11" ht="30" customHeight="1" x14ac:dyDescent="0.25">
      <c r="A77" s="58" t="s">
        <v>512</v>
      </c>
      <c r="B77" s="42" t="s">
        <v>102</v>
      </c>
      <c r="C77" s="64" t="s">
        <v>68</v>
      </c>
      <c r="D77" s="11" t="s">
        <v>7</v>
      </c>
      <c r="E77" s="72" t="s">
        <v>2588</v>
      </c>
      <c r="F77" s="57" t="s">
        <v>825</v>
      </c>
      <c r="G77" s="49" t="s">
        <v>2</v>
      </c>
      <c r="H77" s="11"/>
      <c r="I77" t="str">
        <f>IFERROR(HYPERLINK("#Main!A"&amp;MATCH(A77,Main!A:A,0),"Open"),HYPERLINK("#Main!A1","Open"))</f>
        <v>Open</v>
      </c>
      <c r="J77" t="str">
        <f t="shared" ca="1" si="1"/>
        <v>Open</v>
      </c>
    </row>
    <row r="78" spans="1:11" ht="30" customHeight="1" x14ac:dyDescent="0.25">
      <c r="A78" s="59" t="s">
        <v>512</v>
      </c>
      <c r="B78" s="48" t="s">
        <v>872</v>
      </c>
      <c r="C78" s="64" t="s">
        <v>68</v>
      </c>
      <c r="D78" s="8" t="s">
        <v>7</v>
      </c>
      <c r="E78" s="71" t="s">
        <v>2589</v>
      </c>
      <c r="F78" s="57" t="s">
        <v>825</v>
      </c>
      <c r="G78" s="49" t="s">
        <v>2</v>
      </c>
      <c r="H78" s="8"/>
      <c r="I78" s="9" t="str">
        <f>IFERROR(HYPERLINK("#Main!A"&amp;MATCH(A78,Main!A:A,0),"Open"),HYPERLINK("#Main!A1","Open"))</f>
        <v>Open</v>
      </c>
      <c r="J78" s="9" t="str">
        <f t="shared" ca="1" si="1"/>
        <v>Open</v>
      </c>
      <c r="K78" s="9"/>
    </row>
    <row r="79" spans="1:11" ht="30" customHeight="1" x14ac:dyDescent="0.25">
      <c r="A79" s="58" t="s">
        <v>512</v>
      </c>
      <c r="B79" s="42" t="s">
        <v>873</v>
      </c>
      <c r="C79" s="64" t="s">
        <v>68</v>
      </c>
      <c r="D79" s="11" t="s">
        <v>7</v>
      </c>
      <c r="E79" s="72" t="s">
        <v>2590</v>
      </c>
      <c r="F79" s="57" t="s">
        <v>825</v>
      </c>
      <c r="G79" s="49" t="s">
        <v>2</v>
      </c>
      <c r="H79" s="11"/>
      <c r="I79" t="str">
        <f>IFERROR(HYPERLINK("#Main!A"&amp;MATCH(A79,Main!A:A,0),"Open"),HYPERLINK("#Main!A1","Open"))</f>
        <v>Open</v>
      </c>
      <c r="J79" t="str">
        <f t="shared" ca="1" si="1"/>
        <v>Open</v>
      </c>
    </row>
    <row r="80" spans="1:11" ht="30" customHeight="1" x14ac:dyDescent="0.25">
      <c r="A80" s="59" t="s">
        <v>512</v>
      </c>
      <c r="B80" s="48" t="s">
        <v>874</v>
      </c>
      <c r="C80" s="64" t="s">
        <v>68</v>
      </c>
      <c r="D80" s="8" t="s">
        <v>9</v>
      </c>
      <c r="E80" s="71" t="s">
        <v>2591</v>
      </c>
      <c r="F80" s="60" t="s">
        <v>98</v>
      </c>
      <c r="G80" s="49" t="s">
        <v>2</v>
      </c>
      <c r="H80" s="8"/>
      <c r="I80" s="9" t="str">
        <f>IFERROR(HYPERLINK("#Main!A"&amp;MATCH(A80,Main!A:A,0),"Open"),HYPERLINK("#Main!A1","Open"))</f>
        <v>Open</v>
      </c>
      <c r="J80" s="9" t="str">
        <f t="shared" ca="1" si="1"/>
        <v>Open</v>
      </c>
      <c r="K80" s="9"/>
    </row>
    <row r="81" spans="1:11" ht="30" customHeight="1" x14ac:dyDescent="0.25">
      <c r="A81" s="58" t="s">
        <v>512</v>
      </c>
      <c r="B81" s="42" t="s">
        <v>877</v>
      </c>
      <c r="C81" s="64" t="s">
        <v>68</v>
      </c>
      <c r="D81" s="11" t="s">
        <v>7</v>
      </c>
      <c r="E81" s="72" t="s">
        <v>2592</v>
      </c>
      <c r="F81" s="60" t="s">
        <v>98</v>
      </c>
      <c r="G81" s="49" t="s">
        <v>2</v>
      </c>
      <c r="H81" s="11"/>
      <c r="I81" t="str">
        <f>IFERROR(HYPERLINK("#Main!A"&amp;MATCH(A81,Main!A:A,0),"Open"),HYPERLINK("#Main!A1","Open"))</f>
        <v>Open</v>
      </c>
      <c r="J81" t="str">
        <f t="shared" ca="1" si="1"/>
        <v>Open</v>
      </c>
    </row>
    <row r="82" spans="1:11" ht="30" customHeight="1" x14ac:dyDescent="0.25">
      <c r="A82" s="59" t="s">
        <v>512</v>
      </c>
      <c r="B82" s="48" t="s">
        <v>880</v>
      </c>
      <c r="C82" s="64" t="s">
        <v>68</v>
      </c>
      <c r="D82" s="8" t="s">
        <v>7</v>
      </c>
      <c r="E82" s="71" t="s">
        <v>2593</v>
      </c>
      <c r="F82" s="60" t="s">
        <v>98</v>
      </c>
      <c r="G82" s="49" t="s">
        <v>2</v>
      </c>
      <c r="H82" s="8"/>
      <c r="I82" s="9" t="str">
        <f>IFERROR(HYPERLINK("#Main!A"&amp;MATCH(A82,Main!A:A,0),"Open"),HYPERLINK("#Main!A1","Open"))</f>
        <v>Open</v>
      </c>
      <c r="J82" s="9" t="str">
        <f t="shared" ca="1" si="1"/>
        <v>Open</v>
      </c>
      <c r="K82" s="9"/>
    </row>
    <row r="83" spans="1:11" ht="30" customHeight="1" x14ac:dyDescent="0.25">
      <c r="A83" s="58" t="s">
        <v>512</v>
      </c>
      <c r="B83" s="42" t="s">
        <v>883</v>
      </c>
      <c r="C83" s="64" t="s">
        <v>68</v>
      </c>
      <c r="D83" s="11" t="s">
        <v>7</v>
      </c>
      <c r="E83" s="72" t="s">
        <v>2594</v>
      </c>
      <c r="F83" s="60" t="s">
        <v>98</v>
      </c>
      <c r="G83" s="49" t="s">
        <v>2</v>
      </c>
      <c r="H83" s="11"/>
      <c r="I83" t="str">
        <f>IFERROR(HYPERLINK("#Main!A"&amp;MATCH(A83,Main!A:A,0),"Open"),HYPERLINK("#Main!A1","Open"))</f>
        <v>Open</v>
      </c>
      <c r="J83" t="str">
        <f t="shared" ca="1" si="1"/>
        <v>Open</v>
      </c>
    </row>
    <row r="84" spans="1:11" ht="30" customHeight="1" x14ac:dyDescent="0.25">
      <c r="A84" s="59" t="s">
        <v>582</v>
      </c>
      <c r="B84" s="48" t="s">
        <v>852</v>
      </c>
      <c r="C84" s="61" t="s">
        <v>67</v>
      </c>
      <c r="D84" s="8" t="s">
        <v>7</v>
      </c>
      <c r="E84" s="71" t="s">
        <v>2595</v>
      </c>
      <c r="F84" s="60" t="s">
        <v>98</v>
      </c>
      <c r="G84" s="49" t="s">
        <v>2</v>
      </c>
      <c r="H84" s="8"/>
      <c r="I84" s="9" t="str">
        <f>IFERROR(HYPERLINK("#Main!A"&amp;MATCH(A84,Main!A:A,0),"Open"),HYPERLINK("#Main!A1","Open"))</f>
        <v>Open</v>
      </c>
      <c r="J84" s="9" t="str">
        <f t="shared" ca="1" si="1"/>
        <v>Open</v>
      </c>
      <c r="K84" s="9"/>
    </row>
    <row r="85" spans="1:11" ht="30" customHeight="1" x14ac:dyDescent="0.25">
      <c r="A85" s="58" t="s">
        <v>582</v>
      </c>
      <c r="B85" s="42" t="s">
        <v>858</v>
      </c>
      <c r="C85" s="61" t="s">
        <v>67</v>
      </c>
      <c r="D85" s="11" t="s">
        <v>9</v>
      </c>
      <c r="E85" s="72" t="s">
        <v>2596</v>
      </c>
      <c r="F85" s="60" t="s">
        <v>98</v>
      </c>
      <c r="G85" s="49" t="s">
        <v>2</v>
      </c>
      <c r="H85" s="11"/>
      <c r="I85" t="str">
        <f>IFERROR(HYPERLINK("#Main!A"&amp;MATCH(A85,Main!A:A,0),"Open"),HYPERLINK("#Main!A1","Open"))</f>
        <v>Open</v>
      </c>
      <c r="J85" t="str">
        <f t="shared" ca="1" si="1"/>
        <v>Open</v>
      </c>
    </row>
    <row r="86" spans="1:11" ht="30" customHeight="1" x14ac:dyDescent="0.25">
      <c r="A86" s="59" t="s">
        <v>582</v>
      </c>
      <c r="B86" s="48" t="s">
        <v>102</v>
      </c>
      <c r="C86" s="64" t="s">
        <v>68</v>
      </c>
      <c r="D86" s="8" t="s">
        <v>7</v>
      </c>
      <c r="E86" s="71" t="s">
        <v>2597</v>
      </c>
      <c r="F86" s="57" t="s">
        <v>825</v>
      </c>
      <c r="G86" s="49" t="s">
        <v>2</v>
      </c>
      <c r="H86" s="8"/>
      <c r="I86" s="9" t="str">
        <f>IFERROR(HYPERLINK("#Main!A"&amp;MATCH(A86,Main!A:A,0),"Open"),HYPERLINK("#Main!A1","Open"))</f>
        <v>Open</v>
      </c>
      <c r="J86" s="9" t="str">
        <f t="shared" ca="1" si="1"/>
        <v>Open</v>
      </c>
      <c r="K86" s="9"/>
    </row>
    <row r="87" spans="1:11" ht="30" customHeight="1" x14ac:dyDescent="0.25">
      <c r="A87" s="58" t="s">
        <v>582</v>
      </c>
      <c r="B87" s="42" t="s">
        <v>872</v>
      </c>
      <c r="C87" s="64" t="s">
        <v>68</v>
      </c>
      <c r="D87" s="11" t="s">
        <v>7</v>
      </c>
      <c r="E87" s="72" t="s">
        <v>2598</v>
      </c>
      <c r="F87" s="57" t="s">
        <v>825</v>
      </c>
      <c r="G87" s="49" t="s">
        <v>2</v>
      </c>
      <c r="H87" s="11"/>
      <c r="I87" t="str">
        <f>IFERROR(HYPERLINK("#Main!A"&amp;MATCH(A87,Main!A:A,0),"Open"),HYPERLINK("#Main!A1","Open"))</f>
        <v>Open</v>
      </c>
      <c r="J87" t="str">
        <f t="shared" ca="1" si="1"/>
        <v>Open</v>
      </c>
    </row>
    <row r="88" spans="1:11" ht="30" customHeight="1" x14ac:dyDescent="0.25">
      <c r="A88" s="59" t="s">
        <v>582</v>
      </c>
      <c r="B88" s="48" t="s">
        <v>873</v>
      </c>
      <c r="C88" s="64" t="s">
        <v>68</v>
      </c>
      <c r="D88" s="8" t="s">
        <v>7</v>
      </c>
      <c r="E88" s="71" t="s">
        <v>2599</v>
      </c>
      <c r="F88" s="57" t="s">
        <v>825</v>
      </c>
      <c r="G88" s="49" t="s">
        <v>2</v>
      </c>
      <c r="H88" s="8"/>
      <c r="I88" s="9" t="str">
        <f>IFERROR(HYPERLINK("#Main!A"&amp;MATCH(A88,Main!A:A,0),"Open"),HYPERLINK("#Main!A1","Open"))</f>
        <v>Open</v>
      </c>
      <c r="J88" s="9" t="str">
        <f t="shared" ca="1" si="1"/>
        <v>Open</v>
      </c>
      <c r="K88" s="9"/>
    </row>
    <row r="89" spans="1:11" ht="30" customHeight="1" x14ac:dyDescent="0.25">
      <c r="A89" s="58" t="s">
        <v>582</v>
      </c>
      <c r="B89" s="42" t="s">
        <v>874</v>
      </c>
      <c r="C89" s="64" t="s">
        <v>68</v>
      </c>
      <c r="D89" s="11" t="s">
        <v>9</v>
      </c>
      <c r="E89" s="72" t="s">
        <v>2600</v>
      </c>
      <c r="F89" s="60" t="s">
        <v>98</v>
      </c>
      <c r="G89" s="49" t="s">
        <v>2</v>
      </c>
      <c r="H89" s="11"/>
      <c r="I89" t="str">
        <f>IFERROR(HYPERLINK("#Main!A"&amp;MATCH(A89,Main!A:A,0),"Open"),HYPERLINK("#Main!A1","Open"))</f>
        <v>Open</v>
      </c>
      <c r="J89" t="str">
        <f t="shared" ca="1" si="1"/>
        <v>Open</v>
      </c>
    </row>
    <row r="90" spans="1:11" ht="30" customHeight="1" x14ac:dyDescent="0.25">
      <c r="A90" s="59" t="s">
        <v>582</v>
      </c>
      <c r="B90" s="48" t="s">
        <v>877</v>
      </c>
      <c r="C90" s="64" t="s">
        <v>68</v>
      </c>
      <c r="D90" s="8" t="s">
        <v>7</v>
      </c>
      <c r="E90" s="71" t="s">
        <v>2601</v>
      </c>
      <c r="F90" s="60" t="s">
        <v>98</v>
      </c>
      <c r="G90" s="49" t="s">
        <v>2</v>
      </c>
      <c r="H90" s="8"/>
      <c r="I90" s="9" t="str">
        <f>IFERROR(HYPERLINK("#Main!A"&amp;MATCH(A90,Main!A:A,0),"Open"),HYPERLINK("#Main!A1","Open"))</f>
        <v>Open</v>
      </c>
      <c r="J90" s="9" t="str">
        <f t="shared" ca="1" si="1"/>
        <v>Open</v>
      </c>
      <c r="K90" s="9"/>
    </row>
    <row r="91" spans="1:11" ht="30" customHeight="1" x14ac:dyDescent="0.25">
      <c r="A91" s="58" t="s">
        <v>582</v>
      </c>
      <c r="B91" s="42" t="s">
        <v>880</v>
      </c>
      <c r="C91" s="64" t="s">
        <v>68</v>
      </c>
      <c r="D91" s="11" t="s">
        <v>7</v>
      </c>
      <c r="E91" s="72" t="s">
        <v>2602</v>
      </c>
      <c r="F91" s="60" t="s">
        <v>98</v>
      </c>
      <c r="G91" s="49" t="s">
        <v>2</v>
      </c>
      <c r="H91" s="11"/>
      <c r="I91" t="str">
        <f>IFERROR(HYPERLINK("#Main!A"&amp;MATCH(A91,Main!A:A,0),"Open"),HYPERLINK("#Main!A1","Open"))</f>
        <v>Open</v>
      </c>
      <c r="J91" t="str">
        <f t="shared" ca="1" si="1"/>
        <v>Open</v>
      </c>
    </row>
    <row r="92" spans="1:11" ht="30" customHeight="1" x14ac:dyDescent="0.25">
      <c r="A92" s="59" t="s">
        <v>582</v>
      </c>
      <c r="B92" s="48" t="s">
        <v>883</v>
      </c>
      <c r="C92" s="64" t="s">
        <v>68</v>
      </c>
      <c r="D92" s="8" t="s">
        <v>7</v>
      </c>
      <c r="E92" s="71" t="s">
        <v>2603</v>
      </c>
      <c r="F92" s="60" t="s">
        <v>98</v>
      </c>
      <c r="G92" s="49" t="s">
        <v>2</v>
      </c>
      <c r="H92" s="8"/>
      <c r="I92" s="9" t="str">
        <f>IFERROR(HYPERLINK("#Main!A"&amp;MATCH(A92,Main!A:A,0),"Open"),HYPERLINK("#Main!A1","Open"))</f>
        <v>Open</v>
      </c>
      <c r="J92" s="9" t="str">
        <f t="shared" ca="1" si="1"/>
        <v>Open</v>
      </c>
      <c r="K92" s="9"/>
    </row>
    <row r="93" spans="1:11" ht="30" customHeight="1" x14ac:dyDescent="0.25">
      <c r="A93" s="58" t="s">
        <v>658</v>
      </c>
      <c r="B93" s="42" t="s">
        <v>858</v>
      </c>
      <c r="C93" s="61" t="s">
        <v>67</v>
      </c>
      <c r="D93" s="11" t="s">
        <v>9</v>
      </c>
      <c r="E93" s="72" t="s">
        <v>2604</v>
      </c>
      <c r="F93" s="60" t="s">
        <v>98</v>
      </c>
      <c r="G93" s="49" t="s">
        <v>2</v>
      </c>
      <c r="H93" s="11"/>
      <c r="I93" t="str">
        <f>IFERROR(HYPERLINK("#Main!A"&amp;MATCH(A93,Main!A:A,0),"Open"),HYPERLINK("#Main!A1","Open"))</f>
        <v>Open</v>
      </c>
      <c r="J93" t="str">
        <f t="shared" ca="1" si="1"/>
        <v>Open</v>
      </c>
    </row>
    <row r="94" spans="1:11" ht="30" customHeight="1" x14ac:dyDescent="0.25">
      <c r="A94" s="59" t="s">
        <v>658</v>
      </c>
      <c r="B94" s="48" t="s">
        <v>102</v>
      </c>
      <c r="C94" s="64" t="s">
        <v>68</v>
      </c>
      <c r="D94" s="8" t="s">
        <v>7</v>
      </c>
      <c r="E94" s="71" t="s">
        <v>2605</v>
      </c>
      <c r="F94" s="57" t="s">
        <v>825</v>
      </c>
      <c r="G94" s="49" t="s">
        <v>2</v>
      </c>
      <c r="H94" s="8"/>
      <c r="I94" s="9" t="str">
        <f>IFERROR(HYPERLINK("#Main!A"&amp;MATCH(A94,Main!A:A,0),"Open"),HYPERLINK("#Main!A1","Open"))</f>
        <v>Open</v>
      </c>
      <c r="J94" s="9" t="str">
        <f t="shared" ca="1" si="1"/>
        <v>Open</v>
      </c>
      <c r="K94" s="9"/>
    </row>
    <row r="95" spans="1:11" ht="30" customHeight="1" x14ac:dyDescent="0.25">
      <c r="A95" s="58" t="s">
        <v>658</v>
      </c>
      <c r="B95" s="42" t="s">
        <v>872</v>
      </c>
      <c r="C95" s="64" t="s">
        <v>68</v>
      </c>
      <c r="D95" s="11" t="s">
        <v>7</v>
      </c>
      <c r="E95" s="72" t="s">
        <v>2606</v>
      </c>
      <c r="F95" s="57" t="s">
        <v>825</v>
      </c>
      <c r="G95" s="49" t="s">
        <v>2</v>
      </c>
      <c r="H95" s="11"/>
      <c r="I95" t="str">
        <f>IFERROR(HYPERLINK("#Main!A"&amp;MATCH(A95,Main!A:A,0),"Open"),HYPERLINK("#Main!A1","Open"))</f>
        <v>Open</v>
      </c>
      <c r="J95" t="str">
        <f t="shared" ca="1" si="1"/>
        <v>Open</v>
      </c>
    </row>
    <row r="96" spans="1:11" ht="30" customHeight="1" x14ac:dyDescent="0.25">
      <c r="A96" s="59" t="s">
        <v>658</v>
      </c>
      <c r="B96" s="48" t="s">
        <v>873</v>
      </c>
      <c r="C96" s="64" t="s">
        <v>68</v>
      </c>
      <c r="D96" s="8" t="s">
        <v>7</v>
      </c>
      <c r="E96" s="71" t="s">
        <v>2607</v>
      </c>
      <c r="F96" s="57" t="s">
        <v>825</v>
      </c>
      <c r="G96" s="49" t="s">
        <v>2</v>
      </c>
      <c r="H96" s="8"/>
      <c r="I96" s="9" t="str">
        <f>IFERROR(HYPERLINK("#Main!A"&amp;MATCH(A96,Main!A:A,0),"Open"),HYPERLINK("#Main!A1","Open"))</f>
        <v>Open</v>
      </c>
      <c r="J96" s="9" t="str">
        <f t="shared" ca="1" si="1"/>
        <v>Open</v>
      </c>
      <c r="K96" s="9"/>
    </row>
    <row r="97" spans="1:11" ht="30" customHeight="1" x14ac:dyDescent="0.25">
      <c r="A97" s="58" t="s">
        <v>658</v>
      </c>
      <c r="B97" s="42" t="s">
        <v>884</v>
      </c>
      <c r="C97" s="64" t="s">
        <v>68</v>
      </c>
      <c r="D97" s="11" t="s">
        <v>7</v>
      </c>
      <c r="E97" s="72" t="s">
        <v>2608</v>
      </c>
      <c r="F97" s="60" t="s">
        <v>98</v>
      </c>
      <c r="G97" s="49" t="s">
        <v>2</v>
      </c>
      <c r="H97" s="11"/>
      <c r="I97" t="str">
        <f>IFERROR(HYPERLINK("#Main!A"&amp;MATCH(A97,Main!A:A,0),"Open"),HYPERLINK("#Main!A1","Open"))</f>
        <v>Open</v>
      </c>
      <c r="J97" t="str">
        <f t="shared" ca="1" si="1"/>
        <v>Open</v>
      </c>
    </row>
    <row r="98" spans="1:11" ht="30" customHeight="1" x14ac:dyDescent="0.25">
      <c r="A98" s="59" t="s">
        <v>658</v>
      </c>
      <c r="B98" s="48" t="s">
        <v>874</v>
      </c>
      <c r="C98" s="64" t="s">
        <v>68</v>
      </c>
      <c r="D98" s="8" t="s">
        <v>9</v>
      </c>
      <c r="E98" s="71" t="s">
        <v>2609</v>
      </c>
      <c r="F98" s="60" t="s">
        <v>98</v>
      </c>
      <c r="G98" s="49" t="s">
        <v>2</v>
      </c>
      <c r="H98" s="8"/>
      <c r="I98" s="9" t="str">
        <f>IFERROR(HYPERLINK("#Main!A"&amp;MATCH(A98,Main!A:A,0),"Open"),HYPERLINK("#Main!A1","Open"))</f>
        <v>Open</v>
      </c>
      <c r="J98" s="9" t="str">
        <f t="shared" ca="1" si="1"/>
        <v>Open</v>
      </c>
      <c r="K98" s="9"/>
    </row>
    <row r="99" spans="1:11" ht="30" customHeight="1" x14ac:dyDescent="0.25">
      <c r="A99" s="58" t="s">
        <v>658</v>
      </c>
      <c r="B99" s="42" t="s">
        <v>877</v>
      </c>
      <c r="C99" s="64" t="s">
        <v>68</v>
      </c>
      <c r="D99" s="11" t="s">
        <v>7</v>
      </c>
      <c r="E99" s="72" t="s">
        <v>2610</v>
      </c>
      <c r="F99" s="60" t="s">
        <v>98</v>
      </c>
      <c r="G99" s="49" t="s">
        <v>2</v>
      </c>
      <c r="H99" s="11"/>
      <c r="I99" t="str">
        <f>IFERROR(HYPERLINK("#Main!A"&amp;MATCH(A99,Main!A:A,0),"Open"),HYPERLINK("#Main!A1","Open"))</f>
        <v>Open</v>
      </c>
      <c r="J99" t="str">
        <f t="shared" ca="1" si="1"/>
        <v>Open</v>
      </c>
    </row>
    <row r="100" spans="1:11" ht="30" customHeight="1" x14ac:dyDescent="0.25">
      <c r="A100" s="59" t="s">
        <v>658</v>
      </c>
      <c r="B100" s="48" t="s">
        <v>880</v>
      </c>
      <c r="C100" s="64" t="s">
        <v>68</v>
      </c>
      <c r="D100" s="8" t="s">
        <v>7</v>
      </c>
      <c r="E100" s="71" t="s">
        <v>2611</v>
      </c>
      <c r="F100" s="60" t="s">
        <v>98</v>
      </c>
      <c r="G100" s="49" t="s">
        <v>2</v>
      </c>
      <c r="H100" s="8"/>
      <c r="I100" s="9" t="str">
        <f>IFERROR(HYPERLINK("#Main!A"&amp;MATCH(A100,Main!A:A,0),"Open"),HYPERLINK("#Main!A1","Open"))</f>
        <v>Open</v>
      </c>
      <c r="J100" s="9" t="str">
        <f t="shared" ca="1" si="1"/>
        <v>Open</v>
      </c>
      <c r="K100" s="9"/>
    </row>
    <row r="101" spans="1:11" ht="30" customHeight="1" x14ac:dyDescent="0.25">
      <c r="A101" s="58" t="s">
        <v>658</v>
      </c>
      <c r="B101" s="42" t="s">
        <v>883</v>
      </c>
      <c r="C101" s="64" t="s">
        <v>68</v>
      </c>
      <c r="D101" s="11" t="s">
        <v>7</v>
      </c>
      <c r="E101" s="72" t="s">
        <v>2612</v>
      </c>
      <c r="F101" s="60" t="s">
        <v>98</v>
      </c>
      <c r="G101" s="49" t="s">
        <v>2</v>
      </c>
      <c r="H101" s="11"/>
      <c r="I101" t="str">
        <f>IFERROR(HYPERLINK("#Main!A"&amp;MATCH(A101,Main!A:A,0),"Open"),HYPERLINK("#Main!A1","Open"))</f>
        <v>Open</v>
      </c>
      <c r="J101" t="str">
        <f t="shared" ca="1" si="1"/>
        <v>Open</v>
      </c>
    </row>
    <row r="102" spans="1:11" ht="30" customHeight="1" x14ac:dyDescent="0.25">
      <c r="A102" s="59" t="s">
        <v>156</v>
      </c>
      <c r="B102" s="48" t="s">
        <v>852</v>
      </c>
      <c r="C102" s="61" t="s">
        <v>67</v>
      </c>
      <c r="D102" s="8" t="s">
        <v>7</v>
      </c>
      <c r="E102" s="71" t="s">
        <v>2613</v>
      </c>
      <c r="F102" s="60" t="s">
        <v>98</v>
      </c>
      <c r="G102" s="49" t="s">
        <v>2</v>
      </c>
      <c r="H102" s="8"/>
      <c r="I102" s="9" t="str">
        <f>IFERROR(HYPERLINK("#Main!A"&amp;MATCH(A102,Main!A:A,0),"Open"),HYPERLINK("#Main!A1","Open"))</f>
        <v>Open</v>
      </c>
      <c r="J102" s="9" t="str">
        <f t="shared" ca="1" si="1"/>
        <v>Open</v>
      </c>
      <c r="K102" s="9"/>
    </row>
    <row r="103" spans="1:11" ht="30" customHeight="1" x14ac:dyDescent="0.25">
      <c r="A103" s="58" t="s">
        <v>156</v>
      </c>
      <c r="B103" s="42" t="s">
        <v>858</v>
      </c>
      <c r="C103" s="61" t="s">
        <v>67</v>
      </c>
      <c r="D103" s="11" t="s">
        <v>9</v>
      </c>
      <c r="E103" s="72" t="s">
        <v>2614</v>
      </c>
      <c r="F103" s="60" t="s">
        <v>98</v>
      </c>
      <c r="G103" s="49" t="s">
        <v>2</v>
      </c>
      <c r="H103" s="11"/>
      <c r="I103" t="str">
        <f>IFERROR(HYPERLINK("#Main!A"&amp;MATCH(A103,Main!A:A,0),"Open"),HYPERLINK("#Main!A1","Open"))</f>
        <v>Open</v>
      </c>
      <c r="J103" t="str">
        <f t="shared" ca="1" si="1"/>
        <v>Open</v>
      </c>
    </row>
    <row r="104" spans="1:11" ht="30" customHeight="1" x14ac:dyDescent="0.25">
      <c r="A104" s="59" t="s">
        <v>156</v>
      </c>
      <c r="B104" s="48" t="s">
        <v>102</v>
      </c>
      <c r="C104" s="64" t="s">
        <v>68</v>
      </c>
      <c r="D104" s="8" t="s">
        <v>7</v>
      </c>
      <c r="E104" s="71" t="s">
        <v>2615</v>
      </c>
      <c r="F104" s="57" t="s">
        <v>825</v>
      </c>
      <c r="G104" s="49" t="s">
        <v>2</v>
      </c>
      <c r="H104" s="8"/>
      <c r="I104" s="9" t="str">
        <f>IFERROR(HYPERLINK("#Main!A"&amp;MATCH(A104,Main!A:A,0),"Open"),HYPERLINK("#Main!A1","Open"))</f>
        <v>Open</v>
      </c>
      <c r="J104" s="9" t="str">
        <f t="shared" ca="1" si="1"/>
        <v>Open</v>
      </c>
      <c r="K104" s="9"/>
    </row>
    <row r="105" spans="1:11" ht="30" customHeight="1" x14ac:dyDescent="0.25">
      <c r="A105" s="58" t="s">
        <v>156</v>
      </c>
      <c r="B105" s="42" t="s">
        <v>872</v>
      </c>
      <c r="C105" s="64" t="s">
        <v>68</v>
      </c>
      <c r="D105" s="11" t="s">
        <v>7</v>
      </c>
      <c r="E105" s="72" t="s">
        <v>2616</v>
      </c>
      <c r="F105" s="57" t="s">
        <v>825</v>
      </c>
      <c r="G105" s="49" t="s">
        <v>2</v>
      </c>
      <c r="H105" s="11"/>
      <c r="I105" t="str">
        <f>IFERROR(HYPERLINK("#Main!A"&amp;MATCH(A105,Main!A:A,0),"Open"),HYPERLINK("#Main!A1","Open"))</f>
        <v>Open</v>
      </c>
      <c r="J105" t="str">
        <f t="shared" ca="1" si="1"/>
        <v>Open</v>
      </c>
    </row>
    <row r="106" spans="1:11" ht="30" customHeight="1" x14ac:dyDescent="0.25">
      <c r="A106" s="59" t="s">
        <v>156</v>
      </c>
      <c r="B106" s="48" t="s">
        <v>873</v>
      </c>
      <c r="C106" s="64" t="s">
        <v>68</v>
      </c>
      <c r="D106" s="8" t="s">
        <v>7</v>
      </c>
      <c r="E106" s="71" t="s">
        <v>2617</v>
      </c>
      <c r="F106" s="57" t="s">
        <v>825</v>
      </c>
      <c r="G106" s="49" t="s">
        <v>2</v>
      </c>
      <c r="H106" s="8"/>
      <c r="I106" s="9" t="str">
        <f>IFERROR(HYPERLINK("#Main!A"&amp;MATCH(A106,Main!A:A,0),"Open"),HYPERLINK("#Main!A1","Open"))</f>
        <v>Open</v>
      </c>
      <c r="J106" s="9" t="str">
        <f t="shared" ca="1" si="1"/>
        <v>Open</v>
      </c>
      <c r="K106" s="9"/>
    </row>
    <row r="107" spans="1:11" ht="30" customHeight="1" x14ac:dyDescent="0.25">
      <c r="A107" s="58" t="s">
        <v>156</v>
      </c>
      <c r="B107" s="42" t="s">
        <v>874</v>
      </c>
      <c r="C107" s="64" t="s">
        <v>68</v>
      </c>
      <c r="D107" s="11" t="s">
        <v>9</v>
      </c>
      <c r="E107" s="72" t="s">
        <v>2618</v>
      </c>
      <c r="F107" s="60" t="s">
        <v>98</v>
      </c>
      <c r="G107" s="49" t="s">
        <v>2</v>
      </c>
      <c r="H107" s="11"/>
      <c r="I107" t="str">
        <f>IFERROR(HYPERLINK("#Main!A"&amp;MATCH(A107,Main!A:A,0),"Open"),HYPERLINK("#Main!A1","Open"))</f>
        <v>Open</v>
      </c>
      <c r="J107" t="str">
        <f t="shared" ca="1" si="1"/>
        <v>Open</v>
      </c>
    </row>
    <row r="108" spans="1:11" ht="30" customHeight="1" x14ac:dyDescent="0.25">
      <c r="A108" s="59" t="s">
        <v>156</v>
      </c>
      <c r="B108" s="48" t="s">
        <v>877</v>
      </c>
      <c r="C108" s="64" t="s">
        <v>68</v>
      </c>
      <c r="D108" s="8" t="s">
        <v>7</v>
      </c>
      <c r="E108" s="71" t="s">
        <v>2619</v>
      </c>
      <c r="F108" s="60" t="s">
        <v>98</v>
      </c>
      <c r="G108" s="49" t="s">
        <v>2</v>
      </c>
      <c r="H108" s="8"/>
      <c r="I108" s="9" t="str">
        <f>IFERROR(HYPERLINK("#Main!A"&amp;MATCH(A108,Main!A:A,0),"Open"),HYPERLINK("#Main!A1","Open"))</f>
        <v>Open</v>
      </c>
      <c r="J108" s="9" t="str">
        <f t="shared" ca="1" si="1"/>
        <v>Open</v>
      </c>
      <c r="K108" s="9"/>
    </row>
    <row r="109" spans="1:11" ht="30" customHeight="1" x14ac:dyDescent="0.25">
      <c r="A109" s="58" t="s">
        <v>156</v>
      </c>
      <c r="B109" s="42" t="s">
        <v>880</v>
      </c>
      <c r="C109" s="64" t="s">
        <v>68</v>
      </c>
      <c r="D109" s="11" t="s">
        <v>7</v>
      </c>
      <c r="E109" s="72" t="s">
        <v>2620</v>
      </c>
      <c r="F109" s="60" t="s">
        <v>98</v>
      </c>
      <c r="G109" s="49" t="s">
        <v>2</v>
      </c>
      <c r="H109" s="11"/>
      <c r="I109" t="str">
        <f>IFERROR(HYPERLINK("#Main!A"&amp;MATCH(A109,Main!A:A,0),"Open"),HYPERLINK("#Main!A1","Open"))</f>
        <v>Open</v>
      </c>
      <c r="J109" t="str">
        <f t="shared" ca="1" si="1"/>
        <v>Open</v>
      </c>
    </row>
    <row r="110" spans="1:11" ht="30" customHeight="1" x14ac:dyDescent="0.25">
      <c r="A110" s="59" t="s">
        <v>156</v>
      </c>
      <c r="B110" s="48" t="s">
        <v>883</v>
      </c>
      <c r="C110" s="64" t="s">
        <v>68</v>
      </c>
      <c r="D110" s="8" t="s">
        <v>7</v>
      </c>
      <c r="E110" s="71" t="s">
        <v>2621</v>
      </c>
      <c r="F110" s="60" t="s">
        <v>98</v>
      </c>
      <c r="G110" s="49" t="s">
        <v>2</v>
      </c>
      <c r="H110" s="8"/>
      <c r="I110" s="9" t="str">
        <f>IFERROR(HYPERLINK("#Main!A"&amp;MATCH(A110,Main!A:A,0),"Open"),HYPERLINK("#Main!A1","Open"))</f>
        <v>Open</v>
      </c>
      <c r="J110" s="9" t="str">
        <f t="shared" ca="1" si="1"/>
        <v>Open</v>
      </c>
      <c r="K110" s="9"/>
    </row>
    <row r="111" spans="1:11" ht="30" customHeight="1" x14ac:dyDescent="0.25">
      <c r="A111" s="58" t="s">
        <v>650</v>
      </c>
      <c r="B111" s="42" t="s">
        <v>858</v>
      </c>
      <c r="C111" s="61" t="s">
        <v>67</v>
      </c>
      <c r="D111" s="11" t="s">
        <v>9</v>
      </c>
      <c r="E111" s="72" t="s">
        <v>2622</v>
      </c>
      <c r="F111" s="60" t="s">
        <v>98</v>
      </c>
      <c r="G111" s="49" t="s">
        <v>2</v>
      </c>
      <c r="H111" s="11"/>
      <c r="I111" t="str">
        <f>IFERROR(HYPERLINK("#Main!A"&amp;MATCH(A111,Main!A:A,0),"Open"),HYPERLINK("#Main!A1","Open"))</f>
        <v>Open</v>
      </c>
      <c r="J111" t="str">
        <f t="shared" ca="1" si="1"/>
        <v>Open</v>
      </c>
    </row>
    <row r="112" spans="1:11" ht="30" customHeight="1" x14ac:dyDescent="0.25">
      <c r="A112" s="59" t="s">
        <v>650</v>
      </c>
      <c r="B112" s="48" t="s">
        <v>102</v>
      </c>
      <c r="C112" s="64" t="s">
        <v>68</v>
      </c>
      <c r="D112" s="8" t="s">
        <v>7</v>
      </c>
      <c r="E112" s="71" t="s">
        <v>2623</v>
      </c>
      <c r="F112" s="57" t="s">
        <v>825</v>
      </c>
      <c r="G112" s="49" t="s">
        <v>2</v>
      </c>
      <c r="H112" s="8"/>
      <c r="I112" s="9" t="str">
        <f>IFERROR(HYPERLINK("#Main!A"&amp;MATCH(A112,Main!A:A,0),"Open"),HYPERLINK("#Main!A1","Open"))</f>
        <v>Open</v>
      </c>
      <c r="J112" s="9" t="str">
        <f t="shared" ca="1" si="1"/>
        <v>Open</v>
      </c>
      <c r="K112" s="9"/>
    </row>
    <row r="113" spans="1:11" ht="30" customHeight="1" x14ac:dyDescent="0.25">
      <c r="A113" s="58" t="s">
        <v>650</v>
      </c>
      <c r="B113" s="42" t="s">
        <v>872</v>
      </c>
      <c r="C113" s="64" t="s">
        <v>68</v>
      </c>
      <c r="D113" s="11" t="s">
        <v>7</v>
      </c>
      <c r="E113" s="72" t="s">
        <v>2624</v>
      </c>
      <c r="F113" s="57" t="s">
        <v>825</v>
      </c>
      <c r="G113" s="49" t="s">
        <v>2</v>
      </c>
      <c r="H113" s="11"/>
      <c r="I113" t="str">
        <f>IFERROR(HYPERLINK("#Main!A"&amp;MATCH(A113,Main!A:A,0),"Open"),HYPERLINK("#Main!A1","Open"))</f>
        <v>Open</v>
      </c>
      <c r="J113" t="str">
        <f t="shared" ca="1" si="1"/>
        <v>Open</v>
      </c>
    </row>
    <row r="114" spans="1:11" ht="30" customHeight="1" x14ac:dyDescent="0.25">
      <c r="A114" s="59" t="s">
        <v>650</v>
      </c>
      <c r="B114" s="48" t="s">
        <v>873</v>
      </c>
      <c r="C114" s="64" t="s">
        <v>68</v>
      </c>
      <c r="D114" s="8" t="s">
        <v>7</v>
      </c>
      <c r="E114" s="71" t="s">
        <v>2625</v>
      </c>
      <c r="F114" s="57" t="s">
        <v>825</v>
      </c>
      <c r="G114" s="49" t="s">
        <v>2</v>
      </c>
      <c r="H114" s="8"/>
      <c r="I114" s="9" t="str">
        <f>IFERROR(HYPERLINK("#Main!A"&amp;MATCH(A114,Main!A:A,0),"Open"),HYPERLINK("#Main!A1","Open"))</f>
        <v>Open</v>
      </c>
      <c r="J114" s="9" t="str">
        <f t="shared" ca="1" si="1"/>
        <v>Open</v>
      </c>
      <c r="K114" s="9"/>
    </row>
    <row r="115" spans="1:11" ht="30" customHeight="1" x14ac:dyDescent="0.25">
      <c r="A115" s="58" t="s">
        <v>650</v>
      </c>
      <c r="B115" s="42" t="s">
        <v>874</v>
      </c>
      <c r="C115" s="64" t="s">
        <v>68</v>
      </c>
      <c r="D115" s="11" t="s">
        <v>9</v>
      </c>
      <c r="E115" s="72" t="s">
        <v>2626</v>
      </c>
      <c r="F115" s="60" t="s">
        <v>98</v>
      </c>
      <c r="G115" s="49" t="s">
        <v>2</v>
      </c>
      <c r="H115" s="11"/>
      <c r="I115" t="str">
        <f>IFERROR(HYPERLINK("#Main!A"&amp;MATCH(A115,Main!A:A,0),"Open"),HYPERLINK("#Main!A1","Open"))</f>
        <v>Open</v>
      </c>
      <c r="J115" t="str">
        <f t="shared" ca="1" si="1"/>
        <v>Open</v>
      </c>
    </row>
    <row r="116" spans="1:11" ht="30" customHeight="1" x14ac:dyDescent="0.25">
      <c r="A116" s="59" t="s">
        <v>650</v>
      </c>
      <c r="B116" s="48" t="s">
        <v>877</v>
      </c>
      <c r="C116" s="64" t="s">
        <v>68</v>
      </c>
      <c r="D116" s="8" t="s">
        <v>7</v>
      </c>
      <c r="E116" s="71" t="s">
        <v>2627</v>
      </c>
      <c r="F116" s="60" t="s">
        <v>98</v>
      </c>
      <c r="G116" s="49" t="s">
        <v>2</v>
      </c>
      <c r="H116" s="8"/>
      <c r="I116" s="9" t="str">
        <f>IFERROR(HYPERLINK("#Main!A"&amp;MATCH(A116,Main!A:A,0),"Open"),HYPERLINK("#Main!A1","Open"))</f>
        <v>Open</v>
      </c>
      <c r="J116" s="9" t="str">
        <f t="shared" ca="1" si="1"/>
        <v>Open</v>
      </c>
      <c r="K116" s="9"/>
    </row>
    <row r="117" spans="1:11" ht="30" customHeight="1" x14ac:dyDescent="0.25">
      <c r="A117" s="58" t="s">
        <v>650</v>
      </c>
      <c r="B117" s="42" t="s">
        <v>880</v>
      </c>
      <c r="C117" s="64" t="s">
        <v>68</v>
      </c>
      <c r="D117" s="11" t="s">
        <v>7</v>
      </c>
      <c r="E117" s="72" t="s">
        <v>2628</v>
      </c>
      <c r="F117" s="60" t="s">
        <v>98</v>
      </c>
      <c r="G117" s="49" t="s">
        <v>2</v>
      </c>
      <c r="H117" s="11"/>
      <c r="I117" t="str">
        <f>IFERROR(HYPERLINK("#Main!A"&amp;MATCH(A117,Main!A:A,0),"Open"),HYPERLINK("#Main!A1","Open"))</f>
        <v>Open</v>
      </c>
      <c r="J117" t="str">
        <f t="shared" ca="1" si="1"/>
        <v>Open</v>
      </c>
    </row>
    <row r="118" spans="1:11" ht="30" customHeight="1" x14ac:dyDescent="0.25">
      <c r="A118" s="59" t="s">
        <v>650</v>
      </c>
      <c r="B118" s="48" t="s">
        <v>883</v>
      </c>
      <c r="C118" s="64" t="s">
        <v>68</v>
      </c>
      <c r="D118" s="8" t="s">
        <v>7</v>
      </c>
      <c r="E118" s="71" t="s">
        <v>2629</v>
      </c>
      <c r="F118" s="60" t="s">
        <v>98</v>
      </c>
      <c r="G118" s="49" t="s">
        <v>2</v>
      </c>
      <c r="H118" s="8"/>
      <c r="I118" s="9" t="str">
        <f>IFERROR(HYPERLINK("#Main!A"&amp;MATCH(A118,Main!A:A,0),"Open"),HYPERLINK("#Main!A1","Open"))</f>
        <v>Open</v>
      </c>
      <c r="J118" s="9" t="str">
        <f t="shared" ca="1" si="1"/>
        <v>Open</v>
      </c>
      <c r="K118" s="9"/>
    </row>
    <row r="119" spans="1:11" ht="30" customHeight="1" x14ac:dyDescent="0.25">
      <c r="A119" s="58" t="s">
        <v>704</v>
      </c>
      <c r="B119" s="42" t="s">
        <v>858</v>
      </c>
      <c r="C119" s="61" t="s">
        <v>67</v>
      </c>
      <c r="D119" s="11" t="s">
        <v>9</v>
      </c>
      <c r="E119" s="72" t="s">
        <v>2630</v>
      </c>
      <c r="F119" s="60" t="s">
        <v>98</v>
      </c>
      <c r="G119" s="49" t="s">
        <v>2</v>
      </c>
      <c r="H119" s="11"/>
      <c r="I119" t="str">
        <f>IFERROR(HYPERLINK("#Main!A"&amp;MATCH(A119,Main!A:A,0),"Open"),HYPERLINK("#Main!A1","Open"))</f>
        <v>Open</v>
      </c>
      <c r="J119" t="str">
        <f t="shared" ca="1" si="1"/>
        <v>Open</v>
      </c>
    </row>
    <row r="120" spans="1:11" ht="30" customHeight="1" x14ac:dyDescent="0.25">
      <c r="A120" s="59" t="s">
        <v>704</v>
      </c>
      <c r="B120" s="48" t="s">
        <v>102</v>
      </c>
      <c r="C120" s="64" t="s">
        <v>68</v>
      </c>
      <c r="D120" s="8" t="s">
        <v>7</v>
      </c>
      <c r="E120" s="71" t="s">
        <v>2631</v>
      </c>
      <c r="F120" s="57" t="s">
        <v>825</v>
      </c>
      <c r="G120" s="49" t="s">
        <v>2</v>
      </c>
      <c r="H120" s="8"/>
      <c r="I120" s="9" t="str">
        <f>IFERROR(HYPERLINK("#Main!A"&amp;MATCH(A120,Main!A:A,0),"Open"),HYPERLINK("#Main!A1","Open"))</f>
        <v>Open</v>
      </c>
      <c r="J120" s="9" t="str">
        <f t="shared" ca="1" si="1"/>
        <v>Open</v>
      </c>
      <c r="K120" s="9"/>
    </row>
    <row r="121" spans="1:11" ht="30" customHeight="1" x14ac:dyDescent="0.25">
      <c r="A121" s="58" t="s">
        <v>704</v>
      </c>
      <c r="B121" s="42" t="s">
        <v>872</v>
      </c>
      <c r="C121" s="64" t="s">
        <v>68</v>
      </c>
      <c r="D121" s="11" t="s">
        <v>7</v>
      </c>
      <c r="E121" s="72" t="s">
        <v>2632</v>
      </c>
      <c r="F121" s="57" t="s">
        <v>825</v>
      </c>
      <c r="G121" s="49" t="s">
        <v>2</v>
      </c>
      <c r="H121" s="11"/>
      <c r="I121" t="str">
        <f>IFERROR(HYPERLINK("#Main!A"&amp;MATCH(A121,Main!A:A,0),"Open"),HYPERLINK("#Main!A1","Open"))</f>
        <v>Open</v>
      </c>
      <c r="J121" t="str">
        <f t="shared" ca="1" si="1"/>
        <v>Open</v>
      </c>
    </row>
    <row r="122" spans="1:11" ht="30" customHeight="1" x14ac:dyDescent="0.25">
      <c r="A122" s="59" t="s">
        <v>704</v>
      </c>
      <c r="B122" s="48" t="s">
        <v>873</v>
      </c>
      <c r="C122" s="64" t="s">
        <v>68</v>
      </c>
      <c r="D122" s="8" t="s">
        <v>7</v>
      </c>
      <c r="E122" s="71" t="s">
        <v>2633</v>
      </c>
      <c r="F122" s="57" t="s">
        <v>825</v>
      </c>
      <c r="G122" s="49" t="s">
        <v>2</v>
      </c>
      <c r="H122" s="8"/>
      <c r="I122" s="9" t="str">
        <f>IFERROR(HYPERLINK("#Main!A"&amp;MATCH(A122,Main!A:A,0),"Open"),HYPERLINK("#Main!A1","Open"))</f>
        <v>Open</v>
      </c>
      <c r="J122" s="9" t="str">
        <f t="shared" ca="1" si="1"/>
        <v>Open</v>
      </c>
      <c r="K122" s="9"/>
    </row>
    <row r="123" spans="1:11" ht="30" customHeight="1" x14ac:dyDescent="0.25">
      <c r="A123" s="58" t="s">
        <v>704</v>
      </c>
      <c r="B123" s="42" t="s">
        <v>874</v>
      </c>
      <c r="C123" s="64" t="s">
        <v>68</v>
      </c>
      <c r="D123" s="11" t="s">
        <v>9</v>
      </c>
      <c r="E123" s="72" t="s">
        <v>2634</v>
      </c>
      <c r="F123" s="60" t="s">
        <v>98</v>
      </c>
      <c r="G123" s="49" t="s">
        <v>2</v>
      </c>
      <c r="H123" s="11"/>
      <c r="I123" t="str">
        <f>IFERROR(HYPERLINK("#Main!A"&amp;MATCH(A123,Main!A:A,0),"Open"),HYPERLINK("#Main!A1","Open"))</f>
        <v>Open</v>
      </c>
      <c r="J123" t="str">
        <f t="shared" ca="1" si="1"/>
        <v>Open</v>
      </c>
    </row>
    <row r="124" spans="1:11" ht="30" customHeight="1" x14ac:dyDescent="0.25">
      <c r="A124" s="59" t="s">
        <v>704</v>
      </c>
      <c r="B124" s="48" t="s">
        <v>877</v>
      </c>
      <c r="C124" s="64" t="s">
        <v>68</v>
      </c>
      <c r="D124" s="8" t="s">
        <v>7</v>
      </c>
      <c r="E124" s="71" t="s">
        <v>2635</v>
      </c>
      <c r="F124" s="60" t="s">
        <v>98</v>
      </c>
      <c r="G124" s="49" t="s">
        <v>2</v>
      </c>
      <c r="H124" s="8"/>
      <c r="I124" s="9" t="str">
        <f>IFERROR(HYPERLINK("#Main!A"&amp;MATCH(A124,Main!A:A,0),"Open"),HYPERLINK("#Main!A1","Open"))</f>
        <v>Open</v>
      </c>
      <c r="J124" s="9" t="str">
        <f t="shared" ca="1" si="1"/>
        <v>Open</v>
      </c>
      <c r="K124" s="9"/>
    </row>
    <row r="125" spans="1:11" ht="30" customHeight="1" x14ac:dyDescent="0.25">
      <c r="A125" s="58" t="s">
        <v>704</v>
      </c>
      <c r="B125" s="42" t="s">
        <v>880</v>
      </c>
      <c r="C125" s="64" t="s">
        <v>68</v>
      </c>
      <c r="D125" s="11" t="s">
        <v>7</v>
      </c>
      <c r="E125" s="72" t="s">
        <v>2636</v>
      </c>
      <c r="F125" s="60" t="s">
        <v>98</v>
      </c>
      <c r="G125" s="49" t="s">
        <v>2</v>
      </c>
      <c r="H125" s="11"/>
      <c r="I125" t="str">
        <f>IFERROR(HYPERLINK("#Main!A"&amp;MATCH(A125,Main!A:A,0),"Open"),HYPERLINK("#Main!A1","Open"))</f>
        <v>Open</v>
      </c>
      <c r="J125" t="str">
        <f t="shared" ca="1" si="1"/>
        <v>Open</v>
      </c>
    </row>
    <row r="126" spans="1:11" ht="30" customHeight="1" x14ac:dyDescent="0.25">
      <c r="A126" s="59" t="s">
        <v>704</v>
      </c>
      <c r="B126" s="48" t="s">
        <v>883</v>
      </c>
      <c r="C126" s="64" t="s">
        <v>68</v>
      </c>
      <c r="D126" s="8" t="s">
        <v>7</v>
      </c>
      <c r="E126" s="71" t="s">
        <v>2637</v>
      </c>
      <c r="F126" s="60" t="s">
        <v>98</v>
      </c>
      <c r="G126" s="49" t="s">
        <v>2</v>
      </c>
      <c r="H126" s="8"/>
      <c r="I126" s="9" t="str">
        <f>IFERROR(HYPERLINK("#Main!A"&amp;MATCH(A126,Main!A:A,0),"Open"),HYPERLINK("#Main!A1","Open"))</f>
        <v>Open</v>
      </c>
      <c r="J126" s="9" t="str">
        <f t="shared" ca="1" si="1"/>
        <v>Open</v>
      </c>
      <c r="K126" s="9"/>
    </row>
    <row r="127" spans="1:11" ht="30" customHeight="1" x14ac:dyDescent="0.25">
      <c r="A127" s="58" t="s">
        <v>148</v>
      </c>
      <c r="B127" s="42" t="s">
        <v>858</v>
      </c>
      <c r="C127" s="61" t="s">
        <v>67</v>
      </c>
      <c r="D127" s="11" t="s">
        <v>9</v>
      </c>
      <c r="E127" s="72" t="s">
        <v>2638</v>
      </c>
      <c r="F127" s="60" t="s">
        <v>98</v>
      </c>
      <c r="G127" s="49" t="s">
        <v>2</v>
      </c>
      <c r="H127" s="11"/>
      <c r="I127" t="str">
        <f>IFERROR(HYPERLINK("#Main!A"&amp;MATCH(A127,Main!A:A,0),"Open"),HYPERLINK("#Main!A1","Open"))</f>
        <v>Open</v>
      </c>
      <c r="J127" t="str">
        <f t="shared" ca="1" si="1"/>
        <v>Open</v>
      </c>
    </row>
    <row r="128" spans="1:11" ht="30" customHeight="1" x14ac:dyDescent="0.25">
      <c r="A128" s="59" t="s">
        <v>148</v>
      </c>
      <c r="B128" s="48" t="s">
        <v>102</v>
      </c>
      <c r="C128" s="64" t="s">
        <v>68</v>
      </c>
      <c r="D128" s="8" t="s">
        <v>7</v>
      </c>
      <c r="E128" s="71" t="s">
        <v>2639</v>
      </c>
      <c r="F128" s="57" t="s">
        <v>825</v>
      </c>
      <c r="G128" s="49" t="s">
        <v>2</v>
      </c>
      <c r="H128" s="8"/>
      <c r="I128" s="9" t="str">
        <f>IFERROR(HYPERLINK("#Main!A"&amp;MATCH(A128,Main!A:A,0),"Open"),HYPERLINK("#Main!A1","Open"))</f>
        <v>Open</v>
      </c>
      <c r="J128" s="9" t="str">
        <f t="shared" ca="1" si="1"/>
        <v>Open</v>
      </c>
      <c r="K128" s="9"/>
    </row>
    <row r="129" spans="1:11" ht="30" customHeight="1" x14ac:dyDescent="0.25">
      <c r="A129" s="58" t="s">
        <v>148</v>
      </c>
      <c r="B129" s="42" t="s">
        <v>872</v>
      </c>
      <c r="C129" s="64" t="s">
        <v>68</v>
      </c>
      <c r="D129" s="11" t="s">
        <v>7</v>
      </c>
      <c r="E129" s="72" t="s">
        <v>2640</v>
      </c>
      <c r="F129" s="57" t="s">
        <v>825</v>
      </c>
      <c r="G129" s="49" t="s">
        <v>2</v>
      </c>
      <c r="H129" s="11"/>
      <c r="I129" t="str">
        <f>IFERROR(HYPERLINK("#Main!A"&amp;MATCH(A129,Main!A:A,0),"Open"),HYPERLINK("#Main!A1","Open"))</f>
        <v>Open</v>
      </c>
      <c r="J129" t="str">
        <f t="shared" ca="1" si="1"/>
        <v>Open</v>
      </c>
    </row>
    <row r="130" spans="1:11" ht="30" customHeight="1" x14ac:dyDescent="0.25">
      <c r="A130" s="59" t="s">
        <v>148</v>
      </c>
      <c r="B130" s="48" t="s">
        <v>873</v>
      </c>
      <c r="C130" s="64" t="s">
        <v>68</v>
      </c>
      <c r="D130" s="8" t="s">
        <v>7</v>
      </c>
      <c r="E130" s="71" t="s">
        <v>2641</v>
      </c>
      <c r="F130" s="57" t="s">
        <v>825</v>
      </c>
      <c r="G130" s="49" t="s">
        <v>2</v>
      </c>
      <c r="H130" s="8"/>
      <c r="I130" s="9" t="str">
        <f>IFERROR(HYPERLINK("#Main!A"&amp;MATCH(A130,Main!A:A,0),"Open"),HYPERLINK("#Main!A1","Open"))</f>
        <v>Open</v>
      </c>
      <c r="J130" s="9" t="str">
        <f t="shared" ref="J130:J193" ca="1" si="2">IFERROR(HYPERLINK("#"&amp;D130&amp;"!A"&amp;MATCH(A130,INDIRECT("'"&amp;D130&amp;"'!A:A"),0),"Open"),HYPERLINK("#"&amp;D130&amp;"!A1","Open"))</f>
        <v>Open</v>
      </c>
      <c r="K130" s="9"/>
    </row>
    <row r="131" spans="1:11" ht="30" customHeight="1" x14ac:dyDescent="0.25">
      <c r="A131" s="58" t="s">
        <v>148</v>
      </c>
      <c r="B131" s="42" t="s">
        <v>884</v>
      </c>
      <c r="C131" s="64" t="s">
        <v>68</v>
      </c>
      <c r="D131" s="11" t="s">
        <v>7</v>
      </c>
      <c r="E131" s="72" t="s">
        <v>2642</v>
      </c>
      <c r="F131" s="60" t="s">
        <v>98</v>
      </c>
      <c r="G131" s="49" t="s">
        <v>2</v>
      </c>
      <c r="H131" s="11"/>
      <c r="I131" t="str">
        <f>IFERROR(HYPERLINK("#Main!A"&amp;MATCH(A131,Main!A:A,0),"Open"),HYPERLINK("#Main!A1","Open"))</f>
        <v>Open</v>
      </c>
      <c r="J131" t="str">
        <f t="shared" ca="1" si="2"/>
        <v>Open</v>
      </c>
    </row>
    <row r="132" spans="1:11" ht="30" customHeight="1" x14ac:dyDescent="0.25">
      <c r="A132" s="59" t="s">
        <v>148</v>
      </c>
      <c r="B132" s="48" t="s">
        <v>874</v>
      </c>
      <c r="C132" s="64" t="s">
        <v>68</v>
      </c>
      <c r="D132" s="8" t="s">
        <v>9</v>
      </c>
      <c r="E132" s="71" t="s">
        <v>2643</v>
      </c>
      <c r="F132" s="60" t="s">
        <v>98</v>
      </c>
      <c r="G132" s="49" t="s">
        <v>2</v>
      </c>
      <c r="H132" s="8"/>
      <c r="I132" s="9" t="str">
        <f>IFERROR(HYPERLINK("#Main!A"&amp;MATCH(A132,Main!A:A,0),"Open"),HYPERLINK("#Main!A1","Open"))</f>
        <v>Open</v>
      </c>
      <c r="J132" s="9" t="str">
        <f t="shared" ca="1" si="2"/>
        <v>Open</v>
      </c>
      <c r="K132" s="9"/>
    </row>
    <row r="133" spans="1:11" ht="30" customHeight="1" x14ac:dyDescent="0.25">
      <c r="A133" s="58" t="s">
        <v>148</v>
      </c>
      <c r="B133" s="42" t="s">
        <v>877</v>
      </c>
      <c r="C133" s="64" t="s">
        <v>68</v>
      </c>
      <c r="D133" s="11" t="s">
        <v>7</v>
      </c>
      <c r="E133" s="72" t="s">
        <v>2644</v>
      </c>
      <c r="F133" s="60" t="s">
        <v>98</v>
      </c>
      <c r="G133" s="49" t="s">
        <v>2</v>
      </c>
      <c r="H133" s="11"/>
      <c r="I133" t="str">
        <f>IFERROR(HYPERLINK("#Main!A"&amp;MATCH(A133,Main!A:A,0),"Open"),HYPERLINK("#Main!A1","Open"))</f>
        <v>Open</v>
      </c>
      <c r="J133" t="str">
        <f t="shared" ca="1" si="2"/>
        <v>Open</v>
      </c>
    </row>
    <row r="134" spans="1:11" ht="30" customHeight="1" x14ac:dyDescent="0.25">
      <c r="A134" s="59" t="s">
        <v>148</v>
      </c>
      <c r="B134" s="48" t="s">
        <v>880</v>
      </c>
      <c r="C134" s="64" t="s">
        <v>68</v>
      </c>
      <c r="D134" s="8" t="s">
        <v>7</v>
      </c>
      <c r="E134" s="71" t="s">
        <v>2645</v>
      </c>
      <c r="F134" s="60" t="s">
        <v>98</v>
      </c>
      <c r="G134" s="49" t="s">
        <v>2</v>
      </c>
      <c r="H134" s="8"/>
      <c r="I134" s="9" t="str">
        <f>IFERROR(HYPERLINK("#Main!A"&amp;MATCH(A134,Main!A:A,0),"Open"),HYPERLINK("#Main!A1","Open"))</f>
        <v>Open</v>
      </c>
      <c r="J134" s="9" t="str">
        <f t="shared" ca="1" si="2"/>
        <v>Open</v>
      </c>
      <c r="K134" s="9"/>
    </row>
    <row r="135" spans="1:11" ht="30" customHeight="1" x14ac:dyDescent="0.25">
      <c r="A135" s="58" t="s">
        <v>148</v>
      </c>
      <c r="B135" s="42" t="s">
        <v>883</v>
      </c>
      <c r="C135" s="64" t="s">
        <v>68</v>
      </c>
      <c r="D135" s="11" t="s">
        <v>7</v>
      </c>
      <c r="E135" s="72" t="s">
        <v>2646</v>
      </c>
      <c r="F135" s="60" t="s">
        <v>98</v>
      </c>
      <c r="G135" s="49" t="s">
        <v>2</v>
      </c>
      <c r="H135" s="11"/>
      <c r="I135" t="str">
        <f>IFERROR(HYPERLINK("#Main!A"&amp;MATCH(A135,Main!A:A,0),"Open"),HYPERLINK("#Main!A1","Open"))</f>
        <v>Open</v>
      </c>
      <c r="J135" t="str">
        <f t="shared" ca="1" si="2"/>
        <v>Open</v>
      </c>
    </row>
    <row r="136" spans="1:11" ht="30" customHeight="1" x14ac:dyDescent="0.25">
      <c r="A136" s="59" t="s">
        <v>497</v>
      </c>
      <c r="B136" s="48" t="s">
        <v>852</v>
      </c>
      <c r="C136" s="61" t="s">
        <v>67</v>
      </c>
      <c r="D136" s="8" t="s">
        <v>7</v>
      </c>
      <c r="E136" s="71" t="s">
        <v>2647</v>
      </c>
      <c r="F136" s="60" t="s">
        <v>98</v>
      </c>
      <c r="G136" s="49" t="s">
        <v>2</v>
      </c>
      <c r="H136" s="8"/>
      <c r="I136" s="9" t="str">
        <f>IFERROR(HYPERLINK("#Main!A"&amp;MATCH(A136,Main!A:A,0),"Open"),HYPERLINK("#Main!A1","Open"))</f>
        <v>Open</v>
      </c>
      <c r="J136" s="9" t="str">
        <f t="shared" ca="1" si="2"/>
        <v>Open</v>
      </c>
      <c r="K136" s="9"/>
    </row>
    <row r="137" spans="1:11" ht="30" customHeight="1" x14ac:dyDescent="0.25">
      <c r="A137" s="58" t="s">
        <v>497</v>
      </c>
      <c r="B137" s="42" t="s">
        <v>858</v>
      </c>
      <c r="C137" s="61" t="s">
        <v>67</v>
      </c>
      <c r="D137" s="11" t="s">
        <v>9</v>
      </c>
      <c r="E137" s="72" t="s">
        <v>2648</v>
      </c>
      <c r="F137" s="60" t="s">
        <v>98</v>
      </c>
      <c r="G137" s="49" t="s">
        <v>2</v>
      </c>
      <c r="H137" s="11"/>
      <c r="I137" t="str">
        <f>IFERROR(HYPERLINK("#Main!A"&amp;MATCH(A137,Main!A:A,0),"Open"),HYPERLINK("#Main!A1","Open"))</f>
        <v>Open</v>
      </c>
      <c r="J137" t="str">
        <f t="shared" ca="1" si="2"/>
        <v>Open</v>
      </c>
    </row>
    <row r="138" spans="1:11" ht="30" customHeight="1" x14ac:dyDescent="0.25">
      <c r="A138" s="59" t="s">
        <v>497</v>
      </c>
      <c r="B138" s="48" t="s">
        <v>102</v>
      </c>
      <c r="C138" s="64" t="s">
        <v>68</v>
      </c>
      <c r="D138" s="8" t="s">
        <v>7</v>
      </c>
      <c r="E138" s="71" t="s">
        <v>2649</v>
      </c>
      <c r="F138" s="57" t="s">
        <v>825</v>
      </c>
      <c r="G138" s="49" t="s">
        <v>2</v>
      </c>
      <c r="H138" s="8"/>
      <c r="I138" s="9" t="str">
        <f>IFERROR(HYPERLINK("#Main!A"&amp;MATCH(A138,Main!A:A,0),"Open"),HYPERLINK("#Main!A1","Open"))</f>
        <v>Open</v>
      </c>
      <c r="J138" s="9" t="str">
        <f t="shared" ca="1" si="2"/>
        <v>Open</v>
      </c>
      <c r="K138" s="9"/>
    </row>
    <row r="139" spans="1:11" ht="30" customHeight="1" x14ac:dyDescent="0.25">
      <c r="A139" s="58" t="s">
        <v>497</v>
      </c>
      <c r="B139" s="42" t="s">
        <v>872</v>
      </c>
      <c r="C139" s="64" t="s">
        <v>68</v>
      </c>
      <c r="D139" s="11" t="s">
        <v>7</v>
      </c>
      <c r="E139" s="72" t="s">
        <v>2650</v>
      </c>
      <c r="F139" s="57" t="s">
        <v>825</v>
      </c>
      <c r="G139" s="49" t="s">
        <v>2</v>
      </c>
      <c r="H139" s="11"/>
      <c r="I139" t="str">
        <f>IFERROR(HYPERLINK("#Main!A"&amp;MATCH(A139,Main!A:A,0),"Open"),HYPERLINK("#Main!A1","Open"))</f>
        <v>Open</v>
      </c>
      <c r="J139" t="str">
        <f t="shared" ca="1" si="2"/>
        <v>Open</v>
      </c>
    </row>
    <row r="140" spans="1:11" ht="30" customHeight="1" x14ac:dyDescent="0.25">
      <c r="A140" s="59" t="s">
        <v>497</v>
      </c>
      <c r="B140" s="48" t="s">
        <v>873</v>
      </c>
      <c r="C140" s="64" t="s">
        <v>68</v>
      </c>
      <c r="D140" s="8" t="s">
        <v>7</v>
      </c>
      <c r="E140" s="71" t="s">
        <v>2651</v>
      </c>
      <c r="F140" s="57" t="s">
        <v>825</v>
      </c>
      <c r="G140" s="49" t="s">
        <v>2</v>
      </c>
      <c r="H140" s="8"/>
      <c r="I140" s="9" t="str">
        <f>IFERROR(HYPERLINK("#Main!A"&amp;MATCH(A140,Main!A:A,0),"Open"),HYPERLINK("#Main!A1","Open"))</f>
        <v>Open</v>
      </c>
      <c r="J140" s="9" t="str">
        <f t="shared" ca="1" si="2"/>
        <v>Open</v>
      </c>
      <c r="K140" s="9"/>
    </row>
    <row r="141" spans="1:11" ht="30" customHeight="1" x14ac:dyDescent="0.25">
      <c r="A141" s="58" t="s">
        <v>497</v>
      </c>
      <c r="B141" s="42" t="s">
        <v>874</v>
      </c>
      <c r="C141" s="64" t="s">
        <v>68</v>
      </c>
      <c r="D141" s="11" t="s">
        <v>9</v>
      </c>
      <c r="E141" s="72" t="s">
        <v>2652</v>
      </c>
      <c r="F141" s="60" t="s">
        <v>98</v>
      </c>
      <c r="G141" s="49" t="s">
        <v>2</v>
      </c>
      <c r="H141" s="11"/>
      <c r="I141" t="str">
        <f>IFERROR(HYPERLINK("#Main!A"&amp;MATCH(A141,Main!A:A,0),"Open"),HYPERLINK("#Main!A1","Open"))</f>
        <v>Open</v>
      </c>
      <c r="J141" t="str">
        <f t="shared" ca="1" si="2"/>
        <v>Open</v>
      </c>
    </row>
    <row r="142" spans="1:11" ht="30" customHeight="1" x14ac:dyDescent="0.25">
      <c r="A142" s="59" t="s">
        <v>497</v>
      </c>
      <c r="B142" s="48" t="s">
        <v>877</v>
      </c>
      <c r="C142" s="64" t="s">
        <v>68</v>
      </c>
      <c r="D142" s="8" t="s">
        <v>7</v>
      </c>
      <c r="E142" s="71" t="s">
        <v>2653</v>
      </c>
      <c r="F142" s="60" t="s">
        <v>98</v>
      </c>
      <c r="G142" s="49" t="s">
        <v>2</v>
      </c>
      <c r="H142" s="8"/>
      <c r="I142" s="9" t="str">
        <f>IFERROR(HYPERLINK("#Main!A"&amp;MATCH(A142,Main!A:A,0),"Open"),HYPERLINK("#Main!A1","Open"))</f>
        <v>Open</v>
      </c>
      <c r="J142" s="9" t="str">
        <f t="shared" ca="1" si="2"/>
        <v>Open</v>
      </c>
      <c r="K142" s="9"/>
    </row>
    <row r="143" spans="1:11" ht="30" customHeight="1" x14ac:dyDescent="0.25">
      <c r="A143" s="58" t="s">
        <v>497</v>
      </c>
      <c r="B143" s="42" t="s">
        <v>880</v>
      </c>
      <c r="C143" s="64" t="s">
        <v>68</v>
      </c>
      <c r="D143" s="11" t="s">
        <v>7</v>
      </c>
      <c r="E143" s="72" t="s">
        <v>2654</v>
      </c>
      <c r="F143" s="60" t="s">
        <v>98</v>
      </c>
      <c r="G143" s="49" t="s">
        <v>2</v>
      </c>
      <c r="H143" s="11"/>
      <c r="I143" t="str">
        <f>IFERROR(HYPERLINK("#Main!A"&amp;MATCH(A143,Main!A:A,0),"Open"),HYPERLINK("#Main!A1","Open"))</f>
        <v>Open</v>
      </c>
      <c r="J143" t="str">
        <f t="shared" ca="1" si="2"/>
        <v>Open</v>
      </c>
    </row>
    <row r="144" spans="1:11" ht="30" customHeight="1" x14ac:dyDescent="0.25">
      <c r="A144" s="59" t="s">
        <v>497</v>
      </c>
      <c r="B144" s="48" t="s">
        <v>883</v>
      </c>
      <c r="C144" s="64" t="s">
        <v>68</v>
      </c>
      <c r="D144" s="8" t="s">
        <v>7</v>
      </c>
      <c r="E144" s="71" t="s">
        <v>2655</v>
      </c>
      <c r="F144" s="60" t="s">
        <v>98</v>
      </c>
      <c r="G144" s="49" t="s">
        <v>2</v>
      </c>
      <c r="H144" s="8"/>
      <c r="I144" s="9" t="str">
        <f>IFERROR(HYPERLINK("#Main!A"&amp;MATCH(A144,Main!A:A,0),"Open"),HYPERLINK("#Main!A1","Open"))</f>
        <v>Open</v>
      </c>
      <c r="J144" s="9" t="str">
        <f t="shared" ca="1" si="2"/>
        <v>Open</v>
      </c>
      <c r="K144" s="9"/>
    </row>
    <row r="145" spans="1:11" ht="30" customHeight="1" x14ac:dyDescent="0.25">
      <c r="A145" s="58" t="s">
        <v>505</v>
      </c>
      <c r="B145" s="42" t="s">
        <v>852</v>
      </c>
      <c r="C145" s="61" t="s">
        <v>67</v>
      </c>
      <c r="D145" s="11" t="s">
        <v>7</v>
      </c>
      <c r="E145" s="72" t="s">
        <v>2656</v>
      </c>
      <c r="F145" s="60" t="s">
        <v>98</v>
      </c>
      <c r="G145" s="49" t="s">
        <v>2</v>
      </c>
      <c r="H145" s="11"/>
      <c r="I145" t="str">
        <f>IFERROR(HYPERLINK("#Main!A"&amp;MATCH(A145,Main!A:A,0),"Open"),HYPERLINK("#Main!A1","Open"))</f>
        <v>Open</v>
      </c>
      <c r="J145" t="str">
        <f t="shared" ca="1" si="2"/>
        <v>Open</v>
      </c>
    </row>
    <row r="146" spans="1:11" ht="30" customHeight="1" x14ac:dyDescent="0.25">
      <c r="A146" s="59" t="s">
        <v>505</v>
      </c>
      <c r="B146" s="48" t="s">
        <v>858</v>
      </c>
      <c r="C146" s="61" t="s">
        <v>67</v>
      </c>
      <c r="D146" s="8" t="s">
        <v>9</v>
      </c>
      <c r="E146" s="71" t="s">
        <v>2657</v>
      </c>
      <c r="F146" s="60" t="s">
        <v>98</v>
      </c>
      <c r="G146" s="49" t="s">
        <v>2</v>
      </c>
      <c r="H146" s="8"/>
      <c r="I146" s="9" t="str">
        <f>IFERROR(HYPERLINK("#Main!A"&amp;MATCH(A146,Main!A:A,0),"Open"),HYPERLINK("#Main!A1","Open"))</f>
        <v>Open</v>
      </c>
      <c r="J146" s="9" t="str">
        <f t="shared" ca="1" si="2"/>
        <v>Open</v>
      </c>
      <c r="K146" s="9"/>
    </row>
    <row r="147" spans="1:11" ht="30" customHeight="1" x14ac:dyDescent="0.25">
      <c r="A147" s="58" t="s">
        <v>505</v>
      </c>
      <c r="B147" s="42" t="s">
        <v>102</v>
      </c>
      <c r="C147" s="64" t="s">
        <v>68</v>
      </c>
      <c r="D147" s="11" t="s">
        <v>7</v>
      </c>
      <c r="E147" s="72" t="s">
        <v>2658</v>
      </c>
      <c r="F147" s="57" t="s">
        <v>825</v>
      </c>
      <c r="G147" s="49" t="s">
        <v>2</v>
      </c>
      <c r="H147" s="11"/>
      <c r="I147" t="str">
        <f>IFERROR(HYPERLINK("#Main!A"&amp;MATCH(A147,Main!A:A,0),"Open"),HYPERLINK("#Main!A1","Open"))</f>
        <v>Open</v>
      </c>
      <c r="J147" t="str">
        <f t="shared" ca="1" si="2"/>
        <v>Open</v>
      </c>
    </row>
    <row r="148" spans="1:11" ht="30" customHeight="1" x14ac:dyDescent="0.25">
      <c r="A148" s="59" t="s">
        <v>505</v>
      </c>
      <c r="B148" s="48" t="s">
        <v>872</v>
      </c>
      <c r="C148" s="64" t="s">
        <v>68</v>
      </c>
      <c r="D148" s="8" t="s">
        <v>7</v>
      </c>
      <c r="E148" s="71" t="s">
        <v>2659</v>
      </c>
      <c r="F148" s="57" t="s">
        <v>825</v>
      </c>
      <c r="G148" s="49" t="s">
        <v>2</v>
      </c>
      <c r="H148" s="8"/>
      <c r="I148" s="9" t="str">
        <f>IFERROR(HYPERLINK("#Main!A"&amp;MATCH(A148,Main!A:A,0),"Open"),HYPERLINK("#Main!A1","Open"))</f>
        <v>Open</v>
      </c>
      <c r="J148" s="9" t="str">
        <f t="shared" ca="1" si="2"/>
        <v>Open</v>
      </c>
      <c r="K148" s="9"/>
    </row>
    <row r="149" spans="1:11" ht="30" customHeight="1" x14ac:dyDescent="0.25">
      <c r="A149" s="58" t="s">
        <v>505</v>
      </c>
      <c r="B149" s="42" t="s">
        <v>873</v>
      </c>
      <c r="C149" s="64" t="s">
        <v>68</v>
      </c>
      <c r="D149" s="11" t="s">
        <v>7</v>
      </c>
      <c r="E149" s="72" t="s">
        <v>2660</v>
      </c>
      <c r="F149" s="57" t="s">
        <v>825</v>
      </c>
      <c r="G149" s="49" t="s">
        <v>2</v>
      </c>
      <c r="H149" s="11"/>
      <c r="I149" t="str">
        <f>IFERROR(HYPERLINK("#Main!A"&amp;MATCH(A149,Main!A:A,0),"Open"),HYPERLINK("#Main!A1","Open"))</f>
        <v>Open</v>
      </c>
      <c r="J149" t="str">
        <f t="shared" ca="1" si="2"/>
        <v>Open</v>
      </c>
    </row>
    <row r="150" spans="1:11" ht="30" customHeight="1" x14ac:dyDescent="0.25">
      <c r="A150" s="59" t="s">
        <v>505</v>
      </c>
      <c r="B150" s="48" t="s">
        <v>874</v>
      </c>
      <c r="C150" s="64" t="s">
        <v>68</v>
      </c>
      <c r="D150" s="8" t="s">
        <v>9</v>
      </c>
      <c r="E150" s="71" t="s">
        <v>2661</v>
      </c>
      <c r="F150" s="60" t="s">
        <v>98</v>
      </c>
      <c r="G150" s="49" t="s">
        <v>2</v>
      </c>
      <c r="H150" s="8"/>
      <c r="I150" s="9" t="str">
        <f>IFERROR(HYPERLINK("#Main!A"&amp;MATCH(A150,Main!A:A,0),"Open"),HYPERLINK("#Main!A1","Open"))</f>
        <v>Open</v>
      </c>
      <c r="J150" s="9" t="str">
        <f t="shared" ca="1" si="2"/>
        <v>Open</v>
      </c>
      <c r="K150" s="9"/>
    </row>
    <row r="151" spans="1:11" ht="30" customHeight="1" x14ac:dyDescent="0.25">
      <c r="A151" s="58" t="s">
        <v>505</v>
      </c>
      <c r="B151" s="42" t="s">
        <v>877</v>
      </c>
      <c r="C151" s="64" t="s">
        <v>68</v>
      </c>
      <c r="D151" s="11" t="s">
        <v>7</v>
      </c>
      <c r="E151" s="72" t="s">
        <v>2662</v>
      </c>
      <c r="F151" s="60" t="s">
        <v>98</v>
      </c>
      <c r="G151" s="49" t="s">
        <v>2</v>
      </c>
      <c r="H151" s="11"/>
      <c r="I151" t="str">
        <f>IFERROR(HYPERLINK("#Main!A"&amp;MATCH(A151,Main!A:A,0),"Open"),HYPERLINK("#Main!A1","Open"))</f>
        <v>Open</v>
      </c>
      <c r="J151" t="str">
        <f t="shared" ca="1" si="2"/>
        <v>Open</v>
      </c>
    </row>
    <row r="152" spans="1:11" ht="30" customHeight="1" x14ac:dyDescent="0.25">
      <c r="A152" s="59" t="s">
        <v>505</v>
      </c>
      <c r="B152" s="48" t="s">
        <v>880</v>
      </c>
      <c r="C152" s="64" t="s">
        <v>68</v>
      </c>
      <c r="D152" s="8" t="s">
        <v>7</v>
      </c>
      <c r="E152" s="71" t="s">
        <v>2663</v>
      </c>
      <c r="F152" s="60" t="s">
        <v>98</v>
      </c>
      <c r="G152" s="49" t="s">
        <v>2</v>
      </c>
      <c r="H152" s="8"/>
      <c r="I152" s="9" t="str">
        <f>IFERROR(HYPERLINK("#Main!A"&amp;MATCH(A152,Main!A:A,0),"Open"),HYPERLINK("#Main!A1","Open"))</f>
        <v>Open</v>
      </c>
      <c r="J152" s="9" t="str">
        <f t="shared" ca="1" si="2"/>
        <v>Open</v>
      </c>
      <c r="K152" s="9"/>
    </row>
    <row r="153" spans="1:11" ht="30" customHeight="1" x14ac:dyDescent="0.25">
      <c r="A153" s="58" t="s">
        <v>505</v>
      </c>
      <c r="B153" s="42" t="s">
        <v>883</v>
      </c>
      <c r="C153" s="64" t="s">
        <v>68</v>
      </c>
      <c r="D153" s="11" t="s">
        <v>7</v>
      </c>
      <c r="E153" s="72" t="s">
        <v>2664</v>
      </c>
      <c r="F153" s="60" t="s">
        <v>98</v>
      </c>
      <c r="G153" s="49" t="s">
        <v>2</v>
      </c>
      <c r="H153" s="11"/>
      <c r="I153" t="str">
        <f>IFERROR(HYPERLINK("#Main!A"&amp;MATCH(A153,Main!A:A,0),"Open"),HYPERLINK("#Main!A1","Open"))</f>
        <v>Open</v>
      </c>
      <c r="J153" t="str">
        <f t="shared" ca="1" si="2"/>
        <v>Open</v>
      </c>
    </row>
    <row r="154" spans="1:11" ht="30" customHeight="1" x14ac:dyDescent="0.25">
      <c r="A154" s="59" t="s">
        <v>690</v>
      </c>
      <c r="B154" s="48" t="s">
        <v>852</v>
      </c>
      <c r="C154" s="61" t="s">
        <v>67</v>
      </c>
      <c r="D154" s="8" t="s">
        <v>7</v>
      </c>
      <c r="E154" s="71" t="s">
        <v>2665</v>
      </c>
      <c r="F154" s="60" t="s">
        <v>98</v>
      </c>
      <c r="G154" s="49" t="s">
        <v>2</v>
      </c>
      <c r="H154" s="8"/>
      <c r="I154" s="9" t="str">
        <f>IFERROR(HYPERLINK("#Main!A"&amp;MATCH(A154,Main!A:A,0),"Open"),HYPERLINK("#Main!A1","Open"))</f>
        <v>Open</v>
      </c>
      <c r="J154" s="9" t="str">
        <f t="shared" ca="1" si="2"/>
        <v>Open</v>
      </c>
      <c r="K154" s="9"/>
    </row>
    <row r="155" spans="1:11" ht="30" customHeight="1" x14ac:dyDescent="0.25">
      <c r="A155" s="58" t="s">
        <v>690</v>
      </c>
      <c r="B155" s="42" t="s">
        <v>858</v>
      </c>
      <c r="C155" s="61" t="s">
        <v>67</v>
      </c>
      <c r="D155" s="11" t="s">
        <v>9</v>
      </c>
      <c r="E155" s="72" t="s">
        <v>2666</v>
      </c>
      <c r="F155" s="60" t="s">
        <v>98</v>
      </c>
      <c r="G155" s="49" t="s">
        <v>2</v>
      </c>
      <c r="H155" s="11"/>
      <c r="I155" t="str">
        <f>IFERROR(HYPERLINK("#Main!A"&amp;MATCH(A155,Main!A:A,0),"Open"),HYPERLINK("#Main!A1","Open"))</f>
        <v>Open</v>
      </c>
      <c r="J155" t="str">
        <f t="shared" ca="1" si="2"/>
        <v>Open</v>
      </c>
    </row>
    <row r="156" spans="1:11" ht="30" customHeight="1" x14ac:dyDescent="0.25">
      <c r="A156" s="59" t="s">
        <v>690</v>
      </c>
      <c r="B156" s="48" t="s">
        <v>102</v>
      </c>
      <c r="C156" s="64" t="s">
        <v>68</v>
      </c>
      <c r="D156" s="8" t="s">
        <v>7</v>
      </c>
      <c r="E156" s="71" t="s">
        <v>2667</v>
      </c>
      <c r="F156" s="57" t="s">
        <v>825</v>
      </c>
      <c r="G156" s="49" t="s">
        <v>2</v>
      </c>
      <c r="H156" s="8"/>
      <c r="I156" s="9" t="str">
        <f>IFERROR(HYPERLINK("#Main!A"&amp;MATCH(A156,Main!A:A,0),"Open"),HYPERLINK("#Main!A1","Open"))</f>
        <v>Open</v>
      </c>
      <c r="J156" s="9" t="str">
        <f t="shared" ca="1" si="2"/>
        <v>Open</v>
      </c>
      <c r="K156" s="9"/>
    </row>
    <row r="157" spans="1:11" ht="30" customHeight="1" x14ac:dyDescent="0.25">
      <c r="A157" s="58" t="s">
        <v>690</v>
      </c>
      <c r="B157" s="42" t="s">
        <v>872</v>
      </c>
      <c r="C157" s="64" t="s">
        <v>68</v>
      </c>
      <c r="D157" s="11" t="s">
        <v>7</v>
      </c>
      <c r="E157" s="72" t="s">
        <v>2668</v>
      </c>
      <c r="F157" s="57" t="s">
        <v>825</v>
      </c>
      <c r="G157" s="49" t="s">
        <v>2</v>
      </c>
      <c r="H157" s="11"/>
      <c r="I157" t="str">
        <f>IFERROR(HYPERLINK("#Main!A"&amp;MATCH(A157,Main!A:A,0),"Open"),HYPERLINK("#Main!A1","Open"))</f>
        <v>Open</v>
      </c>
      <c r="J157" t="str">
        <f t="shared" ca="1" si="2"/>
        <v>Open</v>
      </c>
    </row>
    <row r="158" spans="1:11" ht="30" customHeight="1" x14ac:dyDescent="0.25">
      <c r="A158" s="59" t="s">
        <v>690</v>
      </c>
      <c r="B158" s="48" t="s">
        <v>873</v>
      </c>
      <c r="C158" s="64" t="s">
        <v>68</v>
      </c>
      <c r="D158" s="8" t="s">
        <v>7</v>
      </c>
      <c r="E158" s="71" t="s">
        <v>2669</v>
      </c>
      <c r="F158" s="57" t="s">
        <v>825</v>
      </c>
      <c r="G158" s="49" t="s">
        <v>2</v>
      </c>
      <c r="H158" s="8"/>
      <c r="I158" s="9" t="str">
        <f>IFERROR(HYPERLINK("#Main!A"&amp;MATCH(A158,Main!A:A,0),"Open"),HYPERLINK("#Main!A1","Open"))</f>
        <v>Open</v>
      </c>
      <c r="J158" s="9" t="str">
        <f t="shared" ca="1" si="2"/>
        <v>Open</v>
      </c>
      <c r="K158" s="9"/>
    </row>
    <row r="159" spans="1:11" ht="30" customHeight="1" x14ac:dyDescent="0.25">
      <c r="A159" s="58" t="s">
        <v>690</v>
      </c>
      <c r="B159" s="42" t="s">
        <v>874</v>
      </c>
      <c r="C159" s="64" t="s">
        <v>68</v>
      </c>
      <c r="D159" s="11" t="s">
        <v>9</v>
      </c>
      <c r="E159" s="72" t="s">
        <v>2670</v>
      </c>
      <c r="F159" s="60" t="s">
        <v>98</v>
      </c>
      <c r="G159" s="49" t="s">
        <v>2</v>
      </c>
      <c r="H159" s="11"/>
      <c r="I159" t="str">
        <f>IFERROR(HYPERLINK("#Main!A"&amp;MATCH(A159,Main!A:A,0),"Open"),HYPERLINK("#Main!A1","Open"))</f>
        <v>Open</v>
      </c>
      <c r="J159" t="str">
        <f t="shared" ca="1" si="2"/>
        <v>Open</v>
      </c>
    </row>
    <row r="160" spans="1:11" ht="30" customHeight="1" x14ac:dyDescent="0.25">
      <c r="A160" s="59" t="s">
        <v>690</v>
      </c>
      <c r="B160" s="48" t="s">
        <v>877</v>
      </c>
      <c r="C160" s="64" t="s">
        <v>68</v>
      </c>
      <c r="D160" s="8" t="s">
        <v>7</v>
      </c>
      <c r="E160" s="71" t="s">
        <v>2671</v>
      </c>
      <c r="F160" s="60" t="s">
        <v>98</v>
      </c>
      <c r="G160" s="49" t="s">
        <v>2</v>
      </c>
      <c r="H160" s="8"/>
      <c r="I160" s="9" t="str">
        <f>IFERROR(HYPERLINK("#Main!A"&amp;MATCH(A160,Main!A:A,0),"Open"),HYPERLINK("#Main!A1","Open"))</f>
        <v>Open</v>
      </c>
      <c r="J160" s="9" t="str">
        <f t="shared" ca="1" si="2"/>
        <v>Open</v>
      </c>
      <c r="K160" s="9"/>
    </row>
    <row r="161" spans="1:11" ht="30" customHeight="1" x14ac:dyDescent="0.25">
      <c r="A161" s="58" t="s">
        <v>690</v>
      </c>
      <c r="B161" s="42" t="s">
        <v>880</v>
      </c>
      <c r="C161" s="64" t="s">
        <v>68</v>
      </c>
      <c r="D161" s="11" t="s">
        <v>7</v>
      </c>
      <c r="E161" s="72" t="s">
        <v>2672</v>
      </c>
      <c r="F161" s="60" t="s">
        <v>98</v>
      </c>
      <c r="G161" s="49" t="s">
        <v>2</v>
      </c>
      <c r="H161" s="11"/>
      <c r="I161" t="str">
        <f>IFERROR(HYPERLINK("#Main!A"&amp;MATCH(A161,Main!A:A,0),"Open"),HYPERLINK("#Main!A1","Open"))</f>
        <v>Open</v>
      </c>
      <c r="J161" t="str">
        <f t="shared" ca="1" si="2"/>
        <v>Open</v>
      </c>
    </row>
    <row r="162" spans="1:11" ht="30" customHeight="1" x14ac:dyDescent="0.25">
      <c r="A162" s="59" t="s">
        <v>690</v>
      </c>
      <c r="B162" s="48" t="s">
        <v>883</v>
      </c>
      <c r="C162" s="64" t="s">
        <v>68</v>
      </c>
      <c r="D162" s="8" t="s">
        <v>7</v>
      </c>
      <c r="E162" s="71" t="s">
        <v>2673</v>
      </c>
      <c r="F162" s="60" t="s">
        <v>98</v>
      </c>
      <c r="G162" s="49" t="s">
        <v>2</v>
      </c>
      <c r="H162" s="8"/>
      <c r="I162" s="9" t="str">
        <f>IFERROR(HYPERLINK("#Main!A"&amp;MATCH(A162,Main!A:A,0),"Open"),HYPERLINK("#Main!A1","Open"))</f>
        <v>Open</v>
      </c>
      <c r="J162" s="9" t="str">
        <f t="shared" ca="1" si="2"/>
        <v>Open</v>
      </c>
      <c r="K162" s="9"/>
    </row>
    <row r="163" spans="1:11" ht="30" customHeight="1" x14ac:dyDescent="0.25">
      <c r="A163" s="58" t="s">
        <v>306</v>
      </c>
      <c r="B163" s="42" t="s">
        <v>852</v>
      </c>
      <c r="C163" s="61" t="s">
        <v>67</v>
      </c>
      <c r="D163" s="11" t="s">
        <v>7</v>
      </c>
      <c r="E163" s="72" t="s">
        <v>2674</v>
      </c>
      <c r="F163" s="60" t="s">
        <v>98</v>
      </c>
      <c r="G163" s="49" t="s">
        <v>2</v>
      </c>
      <c r="H163" s="11"/>
      <c r="I163" t="str">
        <f>IFERROR(HYPERLINK("#Main!A"&amp;MATCH(A163,Main!A:A,0),"Open"),HYPERLINK("#Main!A1","Open"))</f>
        <v>Open</v>
      </c>
      <c r="J163" t="str">
        <f t="shared" ca="1" si="2"/>
        <v>Open</v>
      </c>
    </row>
    <row r="164" spans="1:11" ht="30" customHeight="1" x14ac:dyDescent="0.25">
      <c r="A164" s="59" t="s">
        <v>306</v>
      </c>
      <c r="B164" s="48" t="s">
        <v>858</v>
      </c>
      <c r="C164" s="61" t="s">
        <v>67</v>
      </c>
      <c r="D164" s="8" t="s">
        <v>9</v>
      </c>
      <c r="E164" s="71" t="s">
        <v>2675</v>
      </c>
      <c r="F164" s="60" t="s">
        <v>98</v>
      </c>
      <c r="G164" s="49" t="s">
        <v>2</v>
      </c>
      <c r="H164" s="8"/>
      <c r="I164" s="9" t="str">
        <f>IFERROR(HYPERLINK("#Main!A"&amp;MATCH(A164,Main!A:A,0),"Open"),HYPERLINK("#Main!A1","Open"))</f>
        <v>Open</v>
      </c>
      <c r="J164" s="9" t="str">
        <f t="shared" ca="1" si="2"/>
        <v>Open</v>
      </c>
      <c r="K164" s="9"/>
    </row>
    <row r="165" spans="1:11" ht="30" customHeight="1" x14ac:dyDescent="0.25">
      <c r="A165" s="58" t="s">
        <v>306</v>
      </c>
      <c r="B165" s="42" t="s">
        <v>102</v>
      </c>
      <c r="C165" s="64" t="s">
        <v>68</v>
      </c>
      <c r="D165" s="11" t="s">
        <v>7</v>
      </c>
      <c r="E165" s="72" t="s">
        <v>2676</v>
      </c>
      <c r="F165" s="57" t="s">
        <v>825</v>
      </c>
      <c r="G165" s="49" t="s">
        <v>2</v>
      </c>
      <c r="H165" s="11"/>
      <c r="I165" t="str">
        <f>IFERROR(HYPERLINK("#Main!A"&amp;MATCH(A165,Main!A:A,0),"Open"),HYPERLINK("#Main!A1","Open"))</f>
        <v>Open</v>
      </c>
      <c r="J165" t="str">
        <f t="shared" ca="1" si="2"/>
        <v>Open</v>
      </c>
    </row>
    <row r="166" spans="1:11" ht="30" customHeight="1" x14ac:dyDescent="0.25">
      <c r="A166" s="59" t="s">
        <v>306</v>
      </c>
      <c r="B166" s="48" t="s">
        <v>872</v>
      </c>
      <c r="C166" s="64" t="s">
        <v>68</v>
      </c>
      <c r="D166" s="8" t="s">
        <v>7</v>
      </c>
      <c r="E166" s="71" t="s">
        <v>2677</v>
      </c>
      <c r="F166" s="57" t="s">
        <v>825</v>
      </c>
      <c r="G166" s="49" t="s">
        <v>2</v>
      </c>
      <c r="H166" s="8"/>
      <c r="I166" s="9" t="str">
        <f>IFERROR(HYPERLINK("#Main!A"&amp;MATCH(A166,Main!A:A,0),"Open"),HYPERLINK("#Main!A1","Open"))</f>
        <v>Open</v>
      </c>
      <c r="J166" s="9" t="str">
        <f t="shared" ca="1" si="2"/>
        <v>Open</v>
      </c>
      <c r="K166" s="9"/>
    </row>
    <row r="167" spans="1:11" ht="30" customHeight="1" x14ac:dyDescent="0.25">
      <c r="A167" s="58" t="s">
        <v>306</v>
      </c>
      <c r="B167" s="42" t="s">
        <v>873</v>
      </c>
      <c r="C167" s="64" t="s">
        <v>68</v>
      </c>
      <c r="D167" s="11" t="s">
        <v>7</v>
      </c>
      <c r="E167" s="72" t="s">
        <v>2678</v>
      </c>
      <c r="F167" s="57" t="s">
        <v>825</v>
      </c>
      <c r="G167" s="49" t="s">
        <v>2</v>
      </c>
      <c r="H167" s="11"/>
      <c r="I167" t="str">
        <f>IFERROR(HYPERLINK("#Main!A"&amp;MATCH(A167,Main!A:A,0),"Open"),HYPERLINK("#Main!A1","Open"))</f>
        <v>Open</v>
      </c>
      <c r="J167" t="str">
        <f t="shared" ca="1" si="2"/>
        <v>Open</v>
      </c>
    </row>
    <row r="168" spans="1:11" ht="30" customHeight="1" x14ac:dyDescent="0.25">
      <c r="A168" s="59" t="s">
        <v>306</v>
      </c>
      <c r="B168" s="48" t="s">
        <v>884</v>
      </c>
      <c r="C168" s="64" t="s">
        <v>68</v>
      </c>
      <c r="D168" s="8" t="s">
        <v>7</v>
      </c>
      <c r="E168" s="71" t="s">
        <v>2679</v>
      </c>
      <c r="F168" s="60" t="s">
        <v>98</v>
      </c>
      <c r="G168" s="49" t="s">
        <v>2</v>
      </c>
      <c r="H168" s="8"/>
      <c r="I168" s="9" t="str">
        <f>IFERROR(HYPERLINK("#Main!A"&amp;MATCH(A168,Main!A:A,0),"Open"),HYPERLINK("#Main!A1","Open"))</f>
        <v>Open</v>
      </c>
      <c r="J168" s="9" t="str">
        <f t="shared" ca="1" si="2"/>
        <v>Open</v>
      </c>
      <c r="K168" s="9"/>
    </row>
    <row r="169" spans="1:11" ht="30" customHeight="1" x14ac:dyDescent="0.25">
      <c r="A169" s="58" t="s">
        <v>306</v>
      </c>
      <c r="B169" s="42" t="s">
        <v>874</v>
      </c>
      <c r="C169" s="64" t="s">
        <v>68</v>
      </c>
      <c r="D169" s="11" t="s">
        <v>9</v>
      </c>
      <c r="E169" s="72" t="s">
        <v>2680</v>
      </c>
      <c r="F169" s="60" t="s">
        <v>98</v>
      </c>
      <c r="G169" s="49" t="s">
        <v>2</v>
      </c>
      <c r="H169" s="11"/>
      <c r="I169" t="str">
        <f>IFERROR(HYPERLINK("#Main!A"&amp;MATCH(A169,Main!A:A,0),"Open"),HYPERLINK("#Main!A1","Open"))</f>
        <v>Open</v>
      </c>
      <c r="J169" t="str">
        <f t="shared" ca="1" si="2"/>
        <v>Open</v>
      </c>
    </row>
    <row r="170" spans="1:11" ht="30" customHeight="1" x14ac:dyDescent="0.25">
      <c r="A170" s="59" t="s">
        <v>306</v>
      </c>
      <c r="B170" s="48" t="s">
        <v>877</v>
      </c>
      <c r="C170" s="64" t="s">
        <v>68</v>
      </c>
      <c r="D170" s="8" t="s">
        <v>7</v>
      </c>
      <c r="E170" s="71" t="s">
        <v>2681</v>
      </c>
      <c r="F170" s="60" t="s">
        <v>98</v>
      </c>
      <c r="G170" s="49" t="s">
        <v>2</v>
      </c>
      <c r="H170" s="8"/>
      <c r="I170" s="9" t="str">
        <f>IFERROR(HYPERLINK("#Main!A"&amp;MATCH(A170,Main!A:A,0),"Open"),HYPERLINK("#Main!A1","Open"))</f>
        <v>Open</v>
      </c>
      <c r="J170" s="9" t="str">
        <f t="shared" ca="1" si="2"/>
        <v>Open</v>
      </c>
      <c r="K170" s="9"/>
    </row>
    <row r="171" spans="1:11" ht="30" customHeight="1" x14ac:dyDescent="0.25">
      <c r="A171" s="58" t="s">
        <v>306</v>
      </c>
      <c r="B171" s="42" t="s">
        <v>880</v>
      </c>
      <c r="C171" s="64" t="s">
        <v>68</v>
      </c>
      <c r="D171" s="11" t="s">
        <v>7</v>
      </c>
      <c r="E171" s="72" t="s">
        <v>2682</v>
      </c>
      <c r="F171" s="60" t="s">
        <v>98</v>
      </c>
      <c r="G171" s="49" t="s">
        <v>2</v>
      </c>
      <c r="H171" s="11"/>
      <c r="I171" t="str">
        <f>IFERROR(HYPERLINK("#Main!A"&amp;MATCH(A171,Main!A:A,0),"Open"),HYPERLINK("#Main!A1","Open"))</f>
        <v>Open</v>
      </c>
      <c r="J171" t="str">
        <f t="shared" ca="1" si="2"/>
        <v>Open</v>
      </c>
    </row>
    <row r="172" spans="1:11" ht="30" customHeight="1" x14ac:dyDescent="0.25">
      <c r="A172" s="59" t="s">
        <v>306</v>
      </c>
      <c r="B172" s="48" t="s">
        <v>883</v>
      </c>
      <c r="C172" s="64" t="s">
        <v>68</v>
      </c>
      <c r="D172" s="8" t="s">
        <v>7</v>
      </c>
      <c r="E172" s="71" t="s">
        <v>2683</v>
      </c>
      <c r="F172" s="60" t="s">
        <v>98</v>
      </c>
      <c r="G172" s="49" t="s">
        <v>2</v>
      </c>
      <c r="H172" s="8"/>
      <c r="I172" s="9" t="str">
        <f>IFERROR(HYPERLINK("#Main!A"&amp;MATCH(A172,Main!A:A,0),"Open"),HYPERLINK("#Main!A1","Open"))</f>
        <v>Open</v>
      </c>
      <c r="J172" s="9" t="str">
        <f t="shared" ca="1" si="2"/>
        <v>Open</v>
      </c>
      <c r="K172" s="9"/>
    </row>
    <row r="173" spans="1:11" ht="30" customHeight="1" x14ac:dyDescent="0.25">
      <c r="A173" s="58" t="s">
        <v>314</v>
      </c>
      <c r="B173" s="42" t="s">
        <v>852</v>
      </c>
      <c r="C173" s="61" t="s">
        <v>67</v>
      </c>
      <c r="D173" s="11" t="s">
        <v>7</v>
      </c>
      <c r="E173" s="72" t="s">
        <v>2684</v>
      </c>
      <c r="F173" s="60" t="s">
        <v>98</v>
      </c>
      <c r="G173" s="49" t="s">
        <v>2</v>
      </c>
      <c r="H173" s="11"/>
      <c r="I173" t="str">
        <f>IFERROR(HYPERLINK("#Main!A"&amp;MATCH(A173,Main!A:A,0),"Open"),HYPERLINK("#Main!A1","Open"))</f>
        <v>Open</v>
      </c>
      <c r="J173" t="str">
        <f t="shared" ca="1" si="2"/>
        <v>Open</v>
      </c>
    </row>
    <row r="174" spans="1:11" ht="30" customHeight="1" x14ac:dyDescent="0.25">
      <c r="A174" s="59" t="s">
        <v>314</v>
      </c>
      <c r="B174" s="48" t="s">
        <v>858</v>
      </c>
      <c r="C174" s="61" t="s">
        <v>67</v>
      </c>
      <c r="D174" s="8" t="s">
        <v>9</v>
      </c>
      <c r="E174" s="71" t="s">
        <v>2685</v>
      </c>
      <c r="F174" s="60" t="s">
        <v>98</v>
      </c>
      <c r="G174" s="49" t="s">
        <v>2</v>
      </c>
      <c r="H174" s="8"/>
      <c r="I174" s="9" t="str">
        <f>IFERROR(HYPERLINK("#Main!A"&amp;MATCH(A174,Main!A:A,0),"Open"),HYPERLINK("#Main!A1","Open"))</f>
        <v>Open</v>
      </c>
      <c r="J174" s="9" t="str">
        <f t="shared" ca="1" si="2"/>
        <v>Open</v>
      </c>
      <c r="K174" s="9"/>
    </row>
    <row r="175" spans="1:11" ht="30" customHeight="1" x14ac:dyDescent="0.25">
      <c r="A175" s="58" t="s">
        <v>314</v>
      </c>
      <c r="B175" s="42" t="s">
        <v>102</v>
      </c>
      <c r="C175" s="64" t="s">
        <v>68</v>
      </c>
      <c r="D175" s="11" t="s">
        <v>7</v>
      </c>
      <c r="E175" s="72" t="s">
        <v>2686</v>
      </c>
      <c r="F175" s="57" t="s">
        <v>825</v>
      </c>
      <c r="G175" s="49" t="s">
        <v>2</v>
      </c>
      <c r="H175" s="11"/>
      <c r="I175" t="str">
        <f>IFERROR(HYPERLINK("#Main!A"&amp;MATCH(A175,Main!A:A,0),"Open"),HYPERLINK("#Main!A1","Open"))</f>
        <v>Open</v>
      </c>
      <c r="J175" t="str">
        <f t="shared" ca="1" si="2"/>
        <v>Open</v>
      </c>
    </row>
    <row r="176" spans="1:11" ht="30" customHeight="1" x14ac:dyDescent="0.25">
      <c r="A176" s="59" t="s">
        <v>314</v>
      </c>
      <c r="B176" s="48" t="s">
        <v>872</v>
      </c>
      <c r="C176" s="64" t="s">
        <v>68</v>
      </c>
      <c r="D176" s="8" t="s">
        <v>7</v>
      </c>
      <c r="E176" s="71" t="s">
        <v>2687</v>
      </c>
      <c r="F176" s="57" t="s">
        <v>825</v>
      </c>
      <c r="G176" s="49" t="s">
        <v>2</v>
      </c>
      <c r="H176" s="8"/>
      <c r="I176" s="9" t="str">
        <f>IFERROR(HYPERLINK("#Main!A"&amp;MATCH(A176,Main!A:A,0),"Open"),HYPERLINK("#Main!A1","Open"))</f>
        <v>Open</v>
      </c>
      <c r="J176" s="9" t="str">
        <f t="shared" ca="1" si="2"/>
        <v>Open</v>
      </c>
      <c r="K176" s="9"/>
    </row>
    <row r="177" spans="1:11" ht="30" customHeight="1" x14ac:dyDescent="0.25">
      <c r="A177" s="58" t="s">
        <v>314</v>
      </c>
      <c r="B177" s="42" t="s">
        <v>873</v>
      </c>
      <c r="C177" s="64" t="s">
        <v>68</v>
      </c>
      <c r="D177" s="11" t="s">
        <v>7</v>
      </c>
      <c r="E177" s="72" t="s">
        <v>2688</v>
      </c>
      <c r="F177" s="57" t="s">
        <v>825</v>
      </c>
      <c r="G177" s="49" t="s">
        <v>2</v>
      </c>
      <c r="H177" s="11"/>
      <c r="I177" t="str">
        <f>IFERROR(HYPERLINK("#Main!A"&amp;MATCH(A177,Main!A:A,0),"Open"),HYPERLINK("#Main!A1","Open"))</f>
        <v>Open</v>
      </c>
      <c r="J177" t="str">
        <f t="shared" ca="1" si="2"/>
        <v>Open</v>
      </c>
    </row>
    <row r="178" spans="1:11" ht="30" customHeight="1" x14ac:dyDescent="0.25">
      <c r="A178" s="59" t="s">
        <v>314</v>
      </c>
      <c r="B178" s="48" t="s">
        <v>884</v>
      </c>
      <c r="C178" s="64" t="s">
        <v>68</v>
      </c>
      <c r="D178" s="8" t="s">
        <v>7</v>
      </c>
      <c r="E178" s="71" t="s">
        <v>2689</v>
      </c>
      <c r="F178" s="60" t="s">
        <v>98</v>
      </c>
      <c r="G178" s="49" t="s">
        <v>2</v>
      </c>
      <c r="H178" s="8"/>
      <c r="I178" s="9" t="str">
        <f>IFERROR(HYPERLINK("#Main!A"&amp;MATCH(A178,Main!A:A,0),"Open"),HYPERLINK("#Main!A1","Open"))</f>
        <v>Open</v>
      </c>
      <c r="J178" s="9" t="str">
        <f t="shared" ca="1" si="2"/>
        <v>Open</v>
      </c>
      <c r="K178" s="9"/>
    </row>
    <row r="179" spans="1:11" ht="30" customHeight="1" x14ac:dyDescent="0.25">
      <c r="A179" s="58" t="s">
        <v>314</v>
      </c>
      <c r="B179" s="42" t="s">
        <v>874</v>
      </c>
      <c r="C179" s="64" t="s">
        <v>68</v>
      </c>
      <c r="D179" s="11" t="s">
        <v>9</v>
      </c>
      <c r="E179" s="72" t="s">
        <v>2690</v>
      </c>
      <c r="F179" s="60" t="s">
        <v>98</v>
      </c>
      <c r="G179" s="49" t="s">
        <v>2</v>
      </c>
      <c r="H179" s="11"/>
      <c r="I179" t="str">
        <f>IFERROR(HYPERLINK("#Main!A"&amp;MATCH(A179,Main!A:A,0),"Open"),HYPERLINK("#Main!A1","Open"))</f>
        <v>Open</v>
      </c>
      <c r="J179" t="str">
        <f t="shared" ca="1" si="2"/>
        <v>Open</v>
      </c>
    </row>
    <row r="180" spans="1:11" ht="30" customHeight="1" x14ac:dyDescent="0.25">
      <c r="A180" s="59" t="s">
        <v>314</v>
      </c>
      <c r="B180" s="48" t="s">
        <v>877</v>
      </c>
      <c r="C180" s="64" t="s">
        <v>68</v>
      </c>
      <c r="D180" s="8" t="s">
        <v>7</v>
      </c>
      <c r="E180" s="71" t="s">
        <v>2691</v>
      </c>
      <c r="F180" s="60" t="s">
        <v>98</v>
      </c>
      <c r="G180" s="49" t="s">
        <v>2</v>
      </c>
      <c r="H180" s="8"/>
      <c r="I180" s="9" t="str">
        <f>IFERROR(HYPERLINK("#Main!A"&amp;MATCH(A180,Main!A:A,0),"Open"),HYPERLINK("#Main!A1","Open"))</f>
        <v>Open</v>
      </c>
      <c r="J180" s="9" t="str">
        <f t="shared" ca="1" si="2"/>
        <v>Open</v>
      </c>
      <c r="K180" s="9"/>
    </row>
    <row r="181" spans="1:11" ht="30" customHeight="1" x14ac:dyDescent="0.25">
      <c r="A181" s="58" t="s">
        <v>314</v>
      </c>
      <c r="B181" s="42" t="s">
        <v>880</v>
      </c>
      <c r="C181" s="64" t="s">
        <v>68</v>
      </c>
      <c r="D181" s="11" t="s">
        <v>7</v>
      </c>
      <c r="E181" s="72" t="s">
        <v>2692</v>
      </c>
      <c r="F181" s="60" t="s">
        <v>98</v>
      </c>
      <c r="G181" s="49" t="s">
        <v>2</v>
      </c>
      <c r="H181" s="11"/>
      <c r="I181" t="str">
        <f>IFERROR(HYPERLINK("#Main!A"&amp;MATCH(A181,Main!A:A,0),"Open"),HYPERLINK("#Main!A1","Open"))</f>
        <v>Open</v>
      </c>
      <c r="J181" t="str">
        <f t="shared" ca="1" si="2"/>
        <v>Open</v>
      </c>
    </row>
    <row r="182" spans="1:11" ht="30" customHeight="1" x14ac:dyDescent="0.25">
      <c r="A182" s="59" t="s">
        <v>314</v>
      </c>
      <c r="B182" s="48" t="s">
        <v>883</v>
      </c>
      <c r="C182" s="64" t="s">
        <v>68</v>
      </c>
      <c r="D182" s="8" t="s">
        <v>7</v>
      </c>
      <c r="E182" s="71" t="s">
        <v>2693</v>
      </c>
      <c r="F182" s="60" t="s">
        <v>98</v>
      </c>
      <c r="G182" s="49" t="s">
        <v>2</v>
      </c>
      <c r="H182" s="8"/>
      <c r="I182" s="9" t="str">
        <f>IFERROR(HYPERLINK("#Main!A"&amp;MATCH(A182,Main!A:A,0),"Open"),HYPERLINK("#Main!A1","Open"))</f>
        <v>Open</v>
      </c>
      <c r="J182" s="9" t="str">
        <f t="shared" ca="1" si="2"/>
        <v>Open</v>
      </c>
      <c r="K182" s="9"/>
    </row>
    <row r="183" spans="1:11" ht="30" customHeight="1" x14ac:dyDescent="0.25">
      <c r="A183" s="58" t="s">
        <v>366</v>
      </c>
      <c r="B183" s="42" t="s">
        <v>852</v>
      </c>
      <c r="C183" s="61" t="s">
        <v>67</v>
      </c>
      <c r="D183" s="11" t="s">
        <v>7</v>
      </c>
      <c r="E183" s="72" t="s">
        <v>2694</v>
      </c>
      <c r="F183" s="60" t="s">
        <v>98</v>
      </c>
      <c r="G183" s="49" t="s">
        <v>2</v>
      </c>
      <c r="H183" s="11"/>
      <c r="I183" t="str">
        <f>IFERROR(HYPERLINK("#Main!A"&amp;MATCH(A183,Main!A:A,0),"Open"),HYPERLINK("#Main!A1","Open"))</f>
        <v>Open</v>
      </c>
      <c r="J183" t="str">
        <f t="shared" ca="1" si="2"/>
        <v>Open</v>
      </c>
    </row>
    <row r="184" spans="1:11" ht="30" customHeight="1" x14ac:dyDescent="0.25">
      <c r="A184" s="59" t="s">
        <v>366</v>
      </c>
      <c r="B184" s="48" t="s">
        <v>858</v>
      </c>
      <c r="C184" s="61" t="s">
        <v>67</v>
      </c>
      <c r="D184" s="8" t="s">
        <v>9</v>
      </c>
      <c r="E184" s="71" t="s">
        <v>2695</v>
      </c>
      <c r="F184" s="60" t="s">
        <v>98</v>
      </c>
      <c r="G184" s="49" t="s">
        <v>2</v>
      </c>
      <c r="H184" s="8"/>
      <c r="I184" s="9" t="str">
        <f>IFERROR(HYPERLINK("#Main!A"&amp;MATCH(A184,Main!A:A,0),"Open"),HYPERLINK("#Main!A1","Open"))</f>
        <v>Open</v>
      </c>
      <c r="J184" s="9" t="str">
        <f t="shared" ca="1" si="2"/>
        <v>Open</v>
      </c>
      <c r="K184" s="9"/>
    </row>
    <row r="185" spans="1:11" ht="30" customHeight="1" x14ac:dyDescent="0.25">
      <c r="A185" s="58" t="s">
        <v>366</v>
      </c>
      <c r="B185" s="42" t="s">
        <v>102</v>
      </c>
      <c r="C185" s="64" t="s">
        <v>68</v>
      </c>
      <c r="D185" s="11" t="s">
        <v>7</v>
      </c>
      <c r="E185" s="72" t="s">
        <v>2696</v>
      </c>
      <c r="F185" s="57" t="s">
        <v>825</v>
      </c>
      <c r="G185" s="49" t="s">
        <v>2</v>
      </c>
      <c r="H185" s="11"/>
      <c r="I185" t="str">
        <f>IFERROR(HYPERLINK("#Main!A"&amp;MATCH(A185,Main!A:A,0),"Open"),HYPERLINK("#Main!A1","Open"))</f>
        <v>Open</v>
      </c>
      <c r="J185" t="str">
        <f t="shared" ca="1" si="2"/>
        <v>Open</v>
      </c>
    </row>
    <row r="186" spans="1:11" ht="30" customHeight="1" x14ac:dyDescent="0.25">
      <c r="A186" s="59" t="s">
        <v>366</v>
      </c>
      <c r="B186" s="48" t="s">
        <v>872</v>
      </c>
      <c r="C186" s="64" t="s">
        <v>68</v>
      </c>
      <c r="D186" s="8" t="s">
        <v>7</v>
      </c>
      <c r="E186" s="71" t="s">
        <v>2697</v>
      </c>
      <c r="F186" s="57" t="s">
        <v>825</v>
      </c>
      <c r="G186" s="49" t="s">
        <v>2</v>
      </c>
      <c r="H186" s="8"/>
      <c r="I186" s="9" t="str">
        <f>IFERROR(HYPERLINK("#Main!A"&amp;MATCH(A186,Main!A:A,0),"Open"),HYPERLINK("#Main!A1","Open"))</f>
        <v>Open</v>
      </c>
      <c r="J186" s="9" t="str">
        <f t="shared" ca="1" si="2"/>
        <v>Open</v>
      </c>
      <c r="K186" s="9"/>
    </row>
    <row r="187" spans="1:11" ht="30" customHeight="1" x14ac:dyDescent="0.25">
      <c r="A187" s="58" t="s">
        <v>366</v>
      </c>
      <c r="B187" s="42" t="s">
        <v>873</v>
      </c>
      <c r="C187" s="64" t="s">
        <v>68</v>
      </c>
      <c r="D187" s="11" t="s">
        <v>7</v>
      </c>
      <c r="E187" s="72" t="s">
        <v>2698</v>
      </c>
      <c r="F187" s="57" t="s">
        <v>825</v>
      </c>
      <c r="G187" s="49" t="s">
        <v>2</v>
      </c>
      <c r="H187" s="11"/>
      <c r="I187" t="str">
        <f>IFERROR(HYPERLINK("#Main!A"&amp;MATCH(A187,Main!A:A,0),"Open"),HYPERLINK("#Main!A1","Open"))</f>
        <v>Open</v>
      </c>
      <c r="J187" t="str">
        <f t="shared" ca="1" si="2"/>
        <v>Open</v>
      </c>
    </row>
    <row r="188" spans="1:11" ht="30" customHeight="1" x14ac:dyDescent="0.25">
      <c r="A188" s="59" t="s">
        <v>366</v>
      </c>
      <c r="B188" s="48" t="s">
        <v>884</v>
      </c>
      <c r="C188" s="64" t="s">
        <v>68</v>
      </c>
      <c r="D188" s="8" t="s">
        <v>7</v>
      </c>
      <c r="E188" s="71" t="s">
        <v>2699</v>
      </c>
      <c r="F188" s="60" t="s">
        <v>98</v>
      </c>
      <c r="G188" s="49" t="s">
        <v>2</v>
      </c>
      <c r="H188" s="8"/>
      <c r="I188" s="9" t="str">
        <f>IFERROR(HYPERLINK("#Main!A"&amp;MATCH(A188,Main!A:A,0),"Open"),HYPERLINK("#Main!A1","Open"))</f>
        <v>Open</v>
      </c>
      <c r="J188" s="9" t="str">
        <f t="shared" ca="1" si="2"/>
        <v>Open</v>
      </c>
      <c r="K188" s="9"/>
    </row>
    <row r="189" spans="1:11" ht="30" customHeight="1" x14ac:dyDescent="0.25">
      <c r="A189" s="58" t="s">
        <v>366</v>
      </c>
      <c r="B189" s="42" t="s">
        <v>874</v>
      </c>
      <c r="C189" s="64" t="s">
        <v>68</v>
      </c>
      <c r="D189" s="11" t="s">
        <v>9</v>
      </c>
      <c r="E189" s="72" t="s">
        <v>2700</v>
      </c>
      <c r="F189" s="60" t="s">
        <v>98</v>
      </c>
      <c r="G189" s="49" t="s">
        <v>2</v>
      </c>
      <c r="H189" s="11"/>
      <c r="I189" t="str">
        <f>IFERROR(HYPERLINK("#Main!A"&amp;MATCH(A189,Main!A:A,0),"Open"),HYPERLINK("#Main!A1","Open"))</f>
        <v>Open</v>
      </c>
      <c r="J189" t="str">
        <f t="shared" ca="1" si="2"/>
        <v>Open</v>
      </c>
    </row>
    <row r="190" spans="1:11" ht="30" customHeight="1" x14ac:dyDescent="0.25">
      <c r="A190" s="59" t="s">
        <v>366</v>
      </c>
      <c r="B190" s="48" t="s">
        <v>877</v>
      </c>
      <c r="C190" s="64" t="s">
        <v>68</v>
      </c>
      <c r="D190" s="8" t="s">
        <v>7</v>
      </c>
      <c r="E190" s="71" t="s">
        <v>2701</v>
      </c>
      <c r="F190" s="60" t="s">
        <v>98</v>
      </c>
      <c r="G190" s="49" t="s">
        <v>2</v>
      </c>
      <c r="H190" s="8"/>
      <c r="I190" s="9" t="str">
        <f>IFERROR(HYPERLINK("#Main!A"&amp;MATCH(A190,Main!A:A,0),"Open"),HYPERLINK("#Main!A1","Open"))</f>
        <v>Open</v>
      </c>
      <c r="J190" s="9" t="str">
        <f t="shared" ca="1" si="2"/>
        <v>Open</v>
      </c>
      <c r="K190" s="9"/>
    </row>
    <row r="191" spans="1:11" ht="30" customHeight="1" x14ac:dyDescent="0.25">
      <c r="A191" s="58" t="s">
        <v>366</v>
      </c>
      <c r="B191" s="42" t="s">
        <v>880</v>
      </c>
      <c r="C191" s="64" t="s">
        <v>68</v>
      </c>
      <c r="D191" s="11" t="s">
        <v>7</v>
      </c>
      <c r="E191" s="72" t="s">
        <v>2702</v>
      </c>
      <c r="F191" s="60" t="s">
        <v>98</v>
      </c>
      <c r="G191" s="49" t="s">
        <v>2</v>
      </c>
      <c r="H191" s="11"/>
      <c r="I191" t="str">
        <f>IFERROR(HYPERLINK("#Main!A"&amp;MATCH(A191,Main!A:A,0),"Open"),HYPERLINK("#Main!A1","Open"))</f>
        <v>Open</v>
      </c>
      <c r="J191" t="str">
        <f t="shared" ca="1" si="2"/>
        <v>Open</v>
      </c>
    </row>
    <row r="192" spans="1:11" ht="30" customHeight="1" x14ac:dyDescent="0.25">
      <c r="A192" s="59" t="s">
        <v>366</v>
      </c>
      <c r="B192" s="48" t="s">
        <v>883</v>
      </c>
      <c r="C192" s="64" t="s">
        <v>68</v>
      </c>
      <c r="D192" s="8" t="s">
        <v>7</v>
      </c>
      <c r="E192" s="71" t="s">
        <v>2703</v>
      </c>
      <c r="F192" s="60" t="s">
        <v>98</v>
      </c>
      <c r="G192" s="49" t="s">
        <v>2</v>
      </c>
      <c r="H192" s="8"/>
      <c r="I192" s="9" t="str">
        <f>IFERROR(HYPERLINK("#Main!A"&amp;MATCH(A192,Main!A:A,0),"Open"),HYPERLINK("#Main!A1","Open"))</f>
        <v>Open</v>
      </c>
      <c r="J192" s="9" t="str">
        <f t="shared" ca="1" si="2"/>
        <v>Open</v>
      </c>
      <c r="K192" s="9"/>
    </row>
    <row r="193" spans="1:11" ht="30" customHeight="1" x14ac:dyDescent="0.25">
      <c r="A193" s="58" t="s">
        <v>417</v>
      </c>
      <c r="B193" s="42" t="s">
        <v>858</v>
      </c>
      <c r="C193" s="61" t="s">
        <v>67</v>
      </c>
      <c r="D193" s="11" t="s">
        <v>9</v>
      </c>
      <c r="E193" s="72" t="s">
        <v>2704</v>
      </c>
      <c r="F193" s="60" t="s">
        <v>98</v>
      </c>
      <c r="G193" s="49" t="s">
        <v>2</v>
      </c>
      <c r="H193" s="11"/>
      <c r="I193" t="str">
        <f>IFERROR(HYPERLINK("#Main!A"&amp;MATCH(A193,Main!A:A,0),"Open"),HYPERLINK("#Main!A1","Open"))</f>
        <v>Open</v>
      </c>
      <c r="J193" t="str">
        <f t="shared" ca="1" si="2"/>
        <v>Open</v>
      </c>
    </row>
    <row r="194" spans="1:11" ht="30" customHeight="1" x14ac:dyDescent="0.25">
      <c r="A194" s="59" t="s">
        <v>417</v>
      </c>
      <c r="B194" s="48" t="s">
        <v>102</v>
      </c>
      <c r="C194" s="64" t="s">
        <v>68</v>
      </c>
      <c r="D194" s="8" t="s">
        <v>7</v>
      </c>
      <c r="E194" s="71" t="s">
        <v>2705</v>
      </c>
      <c r="F194" s="57" t="s">
        <v>825</v>
      </c>
      <c r="G194" s="49" t="s">
        <v>2</v>
      </c>
      <c r="H194" s="8"/>
      <c r="I194" s="9" t="str">
        <f>IFERROR(HYPERLINK("#Main!A"&amp;MATCH(A194,Main!A:A,0),"Open"),HYPERLINK("#Main!A1","Open"))</f>
        <v>Open</v>
      </c>
      <c r="J194" s="9" t="str">
        <f t="shared" ref="J194:J257" ca="1" si="3">IFERROR(HYPERLINK("#"&amp;D194&amp;"!A"&amp;MATCH(A194,INDIRECT("'"&amp;D194&amp;"'!A:A"),0),"Open"),HYPERLINK("#"&amp;D194&amp;"!A1","Open"))</f>
        <v>Open</v>
      </c>
      <c r="K194" s="9"/>
    </row>
    <row r="195" spans="1:11" ht="30" customHeight="1" x14ac:dyDescent="0.25">
      <c r="A195" s="58" t="s">
        <v>417</v>
      </c>
      <c r="B195" s="42" t="s">
        <v>872</v>
      </c>
      <c r="C195" s="64" t="s">
        <v>68</v>
      </c>
      <c r="D195" s="11" t="s">
        <v>7</v>
      </c>
      <c r="E195" s="72" t="s">
        <v>2706</v>
      </c>
      <c r="F195" s="57" t="s">
        <v>825</v>
      </c>
      <c r="G195" s="49" t="s">
        <v>2</v>
      </c>
      <c r="H195" s="11"/>
      <c r="I195" t="str">
        <f>IFERROR(HYPERLINK("#Main!A"&amp;MATCH(A195,Main!A:A,0),"Open"),HYPERLINK("#Main!A1","Open"))</f>
        <v>Open</v>
      </c>
      <c r="J195" t="str">
        <f t="shared" ca="1" si="3"/>
        <v>Open</v>
      </c>
    </row>
    <row r="196" spans="1:11" ht="30" customHeight="1" x14ac:dyDescent="0.25">
      <c r="A196" s="59" t="s">
        <v>417</v>
      </c>
      <c r="B196" s="48" t="s">
        <v>873</v>
      </c>
      <c r="C196" s="64" t="s">
        <v>68</v>
      </c>
      <c r="D196" s="8" t="s">
        <v>7</v>
      </c>
      <c r="E196" s="71" t="s">
        <v>2707</v>
      </c>
      <c r="F196" s="57" t="s">
        <v>825</v>
      </c>
      <c r="G196" s="49" t="s">
        <v>2</v>
      </c>
      <c r="H196" s="8"/>
      <c r="I196" s="9" t="str">
        <f>IFERROR(HYPERLINK("#Main!A"&amp;MATCH(A196,Main!A:A,0),"Open"),HYPERLINK("#Main!A1","Open"))</f>
        <v>Open</v>
      </c>
      <c r="J196" s="9" t="str">
        <f t="shared" ca="1" si="3"/>
        <v>Open</v>
      </c>
      <c r="K196" s="9"/>
    </row>
    <row r="197" spans="1:11" ht="30" customHeight="1" x14ac:dyDescent="0.25">
      <c r="A197" s="58" t="s">
        <v>417</v>
      </c>
      <c r="B197" s="42" t="s">
        <v>874</v>
      </c>
      <c r="C197" s="64" t="s">
        <v>68</v>
      </c>
      <c r="D197" s="11" t="s">
        <v>9</v>
      </c>
      <c r="E197" s="72" t="s">
        <v>2708</v>
      </c>
      <c r="F197" s="60" t="s">
        <v>98</v>
      </c>
      <c r="G197" s="49" t="s">
        <v>2</v>
      </c>
      <c r="H197" s="11"/>
      <c r="I197" t="str">
        <f>IFERROR(HYPERLINK("#Main!A"&amp;MATCH(A197,Main!A:A,0),"Open"),HYPERLINK("#Main!A1","Open"))</f>
        <v>Open</v>
      </c>
      <c r="J197" t="str">
        <f t="shared" ca="1" si="3"/>
        <v>Open</v>
      </c>
    </row>
    <row r="198" spans="1:11" ht="30" customHeight="1" x14ac:dyDescent="0.25">
      <c r="A198" s="59" t="s">
        <v>417</v>
      </c>
      <c r="B198" s="48" t="s">
        <v>877</v>
      </c>
      <c r="C198" s="64" t="s">
        <v>68</v>
      </c>
      <c r="D198" s="8" t="s">
        <v>7</v>
      </c>
      <c r="E198" s="71" t="s">
        <v>2709</v>
      </c>
      <c r="F198" s="60" t="s">
        <v>98</v>
      </c>
      <c r="G198" s="49" t="s">
        <v>2</v>
      </c>
      <c r="H198" s="8"/>
      <c r="I198" s="9" t="str">
        <f>IFERROR(HYPERLINK("#Main!A"&amp;MATCH(A198,Main!A:A,0),"Open"),HYPERLINK("#Main!A1","Open"))</f>
        <v>Open</v>
      </c>
      <c r="J198" s="9" t="str">
        <f t="shared" ca="1" si="3"/>
        <v>Open</v>
      </c>
      <c r="K198" s="9"/>
    </row>
    <row r="199" spans="1:11" ht="30" customHeight="1" x14ac:dyDescent="0.25">
      <c r="A199" s="58" t="s">
        <v>417</v>
      </c>
      <c r="B199" s="42" t="s">
        <v>880</v>
      </c>
      <c r="C199" s="64" t="s">
        <v>68</v>
      </c>
      <c r="D199" s="11" t="s">
        <v>7</v>
      </c>
      <c r="E199" s="72" t="s">
        <v>2710</v>
      </c>
      <c r="F199" s="60" t="s">
        <v>98</v>
      </c>
      <c r="G199" s="49" t="s">
        <v>2</v>
      </c>
      <c r="H199" s="11"/>
      <c r="I199" t="str">
        <f>IFERROR(HYPERLINK("#Main!A"&amp;MATCH(A199,Main!A:A,0),"Open"),HYPERLINK("#Main!A1","Open"))</f>
        <v>Open</v>
      </c>
      <c r="J199" t="str">
        <f t="shared" ca="1" si="3"/>
        <v>Open</v>
      </c>
    </row>
    <row r="200" spans="1:11" ht="30" customHeight="1" x14ac:dyDescent="0.25">
      <c r="A200" s="59" t="s">
        <v>417</v>
      </c>
      <c r="B200" s="48" t="s">
        <v>883</v>
      </c>
      <c r="C200" s="64" t="s">
        <v>68</v>
      </c>
      <c r="D200" s="8" t="s">
        <v>7</v>
      </c>
      <c r="E200" s="71" t="s">
        <v>2711</v>
      </c>
      <c r="F200" s="60" t="s">
        <v>98</v>
      </c>
      <c r="G200" s="49" t="s">
        <v>2</v>
      </c>
      <c r="H200" s="8"/>
      <c r="I200" s="9" t="str">
        <f>IFERROR(HYPERLINK("#Main!A"&amp;MATCH(A200,Main!A:A,0),"Open"),HYPERLINK("#Main!A1","Open"))</f>
        <v>Open</v>
      </c>
      <c r="J200" s="9" t="str">
        <f t="shared" ca="1" si="3"/>
        <v>Open</v>
      </c>
      <c r="K200" s="9"/>
    </row>
    <row r="201" spans="1:11" ht="30" customHeight="1" x14ac:dyDescent="0.25">
      <c r="A201" s="58" t="s">
        <v>290</v>
      </c>
      <c r="B201" s="42" t="s">
        <v>852</v>
      </c>
      <c r="C201" s="61" t="s">
        <v>67</v>
      </c>
      <c r="D201" s="11" t="s">
        <v>7</v>
      </c>
      <c r="E201" s="72" t="s">
        <v>2712</v>
      </c>
      <c r="F201" s="60" t="s">
        <v>98</v>
      </c>
      <c r="G201" s="49" t="s">
        <v>2</v>
      </c>
      <c r="H201" s="11"/>
      <c r="I201" t="str">
        <f>IFERROR(HYPERLINK("#Main!A"&amp;MATCH(A201,Main!A:A,0),"Open"),HYPERLINK("#Main!A1","Open"))</f>
        <v>Open</v>
      </c>
      <c r="J201" t="str">
        <f t="shared" ca="1" si="3"/>
        <v>Open</v>
      </c>
    </row>
    <row r="202" spans="1:11" ht="30" customHeight="1" x14ac:dyDescent="0.25">
      <c r="A202" s="59" t="s">
        <v>290</v>
      </c>
      <c r="B202" s="48" t="s">
        <v>858</v>
      </c>
      <c r="C202" s="61" t="s">
        <v>67</v>
      </c>
      <c r="D202" s="8" t="s">
        <v>9</v>
      </c>
      <c r="E202" s="71" t="s">
        <v>2713</v>
      </c>
      <c r="F202" s="60" t="s">
        <v>98</v>
      </c>
      <c r="G202" s="49" t="s">
        <v>2</v>
      </c>
      <c r="H202" s="8"/>
      <c r="I202" s="9" t="str">
        <f>IFERROR(HYPERLINK("#Main!A"&amp;MATCH(A202,Main!A:A,0),"Open"),HYPERLINK("#Main!A1","Open"))</f>
        <v>Open</v>
      </c>
      <c r="J202" s="9" t="str">
        <f t="shared" ca="1" si="3"/>
        <v>Open</v>
      </c>
      <c r="K202" s="9"/>
    </row>
    <row r="203" spans="1:11" ht="30" customHeight="1" x14ac:dyDescent="0.25">
      <c r="A203" s="58" t="s">
        <v>290</v>
      </c>
      <c r="B203" s="42" t="s">
        <v>869</v>
      </c>
      <c r="C203" s="64" t="s">
        <v>68</v>
      </c>
      <c r="D203" s="11" t="s">
        <v>7</v>
      </c>
      <c r="E203" s="72" t="s">
        <v>2714</v>
      </c>
      <c r="F203" s="60" t="s">
        <v>98</v>
      </c>
      <c r="G203" s="49" t="s">
        <v>2</v>
      </c>
      <c r="H203" s="11"/>
      <c r="I203" t="str">
        <f>IFERROR(HYPERLINK("#Main!A"&amp;MATCH(A203,Main!A:A,0),"Open"),HYPERLINK("#Main!A1","Open"))</f>
        <v>Open</v>
      </c>
      <c r="J203" t="str">
        <f t="shared" ca="1" si="3"/>
        <v>Open</v>
      </c>
    </row>
    <row r="204" spans="1:11" ht="30" customHeight="1" x14ac:dyDescent="0.25">
      <c r="A204" s="59" t="s">
        <v>290</v>
      </c>
      <c r="B204" s="48" t="s">
        <v>102</v>
      </c>
      <c r="C204" s="64" t="s">
        <v>68</v>
      </c>
      <c r="D204" s="8" t="s">
        <v>7</v>
      </c>
      <c r="E204" s="71" t="s">
        <v>2715</v>
      </c>
      <c r="F204" s="57" t="s">
        <v>825</v>
      </c>
      <c r="G204" s="49" t="s">
        <v>2</v>
      </c>
      <c r="H204" s="8"/>
      <c r="I204" s="9" t="str">
        <f>IFERROR(HYPERLINK("#Main!A"&amp;MATCH(A204,Main!A:A,0),"Open"),HYPERLINK("#Main!A1","Open"))</f>
        <v>Open</v>
      </c>
      <c r="J204" s="9" t="str">
        <f t="shared" ca="1" si="3"/>
        <v>Open</v>
      </c>
      <c r="K204" s="9"/>
    </row>
    <row r="205" spans="1:11" ht="30" customHeight="1" x14ac:dyDescent="0.25">
      <c r="A205" s="58" t="s">
        <v>290</v>
      </c>
      <c r="B205" s="42" t="s">
        <v>872</v>
      </c>
      <c r="C205" s="64" t="s">
        <v>68</v>
      </c>
      <c r="D205" s="11" t="s">
        <v>7</v>
      </c>
      <c r="E205" s="72" t="s">
        <v>2716</v>
      </c>
      <c r="F205" s="57" t="s">
        <v>825</v>
      </c>
      <c r="G205" s="49" t="s">
        <v>2</v>
      </c>
      <c r="H205" s="11"/>
      <c r="I205" t="str">
        <f>IFERROR(HYPERLINK("#Main!A"&amp;MATCH(A205,Main!A:A,0),"Open"),HYPERLINK("#Main!A1","Open"))</f>
        <v>Open</v>
      </c>
      <c r="J205" t="str">
        <f t="shared" ca="1" si="3"/>
        <v>Open</v>
      </c>
    </row>
    <row r="206" spans="1:11" ht="30" customHeight="1" x14ac:dyDescent="0.25">
      <c r="A206" s="59" t="s">
        <v>290</v>
      </c>
      <c r="B206" s="48" t="s">
        <v>873</v>
      </c>
      <c r="C206" s="64" t="s">
        <v>68</v>
      </c>
      <c r="D206" s="8" t="s">
        <v>7</v>
      </c>
      <c r="E206" s="71" t="s">
        <v>2717</v>
      </c>
      <c r="F206" s="57" t="s">
        <v>825</v>
      </c>
      <c r="G206" s="49" t="s">
        <v>2</v>
      </c>
      <c r="H206" s="8"/>
      <c r="I206" s="9" t="str">
        <f>IFERROR(HYPERLINK("#Main!A"&amp;MATCH(A206,Main!A:A,0),"Open"),HYPERLINK("#Main!A1","Open"))</f>
        <v>Open</v>
      </c>
      <c r="J206" s="9" t="str">
        <f t="shared" ca="1" si="3"/>
        <v>Open</v>
      </c>
      <c r="K206" s="9"/>
    </row>
    <row r="207" spans="1:11" ht="30" customHeight="1" x14ac:dyDescent="0.25">
      <c r="A207" s="58" t="s">
        <v>290</v>
      </c>
      <c r="B207" s="42" t="s">
        <v>874</v>
      </c>
      <c r="C207" s="64" t="s">
        <v>68</v>
      </c>
      <c r="D207" s="11" t="s">
        <v>9</v>
      </c>
      <c r="E207" s="72" t="s">
        <v>2718</v>
      </c>
      <c r="F207" s="60" t="s">
        <v>98</v>
      </c>
      <c r="G207" s="49" t="s">
        <v>2</v>
      </c>
      <c r="H207" s="11"/>
      <c r="I207" t="str">
        <f>IFERROR(HYPERLINK("#Main!A"&amp;MATCH(A207,Main!A:A,0),"Open"),HYPERLINK("#Main!A1","Open"))</f>
        <v>Open</v>
      </c>
      <c r="J207" t="str">
        <f t="shared" ca="1" si="3"/>
        <v>Open</v>
      </c>
    </row>
    <row r="208" spans="1:11" ht="30" customHeight="1" x14ac:dyDescent="0.25">
      <c r="A208" s="59" t="s">
        <v>290</v>
      </c>
      <c r="B208" s="48" t="s">
        <v>877</v>
      </c>
      <c r="C208" s="64" t="s">
        <v>68</v>
      </c>
      <c r="D208" s="8" t="s">
        <v>7</v>
      </c>
      <c r="E208" s="71" t="s">
        <v>2719</v>
      </c>
      <c r="F208" s="60" t="s">
        <v>98</v>
      </c>
      <c r="G208" s="49" t="s">
        <v>2</v>
      </c>
      <c r="H208" s="8"/>
      <c r="I208" s="9" t="str">
        <f>IFERROR(HYPERLINK("#Main!A"&amp;MATCH(A208,Main!A:A,0),"Open"),HYPERLINK("#Main!A1","Open"))</f>
        <v>Open</v>
      </c>
      <c r="J208" s="9" t="str">
        <f t="shared" ca="1" si="3"/>
        <v>Open</v>
      </c>
      <c r="K208" s="9"/>
    </row>
    <row r="209" spans="1:11" ht="30" customHeight="1" x14ac:dyDescent="0.25">
      <c r="A209" s="58" t="s">
        <v>290</v>
      </c>
      <c r="B209" s="42" t="s">
        <v>880</v>
      </c>
      <c r="C209" s="64" t="s">
        <v>68</v>
      </c>
      <c r="D209" s="11" t="s">
        <v>7</v>
      </c>
      <c r="E209" s="72" t="s">
        <v>2720</v>
      </c>
      <c r="F209" s="60" t="s">
        <v>98</v>
      </c>
      <c r="G209" s="49" t="s">
        <v>2</v>
      </c>
      <c r="H209" s="11"/>
      <c r="I209" t="str">
        <f>IFERROR(HYPERLINK("#Main!A"&amp;MATCH(A209,Main!A:A,0),"Open"),HYPERLINK("#Main!A1","Open"))</f>
        <v>Open</v>
      </c>
      <c r="J209" t="str">
        <f t="shared" ca="1" si="3"/>
        <v>Open</v>
      </c>
    </row>
    <row r="210" spans="1:11" ht="30" customHeight="1" x14ac:dyDescent="0.25">
      <c r="A210" s="59" t="s">
        <v>290</v>
      </c>
      <c r="B210" s="48" t="s">
        <v>883</v>
      </c>
      <c r="C210" s="64" t="s">
        <v>68</v>
      </c>
      <c r="D210" s="8" t="s">
        <v>7</v>
      </c>
      <c r="E210" s="71" t="s">
        <v>2721</v>
      </c>
      <c r="F210" s="60" t="s">
        <v>98</v>
      </c>
      <c r="G210" s="49" t="s">
        <v>2</v>
      </c>
      <c r="H210" s="8"/>
      <c r="I210" s="9" t="str">
        <f>IFERROR(HYPERLINK("#Main!A"&amp;MATCH(A210,Main!A:A,0),"Open"),HYPERLINK("#Main!A1","Open"))</f>
        <v>Open</v>
      </c>
      <c r="J210" s="9" t="str">
        <f t="shared" ca="1" si="3"/>
        <v>Open</v>
      </c>
      <c r="K210" s="9"/>
    </row>
    <row r="211" spans="1:11" ht="30" customHeight="1" x14ac:dyDescent="0.25">
      <c r="A211" s="58" t="s">
        <v>188</v>
      </c>
      <c r="B211" s="42" t="s">
        <v>857</v>
      </c>
      <c r="C211" s="61" t="s">
        <v>67</v>
      </c>
      <c r="D211" s="11" t="s">
        <v>7</v>
      </c>
      <c r="E211" s="72" t="s">
        <v>2722</v>
      </c>
      <c r="F211" s="60" t="s">
        <v>98</v>
      </c>
      <c r="G211" s="49" t="s">
        <v>2</v>
      </c>
      <c r="H211" s="11"/>
      <c r="I211" t="str">
        <f>IFERROR(HYPERLINK("#Main!A"&amp;MATCH(A211,Main!A:A,0),"Open"),HYPERLINK("#Main!A1","Open"))</f>
        <v>Open</v>
      </c>
      <c r="J211" t="str">
        <f t="shared" ca="1" si="3"/>
        <v>Open</v>
      </c>
    </row>
    <row r="212" spans="1:11" ht="30" customHeight="1" x14ac:dyDescent="0.25">
      <c r="A212" s="59" t="s">
        <v>188</v>
      </c>
      <c r="B212" s="48" t="s">
        <v>858</v>
      </c>
      <c r="C212" s="61" t="s">
        <v>67</v>
      </c>
      <c r="D212" s="8" t="s">
        <v>9</v>
      </c>
      <c r="E212" s="71" t="s">
        <v>2723</v>
      </c>
      <c r="F212" s="60" t="s">
        <v>98</v>
      </c>
      <c r="G212" s="49" t="s">
        <v>2</v>
      </c>
      <c r="H212" s="8"/>
      <c r="I212" s="9" t="str">
        <f>IFERROR(HYPERLINK("#Main!A"&amp;MATCH(A212,Main!A:A,0),"Open"),HYPERLINK("#Main!A1","Open"))</f>
        <v>Open</v>
      </c>
      <c r="J212" s="9" t="str">
        <f t="shared" ca="1" si="3"/>
        <v>Open</v>
      </c>
      <c r="K212" s="9"/>
    </row>
    <row r="213" spans="1:11" ht="30" customHeight="1" x14ac:dyDescent="0.25">
      <c r="A213" s="58" t="s">
        <v>188</v>
      </c>
      <c r="B213" s="42" t="s">
        <v>102</v>
      </c>
      <c r="C213" s="64" t="s">
        <v>68</v>
      </c>
      <c r="D213" s="11" t="s">
        <v>7</v>
      </c>
      <c r="E213" s="72" t="s">
        <v>2724</v>
      </c>
      <c r="F213" s="57" t="s">
        <v>825</v>
      </c>
      <c r="G213" s="49" t="s">
        <v>2</v>
      </c>
      <c r="H213" s="11"/>
      <c r="I213" t="str">
        <f>IFERROR(HYPERLINK("#Main!A"&amp;MATCH(A213,Main!A:A,0),"Open"),HYPERLINK("#Main!A1","Open"))</f>
        <v>Open</v>
      </c>
      <c r="J213" t="str">
        <f t="shared" ca="1" si="3"/>
        <v>Open</v>
      </c>
    </row>
    <row r="214" spans="1:11" ht="30" customHeight="1" x14ac:dyDescent="0.25">
      <c r="A214" s="59" t="s">
        <v>188</v>
      </c>
      <c r="B214" s="48" t="s">
        <v>872</v>
      </c>
      <c r="C214" s="64" t="s">
        <v>68</v>
      </c>
      <c r="D214" s="8" t="s">
        <v>7</v>
      </c>
      <c r="E214" s="71" t="s">
        <v>2725</v>
      </c>
      <c r="F214" s="57" t="s">
        <v>825</v>
      </c>
      <c r="G214" s="49" t="s">
        <v>2</v>
      </c>
      <c r="H214" s="8"/>
      <c r="I214" s="9" t="str">
        <f>IFERROR(HYPERLINK("#Main!A"&amp;MATCH(A214,Main!A:A,0),"Open"),HYPERLINK("#Main!A1","Open"))</f>
        <v>Open</v>
      </c>
      <c r="J214" s="9" t="str">
        <f t="shared" ca="1" si="3"/>
        <v>Open</v>
      </c>
      <c r="K214" s="9"/>
    </row>
    <row r="215" spans="1:11" ht="30" customHeight="1" x14ac:dyDescent="0.25">
      <c r="A215" s="58" t="s">
        <v>188</v>
      </c>
      <c r="B215" s="42" t="s">
        <v>873</v>
      </c>
      <c r="C215" s="64" t="s">
        <v>68</v>
      </c>
      <c r="D215" s="11" t="s">
        <v>7</v>
      </c>
      <c r="E215" s="72" t="s">
        <v>2726</v>
      </c>
      <c r="F215" s="57" t="s">
        <v>825</v>
      </c>
      <c r="G215" s="49" t="s">
        <v>2</v>
      </c>
      <c r="H215" s="11"/>
      <c r="I215" t="str">
        <f>IFERROR(HYPERLINK("#Main!A"&amp;MATCH(A215,Main!A:A,0),"Open"),HYPERLINK("#Main!A1","Open"))</f>
        <v>Open</v>
      </c>
      <c r="J215" t="str">
        <f t="shared" ca="1" si="3"/>
        <v>Open</v>
      </c>
    </row>
    <row r="216" spans="1:11" ht="30" customHeight="1" x14ac:dyDescent="0.25">
      <c r="A216" s="59" t="s">
        <v>188</v>
      </c>
      <c r="B216" s="48" t="s">
        <v>884</v>
      </c>
      <c r="C216" s="64" t="s">
        <v>68</v>
      </c>
      <c r="D216" s="8" t="s">
        <v>7</v>
      </c>
      <c r="E216" s="71" t="s">
        <v>2727</v>
      </c>
      <c r="F216" s="60" t="s">
        <v>98</v>
      </c>
      <c r="G216" s="49" t="s">
        <v>2</v>
      </c>
      <c r="H216" s="8"/>
      <c r="I216" s="9" t="str">
        <f>IFERROR(HYPERLINK("#Main!A"&amp;MATCH(A216,Main!A:A,0),"Open"),HYPERLINK("#Main!A1","Open"))</f>
        <v>Open</v>
      </c>
      <c r="J216" s="9" t="str">
        <f t="shared" ca="1" si="3"/>
        <v>Open</v>
      </c>
      <c r="K216" s="9"/>
    </row>
    <row r="217" spans="1:11" ht="30" customHeight="1" x14ac:dyDescent="0.25">
      <c r="A217" s="58" t="s">
        <v>188</v>
      </c>
      <c r="B217" s="42" t="s">
        <v>874</v>
      </c>
      <c r="C217" s="64" t="s">
        <v>68</v>
      </c>
      <c r="D217" s="11" t="s">
        <v>9</v>
      </c>
      <c r="E217" s="72" t="s">
        <v>2728</v>
      </c>
      <c r="F217" s="60" t="s">
        <v>98</v>
      </c>
      <c r="G217" s="49" t="s">
        <v>2</v>
      </c>
      <c r="H217" s="11"/>
      <c r="I217" t="str">
        <f>IFERROR(HYPERLINK("#Main!A"&amp;MATCH(A217,Main!A:A,0),"Open"),HYPERLINK("#Main!A1","Open"))</f>
        <v>Open</v>
      </c>
      <c r="J217" t="str">
        <f t="shared" ca="1" si="3"/>
        <v>Open</v>
      </c>
    </row>
    <row r="218" spans="1:11" ht="30" customHeight="1" x14ac:dyDescent="0.25">
      <c r="A218" s="59" t="s">
        <v>188</v>
      </c>
      <c r="B218" s="48" t="s">
        <v>877</v>
      </c>
      <c r="C218" s="64" t="s">
        <v>68</v>
      </c>
      <c r="D218" s="8" t="s">
        <v>7</v>
      </c>
      <c r="E218" s="71" t="s">
        <v>2729</v>
      </c>
      <c r="F218" s="60" t="s">
        <v>98</v>
      </c>
      <c r="G218" s="49" t="s">
        <v>2</v>
      </c>
      <c r="H218" s="8"/>
      <c r="I218" s="9" t="str">
        <f>IFERROR(HYPERLINK("#Main!A"&amp;MATCH(A218,Main!A:A,0),"Open"),HYPERLINK("#Main!A1","Open"))</f>
        <v>Open</v>
      </c>
      <c r="J218" s="9" t="str">
        <f t="shared" ca="1" si="3"/>
        <v>Open</v>
      </c>
      <c r="K218" s="9"/>
    </row>
    <row r="219" spans="1:11" ht="30" customHeight="1" x14ac:dyDescent="0.25">
      <c r="A219" s="58" t="s">
        <v>188</v>
      </c>
      <c r="B219" s="42" t="s">
        <v>880</v>
      </c>
      <c r="C219" s="64" t="s">
        <v>68</v>
      </c>
      <c r="D219" s="11" t="s">
        <v>7</v>
      </c>
      <c r="E219" s="72" t="s">
        <v>2730</v>
      </c>
      <c r="F219" s="60" t="s">
        <v>98</v>
      </c>
      <c r="G219" s="49" t="s">
        <v>2</v>
      </c>
      <c r="H219" s="11"/>
      <c r="I219" t="str">
        <f>IFERROR(HYPERLINK("#Main!A"&amp;MATCH(A219,Main!A:A,0),"Open"),HYPERLINK("#Main!A1","Open"))</f>
        <v>Open</v>
      </c>
      <c r="J219" t="str">
        <f t="shared" ca="1" si="3"/>
        <v>Open</v>
      </c>
    </row>
    <row r="220" spans="1:11" ht="30" customHeight="1" x14ac:dyDescent="0.25">
      <c r="A220" s="59" t="s">
        <v>188</v>
      </c>
      <c r="B220" s="48" t="s">
        <v>883</v>
      </c>
      <c r="C220" s="64" t="s">
        <v>68</v>
      </c>
      <c r="D220" s="8" t="s">
        <v>7</v>
      </c>
      <c r="E220" s="71" t="s">
        <v>2731</v>
      </c>
      <c r="F220" s="60" t="s">
        <v>98</v>
      </c>
      <c r="G220" s="49" t="s">
        <v>2</v>
      </c>
      <c r="H220" s="8"/>
      <c r="I220" s="9" t="str">
        <f>IFERROR(HYPERLINK("#Main!A"&amp;MATCH(A220,Main!A:A,0),"Open"),HYPERLINK("#Main!A1","Open"))</f>
        <v>Open</v>
      </c>
      <c r="J220" s="9" t="str">
        <f t="shared" ca="1" si="3"/>
        <v>Open</v>
      </c>
      <c r="K220" s="9"/>
    </row>
    <row r="221" spans="1:11" ht="30" customHeight="1" x14ac:dyDescent="0.25">
      <c r="A221" s="58" t="s">
        <v>242</v>
      </c>
      <c r="B221" s="42" t="s">
        <v>858</v>
      </c>
      <c r="C221" s="61" t="s">
        <v>67</v>
      </c>
      <c r="D221" s="11" t="s">
        <v>9</v>
      </c>
      <c r="E221" s="72" t="s">
        <v>2732</v>
      </c>
      <c r="F221" s="60" t="s">
        <v>98</v>
      </c>
      <c r="G221" s="49" t="s">
        <v>2</v>
      </c>
      <c r="H221" s="11"/>
      <c r="I221" t="str">
        <f>IFERROR(HYPERLINK("#Main!A"&amp;MATCH(A221,Main!A:A,0),"Open"),HYPERLINK("#Main!A1","Open"))</f>
        <v>Open</v>
      </c>
      <c r="J221" t="str">
        <f t="shared" ca="1" si="3"/>
        <v>Open</v>
      </c>
    </row>
    <row r="222" spans="1:11" ht="30" customHeight="1" x14ac:dyDescent="0.25">
      <c r="A222" s="59" t="s">
        <v>242</v>
      </c>
      <c r="B222" s="48" t="s">
        <v>102</v>
      </c>
      <c r="C222" s="64" t="s">
        <v>68</v>
      </c>
      <c r="D222" s="8" t="s">
        <v>7</v>
      </c>
      <c r="E222" s="71" t="s">
        <v>2733</v>
      </c>
      <c r="F222" s="57" t="s">
        <v>825</v>
      </c>
      <c r="G222" s="49" t="s">
        <v>2</v>
      </c>
      <c r="H222" s="8"/>
      <c r="I222" s="9" t="str">
        <f>IFERROR(HYPERLINK("#Main!A"&amp;MATCH(A222,Main!A:A,0),"Open"),HYPERLINK("#Main!A1","Open"))</f>
        <v>Open</v>
      </c>
      <c r="J222" s="9" t="str">
        <f t="shared" ca="1" si="3"/>
        <v>Open</v>
      </c>
      <c r="K222" s="9"/>
    </row>
    <row r="223" spans="1:11" ht="30" customHeight="1" x14ac:dyDescent="0.25">
      <c r="A223" s="58" t="s">
        <v>242</v>
      </c>
      <c r="B223" s="42" t="s">
        <v>872</v>
      </c>
      <c r="C223" s="64" t="s">
        <v>68</v>
      </c>
      <c r="D223" s="11" t="s">
        <v>7</v>
      </c>
      <c r="E223" s="72" t="s">
        <v>2734</v>
      </c>
      <c r="F223" s="57" t="s">
        <v>825</v>
      </c>
      <c r="G223" s="49" t="s">
        <v>2</v>
      </c>
      <c r="H223" s="11"/>
      <c r="I223" t="str">
        <f>IFERROR(HYPERLINK("#Main!A"&amp;MATCH(A223,Main!A:A,0),"Open"),HYPERLINK("#Main!A1","Open"))</f>
        <v>Open</v>
      </c>
      <c r="J223" t="str">
        <f t="shared" ca="1" si="3"/>
        <v>Open</v>
      </c>
    </row>
    <row r="224" spans="1:11" ht="30" customHeight="1" x14ac:dyDescent="0.25">
      <c r="A224" s="59" t="s">
        <v>242</v>
      </c>
      <c r="B224" s="48" t="s">
        <v>873</v>
      </c>
      <c r="C224" s="64" t="s">
        <v>68</v>
      </c>
      <c r="D224" s="8" t="s">
        <v>7</v>
      </c>
      <c r="E224" s="71" t="s">
        <v>2735</v>
      </c>
      <c r="F224" s="57" t="s">
        <v>825</v>
      </c>
      <c r="G224" s="49" t="s">
        <v>2</v>
      </c>
      <c r="H224" s="8"/>
      <c r="I224" s="9" t="str">
        <f>IFERROR(HYPERLINK("#Main!A"&amp;MATCH(A224,Main!A:A,0),"Open"),HYPERLINK("#Main!A1","Open"))</f>
        <v>Open</v>
      </c>
      <c r="J224" s="9" t="str">
        <f t="shared" ca="1" si="3"/>
        <v>Open</v>
      </c>
      <c r="K224" s="9"/>
    </row>
    <row r="225" spans="1:11" ht="30" customHeight="1" x14ac:dyDescent="0.25">
      <c r="A225" s="58" t="s">
        <v>242</v>
      </c>
      <c r="B225" s="42" t="s">
        <v>884</v>
      </c>
      <c r="C225" s="64" t="s">
        <v>68</v>
      </c>
      <c r="D225" s="11" t="s">
        <v>7</v>
      </c>
      <c r="E225" s="72" t="s">
        <v>2736</v>
      </c>
      <c r="F225" s="60" t="s">
        <v>98</v>
      </c>
      <c r="G225" s="49" t="s">
        <v>2</v>
      </c>
      <c r="H225" s="11"/>
      <c r="I225" t="str">
        <f>IFERROR(HYPERLINK("#Main!A"&amp;MATCH(A225,Main!A:A,0),"Open"),HYPERLINK("#Main!A1","Open"))</f>
        <v>Open</v>
      </c>
      <c r="J225" t="str">
        <f t="shared" ca="1" si="3"/>
        <v>Open</v>
      </c>
    </row>
    <row r="226" spans="1:11" ht="30" customHeight="1" x14ac:dyDescent="0.25">
      <c r="A226" s="59" t="s">
        <v>242</v>
      </c>
      <c r="B226" s="48" t="s">
        <v>874</v>
      </c>
      <c r="C226" s="64" t="s">
        <v>68</v>
      </c>
      <c r="D226" s="8" t="s">
        <v>9</v>
      </c>
      <c r="E226" s="71" t="s">
        <v>2737</v>
      </c>
      <c r="F226" s="60" t="s">
        <v>98</v>
      </c>
      <c r="G226" s="49" t="s">
        <v>2</v>
      </c>
      <c r="H226" s="8"/>
      <c r="I226" s="9" t="str">
        <f>IFERROR(HYPERLINK("#Main!A"&amp;MATCH(A226,Main!A:A,0),"Open"),HYPERLINK("#Main!A1","Open"))</f>
        <v>Open</v>
      </c>
      <c r="J226" s="9" t="str">
        <f t="shared" ca="1" si="3"/>
        <v>Open</v>
      </c>
      <c r="K226" s="9"/>
    </row>
    <row r="227" spans="1:11" ht="30" customHeight="1" x14ac:dyDescent="0.25">
      <c r="A227" s="58" t="s">
        <v>242</v>
      </c>
      <c r="B227" s="42" t="s">
        <v>877</v>
      </c>
      <c r="C227" s="64" t="s">
        <v>68</v>
      </c>
      <c r="D227" s="11" t="s">
        <v>7</v>
      </c>
      <c r="E227" s="72" t="s">
        <v>2738</v>
      </c>
      <c r="F227" s="60" t="s">
        <v>98</v>
      </c>
      <c r="G227" s="49" t="s">
        <v>2</v>
      </c>
      <c r="H227" s="11"/>
      <c r="I227" t="str">
        <f>IFERROR(HYPERLINK("#Main!A"&amp;MATCH(A227,Main!A:A,0),"Open"),HYPERLINK("#Main!A1","Open"))</f>
        <v>Open</v>
      </c>
      <c r="J227" t="str">
        <f t="shared" ca="1" si="3"/>
        <v>Open</v>
      </c>
    </row>
    <row r="228" spans="1:11" ht="30" customHeight="1" x14ac:dyDescent="0.25">
      <c r="A228" s="59" t="s">
        <v>242</v>
      </c>
      <c r="B228" s="48" t="s">
        <v>880</v>
      </c>
      <c r="C228" s="64" t="s">
        <v>68</v>
      </c>
      <c r="D228" s="8" t="s">
        <v>7</v>
      </c>
      <c r="E228" s="71" t="s">
        <v>2739</v>
      </c>
      <c r="F228" s="60" t="s">
        <v>98</v>
      </c>
      <c r="G228" s="49" t="s">
        <v>2</v>
      </c>
      <c r="H228" s="8"/>
      <c r="I228" s="9" t="str">
        <f>IFERROR(HYPERLINK("#Main!A"&amp;MATCH(A228,Main!A:A,0),"Open"),HYPERLINK("#Main!A1","Open"))</f>
        <v>Open</v>
      </c>
      <c r="J228" s="9" t="str">
        <f t="shared" ca="1" si="3"/>
        <v>Open</v>
      </c>
      <c r="K228" s="9"/>
    </row>
    <row r="229" spans="1:11" ht="30" customHeight="1" x14ac:dyDescent="0.25">
      <c r="A229" s="58" t="s">
        <v>242</v>
      </c>
      <c r="B229" s="42" t="s">
        <v>883</v>
      </c>
      <c r="C229" s="64" t="s">
        <v>68</v>
      </c>
      <c r="D229" s="11" t="s">
        <v>7</v>
      </c>
      <c r="E229" s="72" t="s">
        <v>2740</v>
      </c>
      <c r="F229" s="60" t="s">
        <v>98</v>
      </c>
      <c r="G229" s="49" t="s">
        <v>2</v>
      </c>
      <c r="H229" s="11"/>
      <c r="I229" t="str">
        <f>IFERROR(HYPERLINK("#Main!A"&amp;MATCH(A229,Main!A:A,0),"Open"),HYPERLINK("#Main!A1","Open"))</f>
        <v>Open</v>
      </c>
      <c r="J229" t="str">
        <f t="shared" ca="1" si="3"/>
        <v>Open</v>
      </c>
    </row>
    <row r="230" spans="1:11" ht="30" customHeight="1" x14ac:dyDescent="0.25">
      <c r="A230" s="59" t="s">
        <v>574</v>
      </c>
      <c r="B230" s="48" t="s">
        <v>858</v>
      </c>
      <c r="C230" s="61" t="s">
        <v>67</v>
      </c>
      <c r="D230" s="8" t="s">
        <v>9</v>
      </c>
      <c r="E230" s="71" t="s">
        <v>2741</v>
      </c>
      <c r="F230" s="60" t="s">
        <v>98</v>
      </c>
      <c r="G230" s="49" t="s">
        <v>2</v>
      </c>
      <c r="H230" s="8"/>
      <c r="I230" s="9" t="str">
        <f>IFERROR(HYPERLINK("#Main!A"&amp;MATCH(A230,Main!A:A,0),"Open"),HYPERLINK("#Main!A1","Open"))</f>
        <v>Open</v>
      </c>
      <c r="J230" s="9" t="str">
        <f t="shared" ca="1" si="3"/>
        <v>Open</v>
      </c>
      <c r="K230" s="9"/>
    </row>
    <row r="231" spans="1:11" ht="30" customHeight="1" x14ac:dyDescent="0.25">
      <c r="A231" s="58" t="s">
        <v>574</v>
      </c>
      <c r="B231" s="42" t="s">
        <v>102</v>
      </c>
      <c r="C231" s="64" t="s">
        <v>68</v>
      </c>
      <c r="D231" s="11" t="s">
        <v>7</v>
      </c>
      <c r="E231" s="72" t="s">
        <v>2742</v>
      </c>
      <c r="F231" s="57" t="s">
        <v>825</v>
      </c>
      <c r="G231" s="49" t="s">
        <v>2</v>
      </c>
      <c r="H231" s="11"/>
      <c r="I231" t="str">
        <f>IFERROR(HYPERLINK("#Main!A"&amp;MATCH(A231,Main!A:A,0),"Open"),HYPERLINK("#Main!A1","Open"))</f>
        <v>Open</v>
      </c>
      <c r="J231" t="str">
        <f t="shared" ca="1" si="3"/>
        <v>Open</v>
      </c>
    </row>
    <row r="232" spans="1:11" ht="30" customHeight="1" x14ac:dyDescent="0.25">
      <c r="A232" s="59" t="s">
        <v>574</v>
      </c>
      <c r="B232" s="48" t="s">
        <v>872</v>
      </c>
      <c r="C232" s="64" t="s">
        <v>68</v>
      </c>
      <c r="D232" s="8" t="s">
        <v>7</v>
      </c>
      <c r="E232" s="71" t="s">
        <v>2743</v>
      </c>
      <c r="F232" s="57" t="s">
        <v>825</v>
      </c>
      <c r="G232" s="49" t="s">
        <v>2</v>
      </c>
      <c r="H232" s="8"/>
      <c r="I232" s="9" t="str">
        <f>IFERROR(HYPERLINK("#Main!A"&amp;MATCH(A232,Main!A:A,0),"Open"),HYPERLINK("#Main!A1","Open"))</f>
        <v>Open</v>
      </c>
      <c r="J232" s="9" t="str">
        <f t="shared" ca="1" si="3"/>
        <v>Open</v>
      </c>
      <c r="K232" s="9"/>
    </row>
    <row r="233" spans="1:11" ht="30" customHeight="1" x14ac:dyDescent="0.25">
      <c r="A233" s="58" t="s">
        <v>574</v>
      </c>
      <c r="B233" s="42" t="s">
        <v>873</v>
      </c>
      <c r="C233" s="64" t="s">
        <v>68</v>
      </c>
      <c r="D233" s="11" t="s">
        <v>7</v>
      </c>
      <c r="E233" s="72" t="s">
        <v>2744</v>
      </c>
      <c r="F233" s="57" t="s">
        <v>825</v>
      </c>
      <c r="G233" s="49" t="s">
        <v>2</v>
      </c>
      <c r="H233" s="11"/>
      <c r="I233" t="str">
        <f>IFERROR(HYPERLINK("#Main!A"&amp;MATCH(A233,Main!A:A,0),"Open"),HYPERLINK("#Main!A1","Open"))</f>
        <v>Open</v>
      </c>
      <c r="J233" t="str">
        <f t="shared" ca="1" si="3"/>
        <v>Open</v>
      </c>
    </row>
    <row r="234" spans="1:11" ht="30" customHeight="1" x14ac:dyDescent="0.25">
      <c r="A234" s="59" t="s">
        <v>574</v>
      </c>
      <c r="B234" s="48" t="s">
        <v>874</v>
      </c>
      <c r="C234" s="64" t="s">
        <v>68</v>
      </c>
      <c r="D234" s="8" t="s">
        <v>9</v>
      </c>
      <c r="E234" s="71" t="s">
        <v>2745</v>
      </c>
      <c r="F234" s="60" t="s">
        <v>98</v>
      </c>
      <c r="G234" s="49" t="s">
        <v>2</v>
      </c>
      <c r="H234" s="8"/>
      <c r="I234" s="9" t="str">
        <f>IFERROR(HYPERLINK("#Main!A"&amp;MATCH(A234,Main!A:A,0),"Open"),HYPERLINK("#Main!A1","Open"))</f>
        <v>Open</v>
      </c>
      <c r="J234" s="9" t="str">
        <f t="shared" ca="1" si="3"/>
        <v>Open</v>
      </c>
      <c r="K234" s="9"/>
    </row>
    <row r="235" spans="1:11" ht="30" customHeight="1" x14ac:dyDescent="0.25">
      <c r="A235" s="58" t="s">
        <v>574</v>
      </c>
      <c r="B235" s="42" t="s">
        <v>877</v>
      </c>
      <c r="C235" s="64" t="s">
        <v>68</v>
      </c>
      <c r="D235" s="11" t="s">
        <v>7</v>
      </c>
      <c r="E235" s="72" t="s">
        <v>2746</v>
      </c>
      <c r="F235" s="60" t="s">
        <v>98</v>
      </c>
      <c r="G235" s="49" t="s">
        <v>2</v>
      </c>
      <c r="H235" s="11"/>
      <c r="I235" t="str">
        <f>IFERROR(HYPERLINK("#Main!A"&amp;MATCH(A235,Main!A:A,0),"Open"),HYPERLINK("#Main!A1","Open"))</f>
        <v>Open</v>
      </c>
      <c r="J235" t="str">
        <f t="shared" ca="1" si="3"/>
        <v>Open</v>
      </c>
    </row>
    <row r="236" spans="1:11" ht="30" customHeight="1" x14ac:dyDescent="0.25">
      <c r="A236" s="59" t="s">
        <v>574</v>
      </c>
      <c r="B236" s="48" t="s">
        <v>880</v>
      </c>
      <c r="C236" s="64" t="s">
        <v>68</v>
      </c>
      <c r="D236" s="8" t="s">
        <v>7</v>
      </c>
      <c r="E236" s="71" t="s">
        <v>2747</v>
      </c>
      <c r="F236" s="60" t="s">
        <v>98</v>
      </c>
      <c r="G236" s="49" t="s">
        <v>2</v>
      </c>
      <c r="H236" s="8"/>
      <c r="I236" s="9" t="str">
        <f>IFERROR(HYPERLINK("#Main!A"&amp;MATCH(A236,Main!A:A,0),"Open"),HYPERLINK("#Main!A1","Open"))</f>
        <v>Open</v>
      </c>
      <c r="J236" s="9" t="str">
        <f t="shared" ca="1" si="3"/>
        <v>Open</v>
      </c>
      <c r="K236" s="9"/>
    </row>
    <row r="237" spans="1:11" ht="30" customHeight="1" x14ac:dyDescent="0.25">
      <c r="A237" s="58" t="s">
        <v>574</v>
      </c>
      <c r="B237" s="42" t="s">
        <v>883</v>
      </c>
      <c r="C237" s="64" t="s">
        <v>68</v>
      </c>
      <c r="D237" s="11" t="s">
        <v>7</v>
      </c>
      <c r="E237" s="72" t="s">
        <v>2748</v>
      </c>
      <c r="F237" s="60" t="s">
        <v>98</v>
      </c>
      <c r="G237" s="49" t="s">
        <v>2</v>
      </c>
      <c r="H237" s="11"/>
      <c r="I237" t="str">
        <f>IFERROR(HYPERLINK("#Main!A"&amp;MATCH(A237,Main!A:A,0),"Open"),HYPERLINK("#Main!A1","Open"))</f>
        <v>Open</v>
      </c>
      <c r="J237" t="str">
        <f t="shared" ca="1" si="3"/>
        <v>Open</v>
      </c>
    </row>
    <row r="238" spans="1:11" ht="30" customHeight="1" x14ac:dyDescent="0.25">
      <c r="A238" s="59" t="s">
        <v>627</v>
      </c>
      <c r="B238" s="48" t="s">
        <v>858</v>
      </c>
      <c r="C238" s="61" t="s">
        <v>67</v>
      </c>
      <c r="D238" s="8" t="s">
        <v>9</v>
      </c>
      <c r="E238" s="71" t="s">
        <v>2749</v>
      </c>
      <c r="F238" s="60" t="s">
        <v>98</v>
      </c>
      <c r="G238" s="49" t="s">
        <v>2</v>
      </c>
      <c r="H238" s="8"/>
      <c r="I238" s="9" t="str">
        <f>IFERROR(HYPERLINK("#Main!A"&amp;MATCH(A238,Main!A:A,0),"Open"),HYPERLINK("#Main!A1","Open"))</f>
        <v>Open</v>
      </c>
      <c r="J238" s="9" t="str">
        <f t="shared" ca="1" si="3"/>
        <v>Open</v>
      </c>
      <c r="K238" s="9"/>
    </row>
    <row r="239" spans="1:11" ht="30" customHeight="1" x14ac:dyDescent="0.25">
      <c r="A239" s="58" t="s">
        <v>627</v>
      </c>
      <c r="B239" s="42" t="s">
        <v>102</v>
      </c>
      <c r="C239" s="64" t="s">
        <v>68</v>
      </c>
      <c r="D239" s="11" t="s">
        <v>7</v>
      </c>
      <c r="E239" s="72" t="s">
        <v>2750</v>
      </c>
      <c r="F239" s="57" t="s">
        <v>825</v>
      </c>
      <c r="G239" s="49" t="s">
        <v>2</v>
      </c>
      <c r="H239" s="11"/>
      <c r="I239" t="str">
        <f>IFERROR(HYPERLINK("#Main!A"&amp;MATCH(A239,Main!A:A,0),"Open"),HYPERLINK("#Main!A1","Open"))</f>
        <v>Open</v>
      </c>
      <c r="J239" t="str">
        <f t="shared" ca="1" si="3"/>
        <v>Open</v>
      </c>
    </row>
    <row r="240" spans="1:11" ht="30" customHeight="1" x14ac:dyDescent="0.25">
      <c r="A240" s="59" t="s">
        <v>627</v>
      </c>
      <c r="B240" s="48" t="s">
        <v>872</v>
      </c>
      <c r="C240" s="64" t="s">
        <v>68</v>
      </c>
      <c r="D240" s="8" t="s">
        <v>7</v>
      </c>
      <c r="E240" s="71" t="s">
        <v>2751</v>
      </c>
      <c r="F240" s="57" t="s">
        <v>825</v>
      </c>
      <c r="G240" s="49" t="s">
        <v>2</v>
      </c>
      <c r="H240" s="8"/>
      <c r="I240" s="9" t="str">
        <f>IFERROR(HYPERLINK("#Main!A"&amp;MATCH(A240,Main!A:A,0),"Open"),HYPERLINK("#Main!A1","Open"))</f>
        <v>Open</v>
      </c>
      <c r="J240" s="9" t="str">
        <f t="shared" ca="1" si="3"/>
        <v>Open</v>
      </c>
      <c r="K240" s="9"/>
    </row>
    <row r="241" spans="1:11" ht="30" customHeight="1" x14ac:dyDescent="0.25">
      <c r="A241" s="58" t="s">
        <v>627</v>
      </c>
      <c r="B241" s="42" t="s">
        <v>873</v>
      </c>
      <c r="C241" s="64" t="s">
        <v>68</v>
      </c>
      <c r="D241" s="11" t="s">
        <v>7</v>
      </c>
      <c r="E241" s="72" t="s">
        <v>2752</v>
      </c>
      <c r="F241" s="57" t="s">
        <v>825</v>
      </c>
      <c r="G241" s="49" t="s">
        <v>2</v>
      </c>
      <c r="H241" s="11"/>
      <c r="I241" t="str">
        <f>IFERROR(HYPERLINK("#Main!A"&amp;MATCH(A241,Main!A:A,0),"Open"),HYPERLINK("#Main!A1","Open"))</f>
        <v>Open</v>
      </c>
      <c r="J241" t="str">
        <f t="shared" ca="1" si="3"/>
        <v>Open</v>
      </c>
    </row>
    <row r="242" spans="1:11" ht="30" customHeight="1" x14ac:dyDescent="0.25">
      <c r="A242" s="59" t="s">
        <v>627</v>
      </c>
      <c r="B242" s="48" t="s">
        <v>874</v>
      </c>
      <c r="C242" s="64" t="s">
        <v>68</v>
      </c>
      <c r="D242" s="8" t="s">
        <v>9</v>
      </c>
      <c r="E242" s="71" t="s">
        <v>2753</v>
      </c>
      <c r="F242" s="60" t="s">
        <v>98</v>
      </c>
      <c r="G242" s="49" t="s">
        <v>2</v>
      </c>
      <c r="H242" s="8"/>
      <c r="I242" s="9" t="str">
        <f>IFERROR(HYPERLINK("#Main!A"&amp;MATCH(A242,Main!A:A,0),"Open"),HYPERLINK("#Main!A1","Open"))</f>
        <v>Open</v>
      </c>
      <c r="J242" s="9" t="str">
        <f t="shared" ca="1" si="3"/>
        <v>Open</v>
      </c>
      <c r="K242" s="9"/>
    </row>
    <row r="243" spans="1:11" ht="30" customHeight="1" x14ac:dyDescent="0.25">
      <c r="A243" s="58" t="s">
        <v>627</v>
      </c>
      <c r="B243" s="42" t="s">
        <v>877</v>
      </c>
      <c r="C243" s="64" t="s">
        <v>68</v>
      </c>
      <c r="D243" s="11" t="s">
        <v>7</v>
      </c>
      <c r="E243" s="72" t="s">
        <v>2754</v>
      </c>
      <c r="F243" s="60" t="s">
        <v>98</v>
      </c>
      <c r="G243" s="49" t="s">
        <v>2</v>
      </c>
      <c r="H243" s="11"/>
      <c r="I243" t="str">
        <f>IFERROR(HYPERLINK("#Main!A"&amp;MATCH(A243,Main!A:A,0),"Open"),HYPERLINK("#Main!A1","Open"))</f>
        <v>Open</v>
      </c>
      <c r="J243" t="str">
        <f t="shared" ca="1" si="3"/>
        <v>Open</v>
      </c>
    </row>
    <row r="244" spans="1:11" ht="30" customHeight="1" x14ac:dyDescent="0.25">
      <c r="A244" s="59" t="s">
        <v>627</v>
      </c>
      <c r="B244" s="48" t="s">
        <v>880</v>
      </c>
      <c r="C244" s="64" t="s">
        <v>68</v>
      </c>
      <c r="D244" s="8" t="s">
        <v>7</v>
      </c>
      <c r="E244" s="71" t="s">
        <v>2755</v>
      </c>
      <c r="F244" s="60" t="s">
        <v>98</v>
      </c>
      <c r="G244" s="49" t="s">
        <v>2</v>
      </c>
      <c r="H244" s="8"/>
      <c r="I244" s="9" t="str">
        <f>IFERROR(HYPERLINK("#Main!A"&amp;MATCH(A244,Main!A:A,0),"Open"),HYPERLINK("#Main!A1","Open"))</f>
        <v>Open</v>
      </c>
      <c r="J244" s="9" t="str">
        <f t="shared" ca="1" si="3"/>
        <v>Open</v>
      </c>
      <c r="K244" s="9"/>
    </row>
    <row r="245" spans="1:11" ht="30" customHeight="1" x14ac:dyDescent="0.25">
      <c r="A245" s="58" t="s">
        <v>627</v>
      </c>
      <c r="B245" s="42" t="s">
        <v>883</v>
      </c>
      <c r="C245" s="64" t="s">
        <v>68</v>
      </c>
      <c r="D245" s="11" t="s">
        <v>7</v>
      </c>
      <c r="E245" s="72" t="s">
        <v>2756</v>
      </c>
      <c r="F245" s="60" t="s">
        <v>98</v>
      </c>
      <c r="G245" s="49" t="s">
        <v>2</v>
      </c>
      <c r="H245" s="11"/>
      <c r="I245" t="str">
        <f>IFERROR(HYPERLINK("#Main!A"&amp;MATCH(A245,Main!A:A,0),"Open"),HYPERLINK("#Main!A1","Open"))</f>
        <v>Open</v>
      </c>
      <c r="J245" t="str">
        <f t="shared" ca="1" si="3"/>
        <v>Open</v>
      </c>
    </row>
    <row r="246" spans="1:11" ht="30" customHeight="1" x14ac:dyDescent="0.25">
      <c r="A246" s="59" t="s">
        <v>274</v>
      </c>
      <c r="B246" s="48" t="s">
        <v>852</v>
      </c>
      <c r="C246" s="61" t="s">
        <v>67</v>
      </c>
      <c r="D246" s="8" t="s">
        <v>7</v>
      </c>
      <c r="E246" s="71" t="s">
        <v>2757</v>
      </c>
      <c r="F246" s="60" t="s">
        <v>98</v>
      </c>
      <c r="G246" s="49" t="s">
        <v>2</v>
      </c>
      <c r="H246" s="8"/>
      <c r="I246" s="9" t="str">
        <f>IFERROR(HYPERLINK("#Main!A"&amp;MATCH(A246,Main!A:A,0),"Open"),HYPERLINK("#Main!A1","Open"))</f>
        <v>Open</v>
      </c>
      <c r="J246" s="9" t="str">
        <f t="shared" ca="1" si="3"/>
        <v>Open</v>
      </c>
      <c r="K246" s="9"/>
    </row>
    <row r="247" spans="1:11" ht="30" customHeight="1" x14ac:dyDescent="0.25">
      <c r="A247" s="58" t="s">
        <v>274</v>
      </c>
      <c r="B247" s="42" t="s">
        <v>858</v>
      </c>
      <c r="C247" s="61" t="s">
        <v>67</v>
      </c>
      <c r="D247" s="11" t="s">
        <v>9</v>
      </c>
      <c r="E247" s="72" t="s">
        <v>2758</v>
      </c>
      <c r="F247" s="60" t="s">
        <v>98</v>
      </c>
      <c r="G247" s="49" t="s">
        <v>2</v>
      </c>
      <c r="H247" s="11"/>
      <c r="I247" t="str">
        <f>IFERROR(HYPERLINK("#Main!A"&amp;MATCH(A247,Main!A:A,0),"Open"),HYPERLINK("#Main!A1","Open"))</f>
        <v>Open</v>
      </c>
      <c r="J247" t="str">
        <f t="shared" ca="1" si="3"/>
        <v>Open</v>
      </c>
    </row>
    <row r="248" spans="1:11" ht="30" customHeight="1" x14ac:dyDescent="0.25">
      <c r="A248" s="59" t="s">
        <v>274</v>
      </c>
      <c r="B248" s="48" t="s">
        <v>102</v>
      </c>
      <c r="C248" s="64" t="s">
        <v>68</v>
      </c>
      <c r="D248" s="8" t="s">
        <v>7</v>
      </c>
      <c r="E248" s="71" t="s">
        <v>2759</v>
      </c>
      <c r="F248" s="57" t="s">
        <v>825</v>
      </c>
      <c r="G248" s="49" t="s">
        <v>2</v>
      </c>
      <c r="H248" s="8"/>
      <c r="I248" s="9" t="str">
        <f>IFERROR(HYPERLINK("#Main!A"&amp;MATCH(A248,Main!A:A,0),"Open"),HYPERLINK("#Main!A1","Open"))</f>
        <v>Open</v>
      </c>
      <c r="J248" s="9" t="str">
        <f t="shared" ca="1" si="3"/>
        <v>Open</v>
      </c>
      <c r="K248" s="9"/>
    </row>
    <row r="249" spans="1:11" ht="30" customHeight="1" x14ac:dyDescent="0.25">
      <c r="A249" s="58" t="s">
        <v>274</v>
      </c>
      <c r="B249" s="42" t="s">
        <v>872</v>
      </c>
      <c r="C249" s="64" t="s">
        <v>68</v>
      </c>
      <c r="D249" s="11" t="s">
        <v>7</v>
      </c>
      <c r="E249" s="72" t="s">
        <v>2760</v>
      </c>
      <c r="F249" s="57" t="s">
        <v>825</v>
      </c>
      <c r="G249" s="49" t="s">
        <v>2</v>
      </c>
      <c r="H249" s="11"/>
      <c r="I249" t="str">
        <f>IFERROR(HYPERLINK("#Main!A"&amp;MATCH(A249,Main!A:A,0),"Open"),HYPERLINK("#Main!A1","Open"))</f>
        <v>Open</v>
      </c>
      <c r="J249" t="str">
        <f t="shared" ca="1" si="3"/>
        <v>Open</v>
      </c>
    </row>
    <row r="250" spans="1:11" ht="30" customHeight="1" x14ac:dyDescent="0.25">
      <c r="A250" s="59" t="s">
        <v>274</v>
      </c>
      <c r="B250" s="48" t="s">
        <v>873</v>
      </c>
      <c r="C250" s="64" t="s">
        <v>68</v>
      </c>
      <c r="D250" s="8" t="s">
        <v>7</v>
      </c>
      <c r="E250" s="71" t="s">
        <v>2761</v>
      </c>
      <c r="F250" s="57" t="s">
        <v>825</v>
      </c>
      <c r="G250" s="49" t="s">
        <v>2</v>
      </c>
      <c r="H250" s="8"/>
      <c r="I250" s="9" t="str">
        <f>IFERROR(HYPERLINK("#Main!A"&amp;MATCH(A250,Main!A:A,0),"Open"),HYPERLINK("#Main!A1","Open"))</f>
        <v>Open</v>
      </c>
      <c r="J250" s="9" t="str">
        <f t="shared" ca="1" si="3"/>
        <v>Open</v>
      </c>
      <c r="K250" s="9"/>
    </row>
    <row r="251" spans="1:11" ht="30" customHeight="1" x14ac:dyDescent="0.25">
      <c r="A251" s="58" t="s">
        <v>274</v>
      </c>
      <c r="B251" s="42" t="s">
        <v>874</v>
      </c>
      <c r="C251" s="64" t="s">
        <v>68</v>
      </c>
      <c r="D251" s="11" t="s">
        <v>9</v>
      </c>
      <c r="E251" s="72" t="s">
        <v>2762</v>
      </c>
      <c r="F251" s="60" t="s">
        <v>98</v>
      </c>
      <c r="G251" s="49" t="s">
        <v>2</v>
      </c>
      <c r="H251" s="11"/>
      <c r="I251" t="str">
        <f>IFERROR(HYPERLINK("#Main!A"&amp;MATCH(A251,Main!A:A,0),"Open"),HYPERLINK("#Main!A1","Open"))</f>
        <v>Open</v>
      </c>
      <c r="J251" t="str">
        <f t="shared" ca="1" si="3"/>
        <v>Open</v>
      </c>
    </row>
    <row r="252" spans="1:11" ht="30" customHeight="1" x14ac:dyDescent="0.25">
      <c r="A252" s="59" t="s">
        <v>274</v>
      </c>
      <c r="B252" s="48" t="s">
        <v>877</v>
      </c>
      <c r="C252" s="64" t="s">
        <v>68</v>
      </c>
      <c r="D252" s="8" t="s">
        <v>7</v>
      </c>
      <c r="E252" s="71" t="s">
        <v>2763</v>
      </c>
      <c r="F252" s="60" t="s">
        <v>98</v>
      </c>
      <c r="G252" s="49" t="s">
        <v>2</v>
      </c>
      <c r="H252" s="8"/>
      <c r="I252" s="9" t="str">
        <f>IFERROR(HYPERLINK("#Main!A"&amp;MATCH(A252,Main!A:A,0),"Open"),HYPERLINK("#Main!A1","Open"))</f>
        <v>Open</v>
      </c>
      <c r="J252" s="9" t="str">
        <f t="shared" ca="1" si="3"/>
        <v>Open</v>
      </c>
      <c r="K252" s="9"/>
    </row>
    <row r="253" spans="1:11" ht="30" customHeight="1" x14ac:dyDescent="0.25">
      <c r="A253" s="58" t="s">
        <v>274</v>
      </c>
      <c r="B253" s="42" t="s">
        <v>880</v>
      </c>
      <c r="C253" s="64" t="s">
        <v>68</v>
      </c>
      <c r="D253" s="11" t="s">
        <v>7</v>
      </c>
      <c r="E253" s="72" t="s">
        <v>2764</v>
      </c>
      <c r="F253" s="60" t="s">
        <v>98</v>
      </c>
      <c r="G253" s="49" t="s">
        <v>2</v>
      </c>
      <c r="H253" s="11"/>
      <c r="I253" t="str">
        <f>IFERROR(HYPERLINK("#Main!A"&amp;MATCH(A253,Main!A:A,0),"Open"),HYPERLINK("#Main!A1","Open"))</f>
        <v>Open</v>
      </c>
      <c r="J253" t="str">
        <f t="shared" ca="1" si="3"/>
        <v>Open</v>
      </c>
    </row>
    <row r="254" spans="1:11" ht="30" customHeight="1" x14ac:dyDescent="0.25">
      <c r="A254" s="59" t="s">
        <v>274</v>
      </c>
      <c r="B254" s="48" t="s">
        <v>883</v>
      </c>
      <c r="C254" s="64" t="s">
        <v>68</v>
      </c>
      <c r="D254" s="8" t="s">
        <v>7</v>
      </c>
      <c r="E254" s="71" t="s">
        <v>2765</v>
      </c>
      <c r="F254" s="60" t="s">
        <v>98</v>
      </c>
      <c r="G254" s="49" t="s">
        <v>2</v>
      </c>
      <c r="H254" s="8"/>
      <c r="I254" s="9" t="str">
        <f>IFERROR(HYPERLINK("#Main!A"&amp;MATCH(A254,Main!A:A,0),"Open"),HYPERLINK("#Main!A1","Open"))</f>
        <v>Open</v>
      </c>
      <c r="J254" s="9" t="str">
        <f t="shared" ca="1" si="3"/>
        <v>Open</v>
      </c>
      <c r="K254" s="9"/>
    </row>
    <row r="255" spans="1:11" ht="30" customHeight="1" x14ac:dyDescent="0.25">
      <c r="A255" s="58" t="s">
        <v>401</v>
      </c>
      <c r="B255" s="42" t="s">
        <v>852</v>
      </c>
      <c r="C255" s="61" t="s">
        <v>67</v>
      </c>
      <c r="D255" s="11" t="s">
        <v>7</v>
      </c>
      <c r="E255" s="72" t="s">
        <v>2766</v>
      </c>
      <c r="F255" s="60" t="s">
        <v>98</v>
      </c>
      <c r="G255" s="49" t="s">
        <v>2</v>
      </c>
      <c r="H255" s="11"/>
      <c r="I255" t="str">
        <f>IFERROR(HYPERLINK("#Main!A"&amp;MATCH(A255,Main!A:A,0),"Open"),HYPERLINK("#Main!A1","Open"))</f>
        <v>Open</v>
      </c>
      <c r="J255" t="str">
        <f t="shared" ca="1" si="3"/>
        <v>Open</v>
      </c>
    </row>
    <row r="256" spans="1:11" ht="30" customHeight="1" x14ac:dyDescent="0.25">
      <c r="A256" s="59" t="s">
        <v>401</v>
      </c>
      <c r="B256" s="48" t="s">
        <v>858</v>
      </c>
      <c r="C256" s="61" t="s">
        <v>67</v>
      </c>
      <c r="D256" s="8" t="s">
        <v>9</v>
      </c>
      <c r="E256" s="71" t="s">
        <v>2767</v>
      </c>
      <c r="F256" s="60" t="s">
        <v>98</v>
      </c>
      <c r="G256" s="49" t="s">
        <v>2</v>
      </c>
      <c r="H256" s="8"/>
      <c r="I256" s="9" t="str">
        <f>IFERROR(HYPERLINK("#Main!A"&amp;MATCH(A256,Main!A:A,0),"Open"),HYPERLINK("#Main!A1","Open"))</f>
        <v>Open</v>
      </c>
      <c r="J256" s="9" t="str">
        <f t="shared" ca="1" si="3"/>
        <v>Open</v>
      </c>
      <c r="K256" s="9"/>
    </row>
    <row r="257" spans="1:11" ht="30" customHeight="1" x14ac:dyDescent="0.25">
      <c r="A257" s="58" t="s">
        <v>401</v>
      </c>
      <c r="B257" s="42" t="s">
        <v>102</v>
      </c>
      <c r="C257" s="64" t="s">
        <v>68</v>
      </c>
      <c r="D257" s="11" t="s">
        <v>7</v>
      </c>
      <c r="E257" s="72" t="s">
        <v>2768</v>
      </c>
      <c r="F257" s="57" t="s">
        <v>825</v>
      </c>
      <c r="G257" s="49" t="s">
        <v>2</v>
      </c>
      <c r="H257" s="11"/>
      <c r="I257" t="str">
        <f>IFERROR(HYPERLINK("#Main!A"&amp;MATCH(A257,Main!A:A,0),"Open"),HYPERLINK("#Main!A1","Open"))</f>
        <v>Open</v>
      </c>
      <c r="J257" t="str">
        <f t="shared" ca="1" si="3"/>
        <v>Open</v>
      </c>
    </row>
    <row r="258" spans="1:11" ht="30" customHeight="1" x14ac:dyDescent="0.25">
      <c r="A258" s="59" t="s">
        <v>401</v>
      </c>
      <c r="B258" s="48" t="s">
        <v>872</v>
      </c>
      <c r="C258" s="64" t="s">
        <v>68</v>
      </c>
      <c r="D258" s="8" t="s">
        <v>7</v>
      </c>
      <c r="E258" s="71" t="s">
        <v>2769</v>
      </c>
      <c r="F258" s="57" t="s">
        <v>825</v>
      </c>
      <c r="G258" s="49" t="s">
        <v>2</v>
      </c>
      <c r="H258" s="8"/>
      <c r="I258" s="9" t="str">
        <f>IFERROR(HYPERLINK("#Main!A"&amp;MATCH(A258,Main!A:A,0),"Open"),HYPERLINK("#Main!A1","Open"))</f>
        <v>Open</v>
      </c>
      <c r="J258" s="9" t="str">
        <f t="shared" ref="J258:J321" ca="1" si="4">IFERROR(HYPERLINK("#"&amp;D258&amp;"!A"&amp;MATCH(A258,INDIRECT("'"&amp;D258&amp;"'!A:A"),0),"Open"),HYPERLINK("#"&amp;D258&amp;"!A1","Open"))</f>
        <v>Open</v>
      </c>
      <c r="K258" s="9"/>
    </row>
    <row r="259" spans="1:11" ht="30" customHeight="1" x14ac:dyDescent="0.25">
      <c r="A259" s="58" t="s">
        <v>401</v>
      </c>
      <c r="B259" s="42" t="s">
        <v>873</v>
      </c>
      <c r="C259" s="64" t="s">
        <v>68</v>
      </c>
      <c r="D259" s="11" t="s">
        <v>7</v>
      </c>
      <c r="E259" s="72" t="s">
        <v>2770</v>
      </c>
      <c r="F259" s="57" t="s">
        <v>825</v>
      </c>
      <c r="G259" s="49" t="s">
        <v>2</v>
      </c>
      <c r="H259" s="11"/>
      <c r="I259" t="str">
        <f>IFERROR(HYPERLINK("#Main!A"&amp;MATCH(A259,Main!A:A,0),"Open"),HYPERLINK("#Main!A1","Open"))</f>
        <v>Open</v>
      </c>
      <c r="J259" t="str">
        <f t="shared" ca="1" si="4"/>
        <v>Open</v>
      </c>
    </row>
    <row r="260" spans="1:11" ht="30" customHeight="1" x14ac:dyDescent="0.25">
      <c r="A260" s="59" t="s">
        <v>401</v>
      </c>
      <c r="B260" s="48" t="s">
        <v>884</v>
      </c>
      <c r="C260" s="64" t="s">
        <v>68</v>
      </c>
      <c r="D260" s="8" t="s">
        <v>7</v>
      </c>
      <c r="E260" s="71" t="s">
        <v>2771</v>
      </c>
      <c r="F260" s="60" t="s">
        <v>98</v>
      </c>
      <c r="G260" s="49" t="s">
        <v>2</v>
      </c>
      <c r="H260" s="8"/>
      <c r="I260" s="9" t="str">
        <f>IFERROR(HYPERLINK("#Main!A"&amp;MATCH(A260,Main!A:A,0),"Open"),HYPERLINK("#Main!A1","Open"))</f>
        <v>Open</v>
      </c>
      <c r="J260" s="9" t="str">
        <f t="shared" ca="1" si="4"/>
        <v>Open</v>
      </c>
      <c r="K260" s="9"/>
    </row>
    <row r="261" spans="1:11" ht="30" customHeight="1" x14ac:dyDescent="0.25">
      <c r="A261" s="58" t="s">
        <v>401</v>
      </c>
      <c r="B261" s="42" t="s">
        <v>874</v>
      </c>
      <c r="C261" s="64" t="s">
        <v>68</v>
      </c>
      <c r="D261" s="11" t="s">
        <v>9</v>
      </c>
      <c r="E261" s="72" t="s">
        <v>2772</v>
      </c>
      <c r="F261" s="60" t="s">
        <v>98</v>
      </c>
      <c r="G261" s="49" t="s">
        <v>2</v>
      </c>
      <c r="H261" s="11"/>
      <c r="I261" t="str">
        <f>IFERROR(HYPERLINK("#Main!A"&amp;MATCH(A261,Main!A:A,0),"Open"),HYPERLINK("#Main!A1","Open"))</f>
        <v>Open</v>
      </c>
      <c r="J261" t="str">
        <f t="shared" ca="1" si="4"/>
        <v>Open</v>
      </c>
    </row>
    <row r="262" spans="1:11" ht="30" customHeight="1" x14ac:dyDescent="0.25">
      <c r="A262" s="59" t="s">
        <v>401</v>
      </c>
      <c r="B262" s="48" t="s">
        <v>877</v>
      </c>
      <c r="C262" s="64" t="s">
        <v>68</v>
      </c>
      <c r="D262" s="8" t="s">
        <v>7</v>
      </c>
      <c r="E262" s="71" t="s">
        <v>2773</v>
      </c>
      <c r="F262" s="60" t="s">
        <v>98</v>
      </c>
      <c r="G262" s="49" t="s">
        <v>2</v>
      </c>
      <c r="H262" s="8"/>
      <c r="I262" s="9" t="str">
        <f>IFERROR(HYPERLINK("#Main!A"&amp;MATCH(A262,Main!A:A,0),"Open"),HYPERLINK("#Main!A1","Open"))</f>
        <v>Open</v>
      </c>
      <c r="J262" s="9" t="str">
        <f t="shared" ca="1" si="4"/>
        <v>Open</v>
      </c>
      <c r="K262" s="9"/>
    </row>
    <row r="263" spans="1:11" ht="30" customHeight="1" x14ac:dyDescent="0.25">
      <c r="A263" s="58" t="s">
        <v>401</v>
      </c>
      <c r="B263" s="42" t="s">
        <v>880</v>
      </c>
      <c r="C263" s="64" t="s">
        <v>68</v>
      </c>
      <c r="D263" s="11" t="s">
        <v>7</v>
      </c>
      <c r="E263" s="72" t="s">
        <v>2774</v>
      </c>
      <c r="F263" s="60" t="s">
        <v>98</v>
      </c>
      <c r="G263" s="49" t="s">
        <v>2</v>
      </c>
      <c r="H263" s="11"/>
      <c r="I263" t="str">
        <f>IFERROR(HYPERLINK("#Main!A"&amp;MATCH(A263,Main!A:A,0),"Open"),HYPERLINK("#Main!A1","Open"))</f>
        <v>Open</v>
      </c>
      <c r="J263" t="str">
        <f t="shared" ca="1" si="4"/>
        <v>Open</v>
      </c>
    </row>
    <row r="264" spans="1:11" ht="30" customHeight="1" x14ac:dyDescent="0.25">
      <c r="A264" s="59" t="s">
        <v>401</v>
      </c>
      <c r="B264" s="48" t="s">
        <v>883</v>
      </c>
      <c r="C264" s="64" t="s">
        <v>68</v>
      </c>
      <c r="D264" s="8" t="s">
        <v>7</v>
      </c>
      <c r="E264" s="71" t="s">
        <v>2775</v>
      </c>
      <c r="F264" s="60" t="s">
        <v>98</v>
      </c>
      <c r="G264" s="49" t="s">
        <v>2</v>
      </c>
      <c r="H264" s="8"/>
      <c r="I264" s="9" t="str">
        <f>IFERROR(HYPERLINK("#Main!A"&amp;MATCH(A264,Main!A:A,0),"Open"),HYPERLINK("#Main!A1","Open"))</f>
        <v>Open</v>
      </c>
      <c r="J264" s="9" t="str">
        <f t="shared" ca="1" si="4"/>
        <v>Open</v>
      </c>
      <c r="K264" s="9"/>
    </row>
    <row r="265" spans="1:11" ht="30" customHeight="1" x14ac:dyDescent="0.25">
      <c r="A265" s="58" t="s">
        <v>298</v>
      </c>
      <c r="B265" s="42" t="s">
        <v>852</v>
      </c>
      <c r="C265" s="61" t="s">
        <v>67</v>
      </c>
      <c r="D265" s="11" t="s">
        <v>7</v>
      </c>
      <c r="E265" s="72" t="s">
        <v>2776</v>
      </c>
      <c r="F265" s="60" t="s">
        <v>98</v>
      </c>
      <c r="G265" s="49" t="s">
        <v>2</v>
      </c>
      <c r="H265" s="11"/>
      <c r="I265" t="str">
        <f>IFERROR(HYPERLINK("#Main!A"&amp;MATCH(A265,Main!A:A,0),"Open"),HYPERLINK("#Main!A1","Open"))</f>
        <v>Open</v>
      </c>
      <c r="J265" t="str">
        <f t="shared" ca="1" si="4"/>
        <v>Open</v>
      </c>
    </row>
    <row r="266" spans="1:11" ht="30" customHeight="1" x14ac:dyDescent="0.25">
      <c r="A266" s="59" t="s">
        <v>298</v>
      </c>
      <c r="B266" s="48" t="s">
        <v>858</v>
      </c>
      <c r="C266" s="61" t="s">
        <v>67</v>
      </c>
      <c r="D266" s="8" t="s">
        <v>9</v>
      </c>
      <c r="E266" s="71" t="s">
        <v>2777</v>
      </c>
      <c r="F266" s="60" t="s">
        <v>98</v>
      </c>
      <c r="G266" s="49" t="s">
        <v>2</v>
      </c>
      <c r="H266" s="8"/>
      <c r="I266" s="9" t="str">
        <f>IFERROR(HYPERLINK("#Main!A"&amp;MATCH(A266,Main!A:A,0),"Open"),HYPERLINK("#Main!A1","Open"))</f>
        <v>Open</v>
      </c>
      <c r="J266" s="9" t="str">
        <f t="shared" ca="1" si="4"/>
        <v>Open</v>
      </c>
      <c r="K266" s="9"/>
    </row>
    <row r="267" spans="1:11" ht="30" customHeight="1" x14ac:dyDescent="0.25">
      <c r="A267" s="58" t="s">
        <v>298</v>
      </c>
      <c r="B267" s="42" t="s">
        <v>102</v>
      </c>
      <c r="C267" s="64" t="s">
        <v>68</v>
      </c>
      <c r="D267" s="11" t="s">
        <v>7</v>
      </c>
      <c r="E267" s="72" t="s">
        <v>2778</v>
      </c>
      <c r="F267" s="57" t="s">
        <v>825</v>
      </c>
      <c r="G267" s="49" t="s">
        <v>2</v>
      </c>
      <c r="H267" s="11"/>
      <c r="I267" t="str">
        <f>IFERROR(HYPERLINK("#Main!A"&amp;MATCH(A267,Main!A:A,0),"Open"),HYPERLINK("#Main!A1","Open"))</f>
        <v>Open</v>
      </c>
      <c r="J267" t="str">
        <f t="shared" ca="1" si="4"/>
        <v>Open</v>
      </c>
    </row>
    <row r="268" spans="1:11" ht="30" customHeight="1" x14ac:dyDescent="0.25">
      <c r="A268" s="59" t="s">
        <v>298</v>
      </c>
      <c r="B268" s="48" t="s">
        <v>872</v>
      </c>
      <c r="C268" s="64" t="s">
        <v>68</v>
      </c>
      <c r="D268" s="8" t="s">
        <v>7</v>
      </c>
      <c r="E268" s="71" t="s">
        <v>2779</v>
      </c>
      <c r="F268" s="57" t="s">
        <v>825</v>
      </c>
      <c r="G268" s="49" t="s">
        <v>2</v>
      </c>
      <c r="H268" s="8"/>
      <c r="I268" s="9" t="str">
        <f>IFERROR(HYPERLINK("#Main!A"&amp;MATCH(A268,Main!A:A,0),"Open"),HYPERLINK("#Main!A1","Open"))</f>
        <v>Open</v>
      </c>
      <c r="J268" s="9" t="str">
        <f t="shared" ca="1" si="4"/>
        <v>Open</v>
      </c>
      <c r="K268" s="9"/>
    </row>
    <row r="269" spans="1:11" ht="30" customHeight="1" x14ac:dyDescent="0.25">
      <c r="A269" s="58" t="s">
        <v>298</v>
      </c>
      <c r="B269" s="42" t="s">
        <v>873</v>
      </c>
      <c r="C269" s="64" t="s">
        <v>68</v>
      </c>
      <c r="D269" s="11" t="s">
        <v>7</v>
      </c>
      <c r="E269" s="72" t="s">
        <v>2780</v>
      </c>
      <c r="F269" s="57" t="s">
        <v>825</v>
      </c>
      <c r="G269" s="49" t="s">
        <v>2</v>
      </c>
      <c r="H269" s="11"/>
      <c r="I269" t="str">
        <f>IFERROR(HYPERLINK("#Main!A"&amp;MATCH(A269,Main!A:A,0),"Open"),HYPERLINK("#Main!A1","Open"))</f>
        <v>Open</v>
      </c>
      <c r="J269" t="str">
        <f t="shared" ca="1" si="4"/>
        <v>Open</v>
      </c>
    </row>
    <row r="270" spans="1:11" ht="30" customHeight="1" x14ac:dyDescent="0.25">
      <c r="A270" s="59" t="s">
        <v>298</v>
      </c>
      <c r="B270" s="48" t="s">
        <v>874</v>
      </c>
      <c r="C270" s="64" t="s">
        <v>68</v>
      </c>
      <c r="D270" s="8" t="s">
        <v>9</v>
      </c>
      <c r="E270" s="71" t="s">
        <v>2781</v>
      </c>
      <c r="F270" s="60" t="s">
        <v>98</v>
      </c>
      <c r="G270" s="49" t="s">
        <v>2</v>
      </c>
      <c r="H270" s="8"/>
      <c r="I270" s="9" t="str">
        <f>IFERROR(HYPERLINK("#Main!A"&amp;MATCH(A270,Main!A:A,0),"Open"),HYPERLINK("#Main!A1","Open"))</f>
        <v>Open</v>
      </c>
      <c r="J270" s="9" t="str">
        <f t="shared" ca="1" si="4"/>
        <v>Open</v>
      </c>
      <c r="K270" s="9"/>
    </row>
    <row r="271" spans="1:11" ht="30" customHeight="1" x14ac:dyDescent="0.25">
      <c r="A271" s="58" t="s">
        <v>298</v>
      </c>
      <c r="B271" s="42" t="s">
        <v>877</v>
      </c>
      <c r="C271" s="64" t="s">
        <v>68</v>
      </c>
      <c r="D271" s="11" t="s">
        <v>7</v>
      </c>
      <c r="E271" s="72" t="s">
        <v>2782</v>
      </c>
      <c r="F271" s="60" t="s">
        <v>98</v>
      </c>
      <c r="G271" s="49" t="s">
        <v>2</v>
      </c>
      <c r="H271" s="11"/>
      <c r="I271" t="str">
        <f>IFERROR(HYPERLINK("#Main!A"&amp;MATCH(A271,Main!A:A,0),"Open"),HYPERLINK("#Main!A1","Open"))</f>
        <v>Open</v>
      </c>
      <c r="J271" t="str">
        <f t="shared" ca="1" si="4"/>
        <v>Open</v>
      </c>
    </row>
    <row r="272" spans="1:11" ht="30" customHeight="1" x14ac:dyDescent="0.25">
      <c r="A272" s="59" t="s">
        <v>298</v>
      </c>
      <c r="B272" s="48" t="s">
        <v>880</v>
      </c>
      <c r="C272" s="64" t="s">
        <v>68</v>
      </c>
      <c r="D272" s="8" t="s">
        <v>7</v>
      </c>
      <c r="E272" s="71" t="s">
        <v>2783</v>
      </c>
      <c r="F272" s="60" t="s">
        <v>98</v>
      </c>
      <c r="G272" s="49" t="s">
        <v>2</v>
      </c>
      <c r="H272" s="8"/>
      <c r="I272" s="9" t="str">
        <f>IFERROR(HYPERLINK("#Main!A"&amp;MATCH(A272,Main!A:A,0),"Open"),HYPERLINK("#Main!A1","Open"))</f>
        <v>Open</v>
      </c>
      <c r="J272" s="9" t="str">
        <f t="shared" ca="1" si="4"/>
        <v>Open</v>
      </c>
      <c r="K272" s="9"/>
    </row>
    <row r="273" spans="1:11" ht="30" customHeight="1" x14ac:dyDescent="0.25">
      <c r="A273" s="58" t="s">
        <v>298</v>
      </c>
      <c r="B273" s="42" t="s">
        <v>883</v>
      </c>
      <c r="C273" s="64" t="s">
        <v>68</v>
      </c>
      <c r="D273" s="11" t="s">
        <v>7</v>
      </c>
      <c r="E273" s="72" t="s">
        <v>2784</v>
      </c>
      <c r="F273" s="60" t="s">
        <v>98</v>
      </c>
      <c r="G273" s="49" t="s">
        <v>2</v>
      </c>
      <c r="H273" s="11"/>
      <c r="I273" t="str">
        <f>IFERROR(HYPERLINK("#Main!A"&amp;MATCH(A273,Main!A:A,0),"Open"),HYPERLINK("#Main!A1","Open"))</f>
        <v>Open</v>
      </c>
      <c r="J273" t="str">
        <f t="shared" ca="1" si="4"/>
        <v>Open</v>
      </c>
    </row>
    <row r="274" spans="1:11" ht="30" customHeight="1" x14ac:dyDescent="0.25">
      <c r="A274" s="59" t="s">
        <v>481</v>
      </c>
      <c r="B274" s="48" t="s">
        <v>858</v>
      </c>
      <c r="C274" s="61" t="s">
        <v>67</v>
      </c>
      <c r="D274" s="8" t="s">
        <v>9</v>
      </c>
      <c r="E274" s="71" t="s">
        <v>2785</v>
      </c>
      <c r="F274" s="60" t="s">
        <v>98</v>
      </c>
      <c r="G274" s="49" t="s">
        <v>2</v>
      </c>
      <c r="H274" s="8"/>
      <c r="I274" s="9" t="str">
        <f>IFERROR(HYPERLINK("#Main!A"&amp;MATCH(A274,Main!A:A,0),"Open"),HYPERLINK("#Main!A1","Open"))</f>
        <v>Open</v>
      </c>
      <c r="J274" s="9" t="str">
        <f t="shared" ca="1" si="4"/>
        <v>Open</v>
      </c>
      <c r="K274" s="9"/>
    </row>
    <row r="275" spans="1:11" ht="30" customHeight="1" x14ac:dyDescent="0.25">
      <c r="A275" s="58" t="s">
        <v>481</v>
      </c>
      <c r="B275" s="42" t="s">
        <v>102</v>
      </c>
      <c r="C275" s="64" t="s">
        <v>68</v>
      </c>
      <c r="D275" s="11" t="s">
        <v>7</v>
      </c>
      <c r="E275" s="72" t="s">
        <v>2786</v>
      </c>
      <c r="F275" s="57" t="s">
        <v>825</v>
      </c>
      <c r="G275" s="49" t="s">
        <v>2</v>
      </c>
      <c r="H275" s="11"/>
      <c r="I275" t="str">
        <f>IFERROR(HYPERLINK("#Main!A"&amp;MATCH(A275,Main!A:A,0),"Open"),HYPERLINK("#Main!A1","Open"))</f>
        <v>Open</v>
      </c>
      <c r="J275" t="str">
        <f t="shared" ca="1" si="4"/>
        <v>Open</v>
      </c>
    </row>
    <row r="276" spans="1:11" ht="30" customHeight="1" x14ac:dyDescent="0.25">
      <c r="A276" s="59" t="s">
        <v>481</v>
      </c>
      <c r="B276" s="48" t="s">
        <v>872</v>
      </c>
      <c r="C276" s="64" t="s">
        <v>68</v>
      </c>
      <c r="D276" s="8" t="s">
        <v>7</v>
      </c>
      <c r="E276" s="71" t="s">
        <v>2787</v>
      </c>
      <c r="F276" s="57" t="s">
        <v>825</v>
      </c>
      <c r="G276" s="49" t="s">
        <v>2</v>
      </c>
      <c r="H276" s="8"/>
      <c r="I276" s="9" t="str">
        <f>IFERROR(HYPERLINK("#Main!A"&amp;MATCH(A276,Main!A:A,0),"Open"),HYPERLINK("#Main!A1","Open"))</f>
        <v>Open</v>
      </c>
      <c r="J276" s="9" t="str">
        <f t="shared" ca="1" si="4"/>
        <v>Open</v>
      </c>
      <c r="K276" s="9"/>
    </row>
    <row r="277" spans="1:11" ht="30" customHeight="1" x14ac:dyDescent="0.25">
      <c r="A277" s="58" t="s">
        <v>481</v>
      </c>
      <c r="B277" s="42" t="s">
        <v>873</v>
      </c>
      <c r="C277" s="64" t="s">
        <v>68</v>
      </c>
      <c r="D277" s="11" t="s">
        <v>7</v>
      </c>
      <c r="E277" s="72" t="s">
        <v>2788</v>
      </c>
      <c r="F277" s="57" t="s">
        <v>825</v>
      </c>
      <c r="G277" s="49" t="s">
        <v>2</v>
      </c>
      <c r="H277" s="11"/>
      <c r="I277" t="str">
        <f>IFERROR(HYPERLINK("#Main!A"&amp;MATCH(A277,Main!A:A,0),"Open"),HYPERLINK("#Main!A1","Open"))</f>
        <v>Open</v>
      </c>
      <c r="J277" t="str">
        <f t="shared" ca="1" si="4"/>
        <v>Open</v>
      </c>
    </row>
    <row r="278" spans="1:11" ht="30" customHeight="1" x14ac:dyDescent="0.25">
      <c r="A278" s="59" t="s">
        <v>481</v>
      </c>
      <c r="B278" s="48" t="s">
        <v>874</v>
      </c>
      <c r="C278" s="64" t="s">
        <v>68</v>
      </c>
      <c r="D278" s="8" t="s">
        <v>9</v>
      </c>
      <c r="E278" s="71" t="s">
        <v>2789</v>
      </c>
      <c r="F278" s="60" t="s">
        <v>98</v>
      </c>
      <c r="G278" s="49" t="s">
        <v>2</v>
      </c>
      <c r="H278" s="8"/>
      <c r="I278" s="9" t="str">
        <f>IFERROR(HYPERLINK("#Main!A"&amp;MATCH(A278,Main!A:A,0),"Open"),HYPERLINK("#Main!A1","Open"))</f>
        <v>Open</v>
      </c>
      <c r="J278" s="9" t="str">
        <f t="shared" ca="1" si="4"/>
        <v>Open</v>
      </c>
      <c r="K278" s="9"/>
    </row>
    <row r="279" spans="1:11" ht="30" customHeight="1" x14ac:dyDescent="0.25">
      <c r="A279" s="58" t="s">
        <v>481</v>
      </c>
      <c r="B279" s="42" t="s">
        <v>877</v>
      </c>
      <c r="C279" s="64" t="s">
        <v>68</v>
      </c>
      <c r="D279" s="11" t="s">
        <v>7</v>
      </c>
      <c r="E279" s="72" t="s">
        <v>2790</v>
      </c>
      <c r="F279" s="60" t="s">
        <v>98</v>
      </c>
      <c r="G279" s="49" t="s">
        <v>2</v>
      </c>
      <c r="H279" s="11"/>
      <c r="I279" t="str">
        <f>IFERROR(HYPERLINK("#Main!A"&amp;MATCH(A279,Main!A:A,0),"Open"),HYPERLINK("#Main!A1","Open"))</f>
        <v>Open</v>
      </c>
      <c r="J279" t="str">
        <f t="shared" ca="1" si="4"/>
        <v>Open</v>
      </c>
    </row>
    <row r="280" spans="1:11" ht="30" customHeight="1" x14ac:dyDescent="0.25">
      <c r="A280" s="59" t="s">
        <v>481</v>
      </c>
      <c r="B280" s="48" t="s">
        <v>880</v>
      </c>
      <c r="C280" s="64" t="s">
        <v>68</v>
      </c>
      <c r="D280" s="8" t="s">
        <v>7</v>
      </c>
      <c r="E280" s="71" t="s">
        <v>2791</v>
      </c>
      <c r="F280" s="60" t="s">
        <v>98</v>
      </c>
      <c r="G280" s="49" t="s">
        <v>2</v>
      </c>
      <c r="H280" s="8"/>
      <c r="I280" s="9" t="str">
        <f>IFERROR(HYPERLINK("#Main!A"&amp;MATCH(A280,Main!A:A,0),"Open"),HYPERLINK("#Main!A1","Open"))</f>
        <v>Open</v>
      </c>
      <c r="J280" s="9" t="str">
        <f t="shared" ca="1" si="4"/>
        <v>Open</v>
      </c>
      <c r="K280" s="9"/>
    </row>
    <row r="281" spans="1:11" ht="30" customHeight="1" x14ac:dyDescent="0.25">
      <c r="A281" s="58" t="s">
        <v>481</v>
      </c>
      <c r="B281" s="42" t="s">
        <v>883</v>
      </c>
      <c r="C281" s="64" t="s">
        <v>68</v>
      </c>
      <c r="D281" s="11" t="s">
        <v>7</v>
      </c>
      <c r="E281" s="72" t="s">
        <v>2792</v>
      </c>
      <c r="F281" s="60" t="s">
        <v>98</v>
      </c>
      <c r="G281" s="49" t="s">
        <v>2</v>
      </c>
      <c r="H281" s="11"/>
      <c r="I281" t="str">
        <f>IFERROR(HYPERLINK("#Main!A"&amp;MATCH(A281,Main!A:A,0),"Open"),HYPERLINK("#Main!A1","Open"))</f>
        <v>Open</v>
      </c>
      <c r="J281" t="str">
        <f t="shared" ca="1" si="4"/>
        <v>Open</v>
      </c>
    </row>
    <row r="282" spans="1:11" ht="30" customHeight="1" x14ac:dyDescent="0.25">
      <c r="A282" s="59" t="s">
        <v>172</v>
      </c>
      <c r="B282" s="48" t="s">
        <v>857</v>
      </c>
      <c r="C282" s="61" t="s">
        <v>67</v>
      </c>
      <c r="D282" s="8" t="s">
        <v>7</v>
      </c>
      <c r="E282" s="71" t="s">
        <v>2793</v>
      </c>
      <c r="F282" s="60" t="s">
        <v>98</v>
      </c>
      <c r="G282" s="49" t="s">
        <v>2</v>
      </c>
      <c r="H282" s="8"/>
      <c r="I282" s="9" t="str">
        <f>IFERROR(HYPERLINK("#Main!A"&amp;MATCH(A282,Main!A:A,0),"Open"),HYPERLINK("#Main!A1","Open"))</f>
        <v>Open</v>
      </c>
      <c r="J282" s="9" t="str">
        <f t="shared" ca="1" si="4"/>
        <v>Open</v>
      </c>
      <c r="K282" s="9"/>
    </row>
    <row r="283" spans="1:11" ht="30" customHeight="1" x14ac:dyDescent="0.25">
      <c r="A283" s="58" t="s">
        <v>172</v>
      </c>
      <c r="B283" s="42" t="s">
        <v>858</v>
      </c>
      <c r="C283" s="61" t="s">
        <v>67</v>
      </c>
      <c r="D283" s="11" t="s">
        <v>9</v>
      </c>
      <c r="E283" s="72" t="s">
        <v>2794</v>
      </c>
      <c r="F283" s="60" t="s">
        <v>98</v>
      </c>
      <c r="G283" s="49" t="s">
        <v>2</v>
      </c>
      <c r="H283" s="11"/>
      <c r="I283" t="str">
        <f>IFERROR(HYPERLINK("#Main!A"&amp;MATCH(A283,Main!A:A,0),"Open"),HYPERLINK("#Main!A1","Open"))</f>
        <v>Open</v>
      </c>
      <c r="J283" t="str">
        <f t="shared" ca="1" si="4"/>
        <v>Open</v>
      </c>
    </row>
    <row r="284" spans="1:11" ht="30" customHeight="1" x14ac:dyDescent="0.25">
      <c r="A284" s="59" t="s">
        <v>172</v>
      </c>
      <c r="B284" s="48" t="s">
        <v>102</v>
      </c>
      <c r="C284" s="64" t="s">
        <v>68</v>
      </c>
      <c r="D284" s="8" t="s">
        <v>7</v>
      </c>
      <c r="E284" s="71" t="s">
        <v>2795</v>
      </c>
      <c r="F284" s="57" t="s">
        <v>825</v>
      </c>
      <c r="G284" s="49" t="s">
        <v>2</v>
      </c>
      <c r="H284" s="8"/>
      <c r="I284" s="9" t="str">
        <f>IFERROR(HYPERLINK("#Main!A"&amp;MATCH(A284,Main!A:A,0),"Open"),HYPERLINK("#Main!A1","Open"))</f>
        <v>Open</v>
      </c>
      <c r="J284" s="9" t="str">
        <f t="shared" ca="1" si="4"/>
        <v>Open</v>
      </c>
      <c r="K284" s="9"/>
    </row>
    <row r="285" spans="1:11" ht="30" customHeight="1" x14ac:dyDescent="0.25">
      <c r="A285" s="58" t="s">
        <v>172</v>
      </c>
      <c r="B285" s="42" t="s">
        <v>872</v>
      </c>
      <c r="C285" s="64" t="s">
        <v>68</v>
      </c>
      <c r="D285" s="11" t="s">
        <v>7</v>
      </c>
      <c r="E285" s="72" t="s">
        <v>2796</v>
      </c>
      <c r="F285" s="57" t="s">
        <v>825</v>
      </c>
      <c r="G285" s="49" t="s">
        <v>2</v>
      </c>
      <c r="H285" s="11"/>
      <c r="I285" t="str">
        <f>IFERROR(HYPERLINK("#Main!A"&amp;MATCH(A285,Main!A:A,0),"Open"),HYPERLINK("#Main!A1","Open"))</f>
        <v>Open</v>
      </c>
      <c r="J285" t="str">
        <f t="shared" ca="1" si="4"/>
        <v>Open</v>
      </c>
    </row>
    <row r="286" spans="1:11" ht="30" customHeight="1" x14ac:dyDescent="0.25">
      <c r="A286" s="59" t="s">
        <v>172</v>
      </c>
      <c r="B286" s="48" t="s">
        <v>873</v>
      </c>
      <c r="C286" s="64" t="s">
        <v>68</v>
      </c>
      <c r="D286" s="8" t="s">
        <v>7</v>
      </c>
      <c r="E286" s="71" t="s">
        <v>2797</v>
      </c>
      <c r="F286" s="57" t="s">
        <v>825</v>
      </c>
      <c r="G286" s="49" t="s">
        <v>2</v>
      </c>
      <c r="H286" s="8"/>
      <c r="I286" s="9" t="str">
        <f>IFERROR(HYPERLINK("#Main!A"&amp;MATCH(A286,Main!A:A,0),"Open"),HYPERLINK("#Main!A1","Open"))</f>
        <v>Open</v>
      </c>
      <c r="J286" s="9" t="str">
        <f t="shared" ca="1" si="4"/>
        <v>Open</v>
      </c>
      <c r="K286" s="9"/>
    </row>
    <row r="287" spans="1:11" ht="30" customHeight="1" x14ac:dyDescent="0.25">
      <c r="A287" s="58" t="s">
        <v>172</v>
      </c>
      <c r="B287" s="42" t="s">
        <v>884</v>
      </c>
      <c r="C287" s="64" t="s">
        <v>68</v>
      </c>
      <c r="D287" s="11" t="s">
        <v>7</v>
      </c>
      <c r="E287" s="72" t="s">
        <v>2798</v>
      </c>
      <c r="F287" s="60" t="s">
        <v>98</v>
      </c>
      <c r="G287" s="49" t="s">
        <v>2</v>
      </c>
      <c r="H287" s="11"/>
      <c r="I287" t="str">
        <f>IFERROR(HYPERLINK("#Main!A"&amp;MATCH(A287,Main!A:A,0),"Open"),HYPERLINK("#Main!A1","Open"))</f>
        <v>Open</v>
      </c>
      <c r="J287" t="str">
        <f t="shared" ca="1" si="4"/>
        <v>Open</v>
      </c>
    </row>
    <row r="288" spans="1:11" ht="30" customHeight="1" x14ac:dyDescent="0.25">
      <c r="A288" s="59" t="s">
        <v>172</v>
      </c>
      <c r="B288" s="48" t="s">
        <v>874</v>
      </c>
      <c r="C288" s="64" t="s">
        <v>68</v>
      </c>
      <c r="D288" s="8" t="s">
        <v>9</v>
      </c>
      <c r="E288" s="71" t="s">
        <v>2799</v>
      </c>
      <c r="F288" s="60" t="s">
        <v>98</v>
      </c>
      <c r="G288" s="49" t="s">
        <v>2</v>
      </c>
      <c r="H288" s="8"/>
      <c r="I288" s="9" t="str">
        <f>IFERROR(HYPERLINK("#Main!A"&amp;MATCH(A288,Main!A:A,0),"Open"),HYPERLINK("#Main!A1","Open"))</f>
        <v>Open</v>
      </c>
      <c r="J288" s="9" t="str">
        <f t="shared" ca="1" si="4"/>
        <v>Open</v>
      </c>
      <c r="K288" s="9"/>
    </row>
    <row r="289" spans="1:11" ht="30" customHeight="1" x14ac:dyDescent="0.25">
      <c r="A289" s="58" t="s">
        <v>172</v>
      </c>
      <c r="B289" s="42" t="s">
        <v>877</v>
      </c>
      <c r="C289" s="64" t="s">
        <v>68</v>
      </c>
      <c r="D289" s="11" t="s">
        <v>7</v>
      </c>
      <c r="E289" s="72" t="s">
        <v>2800</v>
      </c>
      <c r="F289" s="60" t="s">
        <v>98</v>
      </c>
      <c r="G289" s="49" t="s">
        <v>2</v>
      </c>
      <c r="H289" s="11"/>
      <c r="I289" t="str">
        <f>IFERROR(HYPERLINK("#Main!A"&amp;MATCH(A289,Main!A:A,0),"Open"),HYPERLINK("#Main!A1","Open"))</f>
        <v>Open</v>
      </c>
      <c r="J289" t="str">
        <f t="shared" ca="1" si="4"/>
        <v>Open</v>
      </c>
    </row>
    <row r="290" spans="1:11" ht="30" customHeight="1" x14ac:dyDescent="0.25">
      <c r="A290" s="59" t="s">
        <v>172</v>
      </c>
      <c r="B290" s="48" t="s">
        <v>880</v>
      </c>
      <c r="C290" s="64" t="s">
        <v>68</v>
      </c>
      <c r="D290" s="8" t="s">
        <v>7</v>
      </c>
      <c r="E290" s="71" t="s">
        <v>2801</v>
      </c>
      <c r="F290" s="60" t="s">
        <v>98</v>
      </c>
      <c r="G290" s="49" t="s">
        <v>2</v>
      </c>
      <c r="H290" s="8"/>
      <c r="I290" s="9" t="str">
        <f>IFERROR(HYPERLINK("#Main!A"&amp;MATCH(A290,Main!A:A,0),"Open"),HYPERLINK("#Main!A1","Open"))</f>
        <v>Open</v>
      </c>
      <c r="J290" s="9" t="str">
        <f t="shared" ca="1" si="4"/>
        <v>Open</v>
      </c>
      <c r="K290" s="9"/>
    </row>
    <row r="291" spans="1:11" ht="30" customHeight="1" x14ac:dyDescent="0.25">
      <c r="A291" s="58" t="s">
        <v>172</v>
      </c>
      <c r="B291" s="42" t="s">
        <v>883</v>
      </c>
      <c r="C291" s="64" t="s">
        <v>68</v>
      </c>
      <c r="D291" s="11" t="s">
        <v>7</v>
      </c>
      <c r="E291" s="72" t="s">
        <v>2802</v>
      </c>
      <c r="F291" s="60" t="s">
        <v>98</v>
      </c>
      <c r="G291" s="49" t="s">
        <v>2</v>
      </c>
      <c r="H291" s="11"/>
      <c r="I291" t="str">
        <f>IFERROR(HYPERLINK("#Main!A"&amp;MATCH(A291,Main!A:A,0),"Open"),HYPERLINK("#Main!A1","Open"))</f>
        <v>Open</v>
      </c>
      <c r="J291" t="str">
        <f t="shared" ca="1" si="4"/>
        <v>Open</v>
      </c>
    </row>
    <row r="292" spans="1:11" ht="30" customHeight="1" x14ac:dyDescent="0.25">
      <c r="A292" s="59" t="s">
        <v>727</v>
      </c>
      <c r="B292" s="48" t="s">
        <v>857</v>
      </c>
      <c r="C292" s="61" t="s">
        <v>67</v>
      </c>
      <c r="D292" s="8" t="s">
        <v>7</v>
      </c>
      <c r="E292" s="71" t="s">
        <v>2803</v>
      </c>
      <c r="F292" s="60" t="s">
        <v>98</v>
      </c>
      <c r="G292" s="49" t="s">
        <v>2</v>
      </c>
      <c r="H292" s="8"/>
      <c r="I292" s="9" t="str">
        <f>IFERROR(HYPERLINK("#Main!A"&amp;MATCH(A292,Main!A:A,0),"Open"),HYPERLINK("#Main!A1","Open"))</f>
        <v>Open</v>
      </c>
      <c r="J292" s="9" t="str">
        <f t="shared" ca="1" si="4"/>
        <v>Open</v>
      </c>
      <c r="K292" s="9"/>
    </row>
    <row r="293" spans="1:11" ht="30" customHeight="1" x14ac:dyDescent="0.25">
      <c r="A293" s="58" t="s">
        <v>727</v>
      </c>
      <c r="B293" s="42" t="s">
        <v>858</v>
      </c>
      <c r="C293" s="61" t="s">
        <v>67</v>
      </c>
      <c r="D293" s="11" t="s">
        <v>9</v>
      </c>
      <c r="E293" s="72" t="s">
        <v>2804</v>
      </c>
      <c r="F293" s="60" t="s">
        <v>98</v>
      </c>
      <c r="G293" s="49" t="s">
        <v>2</v>
      </c>
      <c r="H293" s="11"/>
      <c r="I293" t="str">
        <f>IFERROR(HYPERLINK("#Main!A"&amp;MATCH(A293,Main!A:A,0),"Open"),HYPERLINK("#Main!A1","Open"))</f>
        <v>Open</v>
      </c>
      <c r="J293" t="str">
        <f t="shared" ca="1" si="4"/>
        <v>Open</v>
      </c>
    </row>
    <row r="294" spans="1:11" ht="30" customHeight="1" x14ac:dyDescent="0.25">
      <c r="A294" s="59" t="s">
        <v>727</v>
      </c>
      <c r="B294" s="48" t="s">
        <v>102</v>
      </c>
      <c r="C294" s="64" t="s">
        <v>68</v>
      </c>
      <c r="D294" s="8" t="s">
        <v>7</v>
      </c>
      <c r="E294" s="71" t="s">
        <v>2805</v>
      </c>
      <c r="F294" s="57" t="s">
        <v>825</v>
      </c>
      <c r="G294" s="49" t="s">
        <v>2</v>
      </c>
      <c r="H294" s="8"/>
      <c r="I294" s="9" t="str">
        <f>IFERROR(HYPERLINK("#Main!A"&amp;MATCH(A294,Main!A:A,0),"Open"),HYPERLINK("#Main!A1","Open"))</f>
        <v>Open</v>
      </c>
      <c r="J294" s="9" t="str">
        <f t="shared" ca="1" si="4"/>
        <v>Open</v>
      </c>
      <c r="K294" s="9"/>
    </row>
    <row r="295" spans="1:11" ht="30" customHeight="1" x14ac:dyDescent="0.25">
      <c r="A295" s="58" t="s">
        <v>727</v>
      </c>
      <c r="B295" s="42" t="s">
        <v>872</v>
      </c>
      <c r="C295" s="64" t="s">
        <v>68</v>
      </c>
      <c r="D295" s="11" t="s">
        <v>7</v>
      </c>
      <c r="E295" s="72" t="s">
        <v>2806</v>
      </c>
      <c r="F295" s="57" t="s">
        <v>825</v>
      </c>
      <c r="G295" s="49" t="s">
        <v>2</v>
      </c>
      <c r="H295" s="11"/>
      <c r="I295" t="str">
        <f>IFERROR(HYPERLINK("#Main!A"&amp;MATCH(A295,Main!A:A,0),"Open"),HYPERLINK("#Main!A1","Open"))</f>
        <v>Open</v>
      </c>
      <c r="J295" t="str">
        <f t="shared" ca="1" si="4"/>
        <v>Open</v>
      </c>
    </row>
    <row r="296" spans="1:11" ht="30" customHeight="1" x14ac:dyDescent="0.25">
      <c r="A296" s="59" t="s">
        <v>727</v>
      </c>
      <c r="B296" s="48" t="s">
        <v>873</v>
      </c>
      <c r="C296" s="64" t="s">
        <v>68</v>
      </c>
      <c r="D296" s="8" t="s">
        <v>7</v>
      </c>
      <c r="E296" s="71" t="s">
        <v>2807</v>
      </c>
      <c r="F296" s="57" t="s">
        <v>825</v>
      </c>
      <c r="G296" s="49" t="s">
        <v>2</v>
      </c>
      <c r="H296" s="8"/>
      <c r="I296" s="9" t="str">
        <f>IFERROR(HYPERLINK("#Main!A"&amp;MATCH(A296,Main!A:A,0),"Open"),HYPERLINK("#Main!A1","Open"))</f>
        <v>Open</v>
      </c>
      <c r="J296" s="9" t="str">
        <f t="shared" ca="1" si="4"/>
        <v>Open</v>
      </c>
      <c r="K296" s="9"/>
    </row>
    <row r="297" spans="1:11" ht="30" customHeight="1" x14ac:dyDescent="0.25">
      <c r="A297" s="58" t="s">
        <v>727</v>
      </c>
      <c r="B297" s="42" t="s">
        <v>884</v>
      </c>
      <c r="C297" s="64" t="s">
        <v>68</v>
      </c>
      <c r="D297" s="11" t="s">
        <v>7</v>
      </c>
      <c r="E297" s="72" t="s">
        <v>2808</v>
      </c>
      <c r="F297" s="60" t="s">
        <v>98</v>
      </c>
      <c r="G297" s="49" t="s">
        <v>2</v>
      </c>
      <c r="H297" s="11"/>
      <c r="I297" t="str">
        <f>IFERROR(HYPERLINK("#Main!A"&amp;MATCH(A297,Main!A:A,0),"Open"),HYPERLINK("#Main!A1","Open"))</f>
        <v>Open</v>
      </c>
      <c r="J297" t="str">
        <f t="shared" ca="1" si="4"/>
        <v>Open</v>
      </c>
    </row>
    <row r="298" spans="1:11" ht="30" customHeight="1" x14ac:dyDescent="0.25">
      <c r="A298" s="59" t="s">
        <v>727</v>
      </c>
      <c r="B298" s="48" t="s">
        <v>874</v>
      </c>
      <c r="C298" s="64" t="s">
        <v>68</v>
      </c>
      <c r="D298" s="8" t="s">
        <v>9</v>
      </c>
      <c r="E298" s="71" t="s">
        <v>2809</v>
      </c>
      <c r="F298" s="60" t="s">
        <v>98</v>
      </c>
      <c r="G298" s="49" t="s">
        <v>2</v>
      </c>
      <c r="H298" s="8"/>
      <c r="I298" s="9" t="str">
        <f>IFERROR(HYPERLINK("#Main!A"&amp;MATCH(A298,Main!A:A,0),"Open"),HYPERLINK("#Main!A1","Open"))</f>
        <v>Open</v>
      </c>
      <c r="J298" s="9" t="str">
        <f t="shared" ca="1" si="4"/>
        <v>Open</v>
      </c>
      <c r="K298" s="9"/>
    </row>
    <row r="299" spans="1:11" ht="30" customHeight="1" x14ac:dyDescent="0.25">
      <c r="A299" s="58" t="s">
        <v>727</v>
      </c>
      <c r="B299" s="42" t="s">
        <v>877</v>
      </c>
      <c r="C299" s="64" t="s">
        <v>68</v>
      </c>
      <c r="D299" s="11" t="s">
        <v>7</v>
      </c>
      <c r="E299" s="72" t="s">
        <v>2810</v>
      </c>
      <c r="F299" s="60" t="s">
        <v>98</v>
      </c>
      <c r="G299" s="49" t="s">
        <v>2</v>
      </c>
      <c r="H299" s="11"/>
      <c r="I299" t="str">
        <f>IFERROR(HYPERLINK("#Main!A"&amp;MATCH(A299,Main!A:A,0),"Open"),HYPERLINK("#Main!A1","Open"))</f>
        <v>Open</v>
      </c>
      <c r="J299" t="str">
        <f t="shared" ca="1" si="4"/>
        <v>Open</v>
      </c>
    </row>
    <row r="300" spans="1:11" ht="30" customHeight="1" x14ac:dyDescent="0.25">
      <c r="A300" s="59" t="s">
        <v>727</v>
      </c>
      <c r="B300" s="48" t="s">
        <v>880</v>
      </c>
      <c r="C300" s="64" t="s">
        <v>68</v>
      </c>
      <c r="D300" s="8" t="s">
        <v>7</v>
      </c>
      <c r="E300" s="71" t="s">
        <v>2811</v>
      </c>
      <c r="F300" s="60" t="s">
        <v>98</v>
      </c>
      <c r="G300" s="49" t="s">
        <v>2</v>
      </c>
      <c r="H300" s="8"/>
      <c r="I300" s="9" t="str">
        <f>IFERROR(HYPERLINK("#Main!A"&amp;MATCH(A300,Main!A:A,0),"Open"),HYPERLINK("#Main!A1","Open"))</f>
        <v>Open</v>
      </c>
      <c r="J300" s="9" t="str">
        <f t="shared" ca="1" si="4"/>
        <v>Open</v>
      </c>
      <c r="K300" s="9"/>
    </row>
    <row r="301" spans="1:11" ht="30" customHeight="1" x14ac:dyDescent="0.25">
      <c r="A301" s="58" t="s">
        <v>727</v>
      </c>
      <c r="B301" s="42" t="s">
        <v>883</v>
      </c>
      <c r="C301" s="64" t="s">
        <v>68</v>
      </c>
      <c r="D301" s="11" t="s">
        <v>7</v>
      </c>
      <c r="E301" s="72" t="s">
        <v>2812</v>
      </c>
      <c r="F301" s="60" t="s">
        <v>98</v>
      </c>
      <c r="G301" s="49" t="s">
        <v>2</v>
      </c>
      <c r="H301" s="11"/>
      <c r="I301" t="str">
        <f>IFERROR(HYPERLINK("#Main!A"&amp;MATCH(A301,Main!A:A,0),"Open"),HYPERLINK("#Main!A1","Open"))</f>
        <v>Open</v>
      </c>
      <c r="J301" t="str">
        <f t="shared" ca="1" si="4"/>
        <v>Open</v>
      </c>
    </row>
    <row r="302" spans="1:11" ht="30" customHeight="1" x14ac:dyDescent="0.25">
      <c r="A302" s="59" t="s">
        <v>559</v>
      </c>
      <c r="B302" s="48" t="s">
        <v>857</v>
      </c>
      <c r="C302" s="61" t="s">
        <v>67</v>
      </c>
      <c r="D302" s="8" t="s">
        <v>7</v>
      </c>
      <c r="E302" s="71" t="s">
        <v>2813</v>
      </c>
      <c r="F302" s="60" t="s">
        <v>98</v>
      </c>
      <c r="G302" s="49" t="s">
        <v>2</v>
      </c>
      <c r="H302" s="8"/>
      <c r="I302" s="9" t="str">
        <f>IFERROR(HYPERLINK("#Main!A"&amp;MATCH(A302,Main!A:A,0),"Open"),HYPERLINK("#Main!A1","Open"))</f>
        <v>Open</v>
      </c>
      <c r="J302" s="9" t="str">
        <f t="shared" ca="1" si="4"/>
        <v>Open</v>
      </c>
      <c r="K302" s="9"/>
    </row>
    <row r="303" spans="1:11" ht="30" customHeight="1" x14ac:dyDescent="0.25">
      <c r="A303" s="58" t="s">
        <v>559</v>
      </c>
      <c r="B303" s="42" t="s">
        <v>858</v>
      </c>
      <c r="C303" s="61" t="s">
        <v>67</v>
      </c>
      <c r="D303" s="11" t="s">
        <v>9</v>
      </c>
      <c r="E303" s="72" t="s">
        <v>2814</v>
      </c>
      <c r="F303" s="60" t="s">
        <v>98</v>
      </c>
      <c r="G303" s="49" t="s">
        <v>2</v>
      </c>
      <c r="H303" s="11"/>
      <c r="I303" t="str">
        <f>IFERROR(HYPERLINK("#Main!A"&amp;MATCH(A303,Main!A:A,0),"Open"),HYPERLINK("#Main!A1","Open"))</f>
        <v>Open</v>
      </c>
      <c r="J303" t="str">
        <f t="shared" ca="1" si="4"/>
        <v>Open</v>
      </c>
    </row>
    <row r="304" spans="1:11" ht="30" customHeight="1" x14ac:dyDescent="0.25">
      <c r="A304" s="59" t="s">
        <v>559</v>
      </c>
      <c r="B304" s="48" t="s">
        <v>102</v>
      </c>
      <c r="C304" s="64" t="s">
        <v>68</v>
      </c>
      <c r="D304" s="8" t="s">
        <v>7</v>
      </c>
      <c r="E304" s="71" t="s">
        <v>2815</v>
      </c>
      <c r="F304" s="57" t="s">
        <v>825</v>
      </c>
      <c r="G304" s="49" t="s">
        <v>2</v>
      </c>
      <c r="H304" s="8"/>
      <c r="I304" s="9" t="str">
        <f>IFERROR(HYPERLINK("#Main!A"&amp;MATCH(A304,Main!A:A,0),"Open"),HYPERLINK("#Main!A1","Open"))</f>
        <v>Open</v>
      </c>
      <c r="J304" s="9" t="str">
        <f t="shared" ca="1" si="4"/>
        <v>Open</v>
      </c>
      <c r="K304" s="9"/>
    </row>
    <row r="305" spans="1:11" ht="30" customHeight="1" x14ac:dyDescent="0.25">
      <c r="A305" s="58" t="s">
        <v>559</v>
      </c>
      <c r="B305" s="42" t="s">
        <v>872</v>
      </c>
      <c r="C305" s="64" t="s">
        <v>68</v>
      </c>
      <c r="D305" s="11" t="s">
        <v>7</v>
      </c>
      <c r="E305" s="72" t="s">
        <v>2816</v>
      </c>
      <c r="F305" s="57" t="s">
        <v>825</v>
      </c>
      <c r="G305" s="49" t="s">
        <v>2</v>
      </c>
      <c r="H305" s="11"/>
      <c r="I305" t="str">
        <f>IFERROR(HYPERLINK("#Main!A"&amp;MATCH(A305,Main!A:A,0),"Open"),HYPERLINK("#Main!A1","Open"))</f>
        <v>Open</v>
      </c>
      <c r="J305" t="str">
        <f t="shared" ca="1" si="4"/>
        <v>Open</v>
      </c>
    </row>
    <row r="306" spans="1:11" ht="30" customHeight="1" x14ac:dyDescent="0.25">
      <c r="A306" s="59" t="s">
        <v>559</v>
      </c>
      <c r="B306" s="48" t="s">
        <v>873</v>
      </c>
      <c r="C306" s="64" t="s">
        <v>68</v>
      </c>
      <c r="D306" s="8" t="s">
        <v>7</v>
      </c>
      <c r="E306" s="71" t="s">
        <v>2817</v>
      </c>
      <c r="F306" s="57" t="s">
        <v>825</v>
      </c>
      <c r="G306" s="49" t="s">
        <v>2</v>
      </c>
      <c r="H306" s="8"/>
      <c r="I306" s="9" t="str">
        <f>IFERROR(HYPERLINK("#Main!A"&amp;MATCH(A306,Main!A:A,0),"Open"),HYPERLINK("#Main!A1","Open"))</f>
        <v>Open</v>
      </c>
      <c r="J306" s="9" t="str">
        <f t="shared" ca="1" si="4"/>
        <v>Open</v>
      </c>
      <c r="K306" s="9"/>
    </row>
    <row r="307" spans="1:11" ht="30" customHeight="1" x14ac:dyDescent="0.25">
      <c r="A307" s="58" t="s">
        <v>559</v>
      </c>
      <c r="B307" s="42" t="s">
        <v>884</v>
      </c>
      <c r="C307" s="64" t="s">
        <v>68</v>
      </c>
      <c r="D307" s="11" t="s">
        <v>7</v>
      </c>
      <c r="E307" s="72" t="s">
        <v>2818</v>
      </c>
      <c r="F307" s="60" t="s">
        <v>98</v>
      </c>
      <c r="G307" s="49" t="s">
        <v>2</v>
      </c>
      <c r="H307" s="11"/>
      <c r="I307" t="str">
        <f>IFERROR(HYPERLINK("#Main!A"&amp;MATCH(A307,Main!A:A,0),"Open"),HYPERLINK("#Main!A1","Open"))</f>
        <v>Open</v>
      </c>
      <c r="J307" t="str">
        <f t="shared" ca="1" si="4"/>
        <v>Open</v>
      </c>
    </row>
    <row r="308" spans="1:11" ht="30" customHeight="1" x14ac:dyDescent="0.25">
      <c r="A308" s="59" t="s">
        <v>559</v>
      </c>
      <c r="B308" s="48" t="s">
        <v>874</v>
      </c>
      <c r="C308" s="64" t="s">
        <v>68</v>
      </c>
      <c r="D308" s="8" t="s">
        <v>9</v>
      </c>
      <c r="E308" s="71" t="s">
        <v>2819</v>
      </c>
      <c r="F308" s="60" t="s">
        <v>98</v>
      </c>
      <c r="G308" s="49" t="s">
        <v>2</v>
      </c>
      <c r="H308" s="8"/>
      <c r="I308" s="9" t="str">
        <f>IFERROR(HYPERLINK("#Main!A"&amp;MATCH(A308,Main!A:A,0),"Open"),HYPERLINK("#Main!A1","Open"))</f>
        <v>Open</v>
      </c>
      <c r="J308" s="9" t="str">
        <f t="shared" ca="1" si="4"/>
        <v>Open</v>
      </c>
      <c r="K308" s="9"/>
    </row>
    <row r="309" spans="1:11" ht="30" customHeight="1" x14ac:dyDescent="0.25">
      <c r="A309" s="58" t="s">
        <v>559</v>
      </c>
      <c r="B309" s="42" t="s">
        <v>877</v>
      </c>
      <c r="C309" s="64" t="s">
        <v>68</v>
      </c>
      <c r="D309" s="11" t="s">
        <v>7</v>
      </c>
      <c r="E309" s="72" t="s">
        <v>2820</v>
      </c>
      <c r="F309" s="60" t="s">
        <v>98</v>
      </c>
      <c r="G309" s="49" t="s">
        <v>2</v>
      </c>
      <c r="H309" s="11"/>
      <c r="I309" t="str">
        <f>IFERROR(HYPERLINK("#Main!A"&amp;MATCH(A309,Main!A:A,0),"Open"),HYPERLINK("#Main!A1","Open"))</f>
        <v>Open</v>
      </c>
      <c r="J309" t="str">
        <f t="shared" ca="1" si="4"/>
        <v>Open</v>
      </c>
    </row>
    <row r="310" spans="1:11" ht="30" customHeight="1" x14ac:dyDescent="0.25">
      <c r="A310" s="59" t="s">
        <v>559</v>
      </c>
      <c r="B310" s="48" t="s">
        <v>880</v>
      </c>
      <c r="C310" s="64" t="s">
        <v>68</v>
      </c>
      <c r="D310" s="8" t="s">
        <v>7</v>
      </c>
      <c r="E310" s="71" t="s">
        <v>2821</v>
      </c>
      <c r="F310" s="60" t="s">
        <v>98</v>
      </c>
      <c r="G310" s="49" t="s">
        <v>2</v>
      </c>
      <c r="H310" s="8"/>
      <c r="I310" s="9" t="str">
        <f>IFERROR(HYPERLINK("#Main!A"&amp;MATCH(A310,Main!A:A,0),"Open"),HYPERLINK("#Main!A1","Open"))</f>
        <v>Open</v>
      </c>
      <c r="J310" s="9" t="str">
        <f t="shared" ca="1" si="4"/>
        <v>Open</v>
      </c>
      <c r="K310" s="9"/>
    </row>
    <row r="311" spans="1:11" ht="30" customHeight="1" x14ac:dyDescent="0.25">
      <c r="A311" s="58" t="s">
        <v>559</v>
      </c>
      <c r="B311" s="42" t="s">
        <v>883</v>
      </c>
      <c r="C311" s="64" t="s">
        <v>68</v>
      </c>
      <c r="D311" s="11" t="s">
        <v>7</v>
      </c>
      <c r="E311" s="72" t="s">
        <v>2822</v>
      </c>
      <c r="F311" s="60" t="s">
        <v>98</v>
      </c>
      <c r="G311" s="49" t="s">
        <v>2</v>
      </c>
      <c r="H311" s="11"/>
      <c r="I311" t="str">
        <f>IFERROR(HYPERLINK("#Main!A"&amp;MATCH(A311,Main!A:A,0),"Open"),HYPERLINK("#Main!A1","Open"))</f>
        <v>Open</v>
      </c>
      <c r="J311" t="str">
        <f t="shared" ca="1" si="4"/>
        <v>Open</v>
      </c>
    </row>
    <row r="312" spans="1:11" ht="30" customHeight="1" x14ac:dyDescent="0.25">
      <c r="A312" s="59" t="s">
        <v>393</v>
      </c>
      <c r="B312" s="48" t="s">
        <v>858</v>
      </c>
      <c r="C312" s="61" t="s">
        <v>67</v>
      </c>
      <c r="D312" s="8" t="s">
        <v>9</v>
      </c>
      <c r="E312" s="71" t="s">
        <v>2823</v>
      </c>
      <c r="F312" s="60" t="s">
        <v>98</v>
      </c>
      <c r="G312" s="49" t="s">
        <v>2</v>
      </c>
      <c r="H312" s="8"/>
      <c r="I312" s="9" t="str">
        <f>IFERROR(HYPERLINK("#Main!A"&amp;MATCH(A312,Main!A:A,0),"Open"),HYPERLINK("#Main!A1","Open"))</f>
        <v>Open</v>
      </c>
      <c r="J312" s="9" t="str">
        <f t="shared" ca="1" si="4"/>
        <v>Open</v>
      </c>
      <c r="K312" s="9"/>
    </row>
    <row r="313" spans="1:11" ht="30" customHeight="1" x14ac:dyDescent="0.25">
      <c r="A313" s="58" t="s">
        <v>393</v>
      </c>
      <c r="B313" s="42" t="s">
        <v>102</v>
      </c>
      <c r="C313" s="64" t="s">
        <v>68</v>
      </c>
      <c r="D313" s="11" t="s">
        <v>7</v>
      </c>
      <c r="E313" s="72" t="s">
        <v>2824</v>
      </c>
      <c r="F313" s="57" t="s">
        <v>825</v>
      </c>
      <c r="G313" s="49" t="s">
        <v>2</v>
      </c>
      <c r="H313" s="11"/>
      <c r="I313" t="str">
        <f>IFERROR(HYPERLINK("#Main!A"&amp;MATCH(A313,Main!A:A,0),"Open"),HYPERLINK("#Main!A1","Open"))</f>
        <v>Open</v>
      </c>
      <c r="J313" t="str">
        <f t="shared" ca="1" si="4"/>
        <v>Open</v>
      </c>
    </row>
    <row r="314" spans="1:11" ht="30" customHeight="1" x14ac:dyDescent="0.25">
      <c r="A314" s="59" t="s">
        <v>393</v>
      </c>
      <c r="B314" s="48" t="s">
        <v>872</v>
      </c>
      <c r="C314" s="64" t="s">
        <v>68</v>
      </c>
      <c r="D314" s="8" t="s">
        <v>7</v>
      </c>
      <c r="E314" s="71" t="s">
        <v>2825</v>
      </c>
      <c r="F314" s="57" t="s">
        <v>825</v>
      </c>
      <c r="G314" s="49" t="s">
        <v>2</v>
      </c>
      <c r="H314" s="8"/>
      <c r="I314" s="9" t="str">
        <f>IFERROR(HYPERLINK("#Main!A"&amp;MATCH(A314,Main!A:A,0),"Open"),HYPERLINK("#Main!A1","Open"))</f>
        <v>Open</v>
      </c>
      <c r="J314" s="9" t="str">
        <f t="shared" ca="1" si="4"/>
        <v>Open</v>
      </c>
      <c r="K314" s="9"/>
    </row>
    <row r="315" spans="1:11" ht="30" customHeight="1" x14ac:dyDescent="0.25">
      <c r="A315" s="58" t="s">
        <v>393</v>
      </c>
      <c r="B315" s="42" t="s">
        <v>873</v>
      </c>
      <c r="C315" s="64" t="s">
        <v>68</v>
      </c>
      <c r="D315" s="11" t="s">
        <v>7</v>
      </c>
      <c r="E315" s="72" t="s">
        <v>2826</v>
      </c>
      <c r="F315" s="57" t="s">
        <v>825</v>
      </c>
      <c r="G315" s="49" t="s">
        <v>2</v>
      </c>
      <c r="H315" s="11"/>
      <c r="I315" t="str">
        <f>IFERROR(HYPERLINK("#Main!A"&amp;MATCH(A315,Main!A:A,0),"Open"),HYPERLINK("#Main!A1","Open"))</f>
        <v>Open</v>
      </c>
      <c r="J315" t="str">
        <f t="shared" ca="1" si="4"/>
        <v>Open</v>
      </c>
    </row>
    <row r="316" spans="1:11" ht="30" customHeight="1" x14ac:dyDescent="0.25">
      <c r="A316" s="59" t="s">
        <v>393</v>
      </c>
      <c r="B316" s="48" t="s">
        <v>874</v>
      </c>
      <c r="C316" s="64" t="s">
        <v>68</v>
      </c>
      <c r="D316" s="8" t="s">
        <v>9</v>
      </c>
      <c r="E316" s="71" t="s">
        <v>2827</v>
      </c>
      <c r="F316" s="60" t="s">
        <v>98</v>
      </c>
      <c r="G316" s="49" t="s">
        <v>2</v>
      </c>
      <c r="H316" s="8"/>
      <c r="I316" s="9" t="str">
        <f>IFERROR(HYPERLINK("#Main!A"&amp;MATCH(A316,Main!A:A,0),"Open"),HYPERLINK("#Main!A1","Open"))</f>
        <v>Open</v>
      </c>
      <c r="J316" s="9" t="str">
        <f t="shared" ca="1" si="4"/>
        <v>Open</v>
      </c>
      <c r="K316" s="9"/>
    </row>
    <row r="317" spans="1:11" ht="30" customHeight="1" x14ac:dyDescent="0.25">
      <c r="A317" s="58" t="s">
        <v>393</v>
      </c>
      <c r="B317" s="42" t="s">
        <v>877</v>
      </c>
      <c r="C317" s="64" t="s">
        <v>68</v>
      </c>
      <c r="D317" s="11" t="s">
        <v>7</v>
      </c>
      <c r="E317" s="72" t="s">
        <v>2828</v>
      </c>
      <c r="F317" s="60" t="s">
        <v>98</v>
      </c>
      <c r="G317" s="49" t="s">
        <v>2</v>
      </c>
      <c r="H317" s="11"/>
      <c r="I317" t="str">
        <f>IFERROR(HYPERLINK("#Main!A"&amp;MATCH(A317,Main!A:A,0),"Open"),HYPERLINK("#Main!A1","Open"))</f>
        <v>Open</v>
      </c>
      <c r="J317" t="str">
        <f t="shared" ca="1" si="4"/>
        <v>Open</v>
      </c>
    </row>
    <row r="318" spans="1:11" ht="30" customHeight="1" x14ac:dyDescent="0.25">
      <c r="A318" s="59" t="s">
        <v>393</v>
      </c>
      <c r="B318" s="48" t="s">
        <v>880</v>
      </c>
      <c r="C318" s="64" t="s">
        <v>68</v>
      </c>
      <c r="D318" s="8" t="s">
        <v>7</v>
      </c>
      <c r="E318" s="71" t="s">
        <v>2829</v>
      </c>
      <c r="F318" s="60" t="s">
        <v>98</v>
      </c>
      <c r="G318" s="49" t="s">
        <v>2</v>
      </c>
      <c r="H318" s="8"/>
      <c r="I318" s="9" t="str">
        <f>IFERROR(HYPERLINK("#Main!A"&amp;MATCH(A318,Main!A:A,0),"Open"),HYPERLINK("#Main!A1","Open"))</f>
        <v>Open</v>
      </c>
      <c r="J318" s="9" t="str">
        <f t="shared" ca="1" si="4"/>
        <v>Open</v>
      </c>
      <c r="K318" s="9"/>
    </row>
    <row r="319" spans="1:11" ht="30" customHeight="1" x14ac:dyDescent="0.25">
      <c r="A319" s="58" t="s">
        <v>393</v>
      </c>
      <c r="B319" s="42" t="s">
        <v>883</v>
      </c>
      <c r="C319" s="64" t="s">
        <v>68</v>
      </c>
      <c r="D319" s="11" t="s">
        <v>7</v>
      </c>
      <c r="E319" s="72" t="s">
        <v>2830</v>
      </c>
      <c r="F319" s="60" t="s">
        <v>98</v>
      </c>
      <c r="G319" s="49" t="s">
        <v>2</v>
      </c>
      <c r="H319" s="11"/>
      <c r="I319" t="str">
        <f>IFERROR(HYPERLINK("#Main!A"&amp;MATCH(A319,Main!A:A,0),"Open"),HYPERLINK("#Main!A1","Open"))</f>
        <v>Open</v>
      </c>
      <c r="J319" t="str">
        <f t="shared" ca="1" si="4"/>
        <v>Open</v>
      </c>
    </row>
    <row r="320" spans="1:11" ht="30" customHeight="1" x14ac:dyDescent="0.25">
      <c r="A320" s="59" t="s">
        <v>566</v>
      </c>
      <c r="B320" s="48" t="s">
        <v>858</v>
      </c>
      <c r="C320" s="61" t="s">
        <v>67</v>
      </c>
      <c r="D320" s="8" t="s">
        <v>9</v>
      </c>
      <c r="E320" s="71" t="s">
        <v>2831</v>
      </c>
      <c r="F320" s="60" t="s">
        <v>98</v>
      </c>
      <c r="G320" s="49" t="s">
        <v>2</v>
      </c>
      <c r="H320" s="8"/>
      <c r="I320" s="9" t="str">
        <f>IFERROR(HYPERLINK("#Main!A"&amp;MATCH(A320,Main!A:A,0),"Open"),HYPERLINK("#Main!A1","Open"))</f>
        <v>Open</v>
      </c>
      <c r="J320" s="9" t="str">
        <f t="shared" ca="1" si="4"/>
        <v>Open</v>
      </c>
      <c r="K320" s="9"/>
    </row>
    <row r="321" spans="1:11" ht="30" customHeight="1" x14ac:dyDescent="0.25">
      <c r="A321" s="58" t="s">
        <v>566</v>
      </c>
      <c r="B321" s="42" t="s">
        <v>102</v>
      </c>
      <c r="C321" s="64" t="s">
        <v>68</v>
      </c>
      <c r="D321" s="11" t="s">
        <v>7</v>
      </c>
      <c r="E321" s="72" t="s">
        <v>2832</v>
      </c>
      <c r="F321" s="57" t="s">
        <v>825</v>
      </c>
      <c r="G321" s="49" t="s">
        <v>2</v>
      </c>
      <c r="H321" s="11"/>
      <c r="I321" t="str">
        <f>IFERROR(HYPERLINK("#Main!A"&amp;MATCH(A321,Main!A:A,0),"Open"),HYPERLINK("#Main!A1","Open"))</f>
        <v>Open</v>
      </c>
      <c r="J321" t="str">
        <f t="shared" ca="1" si="4"/>
        <v>Open</v>
      </c>
    </row>
    <row r="322" spans="1:11" ht="30" customHeight="1" x14ac:dyDescent="0.25">
      <c r="A322" s="59" t="s">
        <v>566</v>
      </c>
      <c r="B322" s="48" t="s">
        <v>872</v>
      </c>
      <c r="C322" s="64" t="s">
        <v>68</v>
      </c>
      <c r="D322" s="8" t="s">
        <v>7</v>
      </c>
      <c r="E322" s="71" t="s">
        <v>2833</v>
      </c>
      <c r="F322" s="57" t="s">
        <v>825</v>
      </c>
      <c r="G322" s="49" t="s">
        <v>2</v>
      </c>
      <c r="H322" s="8"/>
      <c r="I322" s="9" t="str">
        <f>IFERROR(HYPERLINK("#Main!A"&amp;MATCH(A322,Main!A:A,0),"Open"),HYPERLINK("#Main!A1","Open"))</f>
        <v>Open</v>
      </c>
      <c r="J322" s="9" t="str">
        <f t="shared" ref="J322:J385" ca="1" si="5">IFERROR(HYPERLINK("#"&amp;D322&amp;"!A"&amp;MATCH(A322,INDIRECT("'"&amp;D322&amp;"'!A:A"),0),"Open"),HYPERLINK("#"&amp;D322&amp;"!A1","Open"))</f>
        <v>Open</v>
      </c>
      <c r="K322" s="9"/>
    </row>
    <row r="323" spans="1:11" ht="30" customHeight="1" x14ac:dyDescent="0.25">
      <c r="A323" s="58" t="s">
        <v>566</v>
      </c>
      <c r="B323" s="42" t="s">
        <v>873</v>
      </c>
      <c r="C323" s="64" t="s">
        <v>68</v>
      </c>
      <c r="D323" s="11" t="s">
        <v>7</v>
      </c>
      <c r="E323" s="72" t="s">
        <v>2834</v>
      </c>
      <c r="F323" s="57" t="s">
        <v>825</v>
      </c>
      <c r="G323" s="49" t="s">
        <v>2</v>
      </c>
      <c r="H323" s="11"/>
      <c r="I323" t="str">
        <f>IFERROR(HYPERLINK("#Main!A"&amp;MATCH(A323,Main!A:A,0),"Open"),HYPERLINK("#Main!A1","Open"))</f>
        <v>Open</v>
      </c>
      <c r="J323" t="str">
        <f t="shared" ca="1" si="5"/>
        <v>Open</v>
      </c>
    </row>
    <row r="324" spans="1:11" ht="30" customHeight="1" x14ac:dyDescent="0.25">
      <c r="A324" s="59" t="s">
        <v>566</v>
      </c>
      <c r="B324" s="48" t="s">
        <v>874</v>
      </c>
      <c r="C324" s="64" t="s">
        <v>68</v>
      </c>
      <c r="D324" s="8" t="s">
        <v>9</v>
      </c>
      <c r="E324" s="71" t="s">
        <v>2835</v>
      </c>
      <c r="F324" s="60" t="s">
        <v>98</v>
      </c>
      <c r="G324" s="49" t="s">
        <v>2</v>
      </c>
      <c r="H324" s="8"/>
      <c r="I324" s="9" t="str">
        <f>IFERROR(HYPERLINK("#Main!A"&amp;MATCH(A324,Main!A:A,0),"Open"),HYPERLINK("#Main!A1","Open"))</f>
        <v>Open</v>
      </c>
      <c r="J324" s="9" t="str">
        <f t="shared" ca="1" si="5"/>
        <v>Open</v>
      </c>
      <c r="K324" s="9"/>
    </row>
    <row r="325" spans="1:11" ht="30" customHeight="1" x14ac:dyDescent="0.25">
      <c r="A325" s="58" t="s">
        <v>566</v>
      </c>
      <c r="B325" s="42" t="s">
        <v>877</v>
      </c>
      <c r="C325" s="64" t="s">
        <v>68</v>
      </c>
      <c r="D325" s="11" t="s">
        <v>7</v>
      </c>
      <c r="E325" s="72" t="s">
        <v>2836</v>
      </c>
      <c r="F325" s="60" t="s">
        <v>98</v>
      </c>
      <c r="G325" s="49" t="s">
        <v>2</v>
      </c>
      <c r="H325" s="11"/>
      <c r="I325" t="str">
        <f>IFERROR(HYPERLINK("#Main!A"&amp;MATCH(A325,Main!A:A,0),"Open"),HYPERLINK("#Main!A1","Open"))</f>
        <v>Open</v>
      </c>
      <c r="J325" t="str">
        <f t="shared" ca="1" si="5"/>
        <v>Open</v>
      </c>
    </row>
    <row r="326" spans="1:11" ht="30" customHeight="1" x14ac:dyDescent="0.25">
      <c r="A326" s="59" t="s">
        <v>566</v>
      </c>
      <c r="B326" s="48" t="s">
        <v>880</v>
      </c>
      <c r="C326" s="64" t="s">
        <v>68</v>
      </c>
      <c r="D326" s="8" t="s">
        <v>7</v>
      </c>
      <c r="E326" s="71" t="s">
        <v>2837</v>
      </c>
      <c r="F326" s="60" t="s">
        <v>98</v>
      </c>
      <c r="G326" s="49" t="s">
        <v>2</v>
      </c>
      <c r="H326" s="8"/>
      <c r="I326" s="9" t="str">
        <f>IFERROR(HYPERLINK("#Main!A"&amp;MATCH(A326,Main!A:A,0),"Open"),HYPERLINK("#Main!A1","Open"))</f>
        <v>Open</v>
      </c>
      <c r="J326" s="9" t="str">
        <f t="shared" ca="1" si="5"/>
        <v>Open</v>
      </c>
      <c r="K326" s="9"/>
    </row>
    <row r="327" spans="1:11" ht="30" customHeight="1" x14ac:dyDescent="0.25">
      <c r="A327" s="58" t="s">
        <v>566</v>
      </c>
      <c r="B327" s="42" t="s">
        <v>883</v>
      </c>
      <c r="C327" s="64" t="s">
        <v>68</v>
      </c>
      <c r="D327" s="11" t="s">
        <v>7</v>
      </c>
      <c r="E327" s="72" t="s">
        <v>2838</v>
      </c>
      <c r="F327" s="60" t="s">
        <v>98</v>
      </c>
      <c r="G327" s="49" t="s">
        <v>2</v>
      </c>
      <c r="H327" s="11"/>
      <c r="I327" t="str">
        <f>IFERROR(HYPERLINK("#Main!A"&amp;MATCH(A327,Main!A:A,0),"Open"),HYPERLINK("#Main!A1","Open"))</f>
        <v>Open</v>
      </c>
      <c r="J327" t="str">
        <f t="shared" ca="1" si="5"/>
        <v>Open</v>
      </c>
    </row>
    <row r="328" spans="1:11" ht="45" customHeight="1" x14ac:dyDescent="0.25">
      <c r="A328" s="59" t="s">
        <v>377</v>
      </c>
      <c r="B328" s="48" t="s">
        <v>858</v>
      </c>
      <c r="C328" s="61" t="s">
        <v>67</v>
      </c>
      <c r="D328" s="8" t="s">
        <v>9</v>
      </c>
      <c r="E328" s="71" t="s">
        <v>2839</v>
      </c>
      <c r="F328" s="60" t="s">
        <v>98</v>
      </c>
      <c r="G328" s="49" t="s">
        <v>2</v>
      </c>
      <c r="H328" s="8"/>
      <c r="I328" s="9" t="str">
        <f>IFERROR(HYPERLINK("#Main!A"&amp;MATCH(A328,Main!A:A,0),"Open"),HYPERLINK("#Main!A1","Open"))</f>
        <v>Open</v>
      </c>
      <c r="J328" s="9" t="str">
        <f t="shared" ca="1" si="5"/>
        <v>Open</v>
      </c>
      <c r="K328" s="9"/>
    </row>
    <row r="329" spans="1:11" ht="45" customHeight="1" x14ac:dyDescent="0.25">
      <c r="A329" s="58" t="s">
        <v>377</v>
      </c>
      <c r="B329" s="42" t="s">
        <v>102</v>
      </c>
      <c r="C329" s="64" t="s">
        <v>68</v>
      </c>
      <c r="D329" s="11" t="s">
        <v>7</v>
      </c>
      <c r="E329" s="72" t="s">
        <v>2840</v>
      </c>
      <c r="F329" s="57" t="s">
        <v>825</v>
      </c>
      <c r="G329" s="49" t="s">
        <v>2</v>
      </c>
      <c r="H329" s="11"/>
      <c r="I329" t="str">
        <f>IFERROR(HYPERLINK("#Main!A"&amp;MATCH(A329,Main!A:A,0),"Open"),HYPERLINK("#Main!A1","Open"))</f>
        <v>Open</v>
      </c>
      <c r="J329" t="str">
        <f t="shared" ca="1" si="5"/>
        <v>Open</v>
      </c>
    </row>
    <row r="330" spans="1:11" ht="45" customHeight="1" x14ac:dyDescent="0.25">
      <c r="A330" s="59" t="s">
        <v>377</v>
      </c>
      <c r="B330" s="48" t="s">
        <v>872</v>
      </c>
      <c r="C330" s="64" t="s">
        <v>68</v>
      </c>
      <c r="D330" s="8" t="s">
        <v>7</v>
      </c>
      <c r="E330" s="71" t="s">
        <v>2841</v>
      </c>
      <c r="F330" s="57" t="s">
        <v>825</v>
      </c>
      <c r="G330" s="49" t="s">
        <v>2</v>
      </c>
      <c r="H330" s="8"/>
      <c r="I330" s="9" t="str">
        <f>IFERROR(HYPERLINK("#Main!A"&amp;MATCH(A330,Main!A:A,0),"Open"),HYPERLINK("#Main!A1","Open"))</f>
        <v>Open</v>
      </c>
      <c r="J330" s="9" t="str">
        <f t="shared" ca="1" si="5"/>
        <v>Open</v>
      </c>
      <c r="K330" s="9"/>
    </row>
    <row r="331" spans="1:11" ht="45" customHeight="1" x14ac:dyDescent="0.25">
      <c r="A331" s="58" t="s">
        <v>377</v>
      </c>
      <c r="B331" s="42" t="s">
        <v>873</v>
      </c>
      <c r="C331" s="64" t="s">
        <v>68</v>
      </c>
      <c r="D331" s="11" t="s">
        <v>7</v>
      </c>
      <c r="E331" s="72" t="s">
        <v>2842</v>
      </c>
      <c r="F331" s="57" t="s">
        <v>825</v>
      </c>
      <c r="G331" s="49" t="s">
        <v>2</v>
      </c>
      <c r="H331" s="11"/>
      <c r="I331" t="str">
        <f>IFERROR(HYPERLINK("#Main!A"&amp;MATCH(A331,Main!A:A,0),"Open"),HYPERLINK("#Main!A1","Open"))</f>
        <v>Open</v>
      </c>
      <c r="J331" t="str">
        <f t="shared" ca="1" si="5"/>
        <v>Open</v>
      </c>
    </row>
    <row r="332" spans="1:11" ht="45" customHeight="1" x14ac:dyDescent="0.25">
      <c r="A332" s="59" t="s">
        <v>377</v>
      </c>
      <c r="B332" s="48" t="s">
        <v>884</v>
      </c>
      <c r="C332" s="64" t="s">
        <v>68</v>
      </c>
      <c r="D332" s="8" t="s">
        <v>7</v>
      </c>
      <c r="E332" s="71" t="s">
        <v>2843</v>
      </c>
      <c r="F332" s="60" t="s">
        <v>98</v>
      </c>
      <c r="G332" s="49" t="s">
        <v>2</v>
      </c>
      <c r="H332" s="8"/>
      <c r="I332" s="9" t="str">
        <f>IFERROR(HYPERLINK("#Main!A"&amp;MATCH(A332,Main!A:A,0),"Open"),HYPERLINK("#Main!A1","Open"))</f>
        <v>Open</v>
      </c>
      <c r="J332" s="9" t="str">
        <f t="shared" ca="1" si="5"/>
        <v>Open</v>
      </c>
      <c r="K332" s="9"/>
    </row>
    <row r="333" spans="1:11" ht="45" customHeight="1" x14ac:dyDescent="0.25">
      <c r="A333" s="58" t="s">
        <v>377</v>
      </c>
      <c r="B333" s="42" t="s">
        <v>874</v>
      </c>
      <c r="C333" s="64" t="s">
        <v>68</v>
      </c>
      <c r="D333" s="11" t="s">
        <v>9</v>
      </c>
      <c r="E333" s="72" t="s">
        <v>2844</v>
      </c>
      <c r="F333" s="60" t="s">
        <v>98</v>
      </c>
      <c r="G333" s="49" t="s">
        <v>2</v>
      </c>
      <c r="H333" s="11"/>
      <c r="I333" t="str">
        <f>IFERROR(HYPERLINK("#Main!A"&amp;MATCH(A333,Main!A:A,0),"Open"),HYPERLINK("#Main!A1","Open"))</f>
        <v>Open</v>
      </c>
      <c r="J333" t="str">
        <f t="shared" ca="1" si="5"/>
        <v>Open</v>
      </c>
    </row>
    <row r="334" spans="1:11" ht="45" customHeight="1" x14ac:dyDescent="0.25">
      <c r="A334" s="59" t="s">
        <v>377</v>
      </c>
      <c r="B334" s="48" t="s">
        <v>877</v>
      </c>
      <c r="C334" s="64" t="s">
        <v>68</v>
      </c>
      <c r="D334" s="8" t="s">
        <v>7</v>
      </c>
      <c r="E334" s="71" t="s">
        <v>2845</v>
      </c>
      <c r="F334" s="60" t="s">
        <v>98</v>
      </c>
      <c r="G334" s="49" t="s">
        <v>2</v>
      </c>
      <c r="H334" s="8"/>
      <c r="I334" s="9" t="str">
        <f>IFERROR(HYPERLINK("#Main!A"&amp;MATCH(A334,Main!A:A,0),"Open"),HYPERLINK("#Main!A1","Open"))</f>
        <v>Open</v>
      </c>
      <c r="J334" s="9" t="str">
        <f t="shared" ca="1" si="5"/>
        <v>Open</v>
      </c>
      <c r="K334" s="9"/>
    </row>
    <row r="335" spans="1:11" ht="45" customHeight="1" x14ac:dyDescent="0.25">
      <c r="A335" s="58" t="s">
        <v>377</v>
      </c>
      <c r="B335" s="42" t="s">
        <v>880</v>
      </c>
      <c r="C335" s="64" t="s">
        <v>68</v>
      </c>
      <c r="D335" s="11" t="s">
        <v>7</v>
      </c>
      <c r="E335" s="72" t="s">
        <v>2846</v>
      </c>
      <c r="F335" s="60" t="s">
        <v>98</v>
      </c>
      <c r="G335" s="49" t="s">
        <v>2</v>
      </c>
      <c r="H335" s="11"/>
      <c r="I335" t="str">
        <f>IFERROR(HYPERLINK("#Main!A"&amp;MATCH(A335,Main!A:A,0),"Open"),HYPERLINK("#Main!A1","Open"))</f>
        <v>Open</v>
      </c>
      <c r="J335" t="str">
        <f t="shared" ca="1" si="5"/>
        <v>Open</v>
      </c>
    </row>
    <row r="336" spans="1:11" ht="45" customHeight="1" x14ac:dyDescent="0.25">
      <c r="A336" s="59" t="s">
        <v>377</v>
      </c>
      <c r="B336" s="48" t="s">
        <v>883</v>
      </c>
      <c r="C336" s="64" t="s">
        <v>68</v>
      </c>
      <c r="D336" s="8" t="s">
        <v>7</v>
      </c>
      <c r="E336" s="71" t="s">
        <v>2847</v>
      </c>
      <c r="F336" s="60" t="s">
        <v>98</v>
      </c>
      <c r="G336" s="49" t="s">
        <v>2</v>
      </c>
      <c r="H336" s="8"/>
      <c r="I336" s="9" t="str">
        <f>IFERROR(HYPERLINK("#Main!A"&amp;MATCH(A336,Main!A:A,0),"Open"),HYPERLINK("#Main!A1","Open"))</f>
        <v>Open</v>
      </c>
      <c r="J336" s="9" t="str">
        <f t="shared" ca="1" si="5"/>
        <v>Open</v>
      </c>
      <c r="K336" s="9"/>
    </row>
    <row r="337" spans="1:11" ht="30" customHeight="1" x14ac:dyDescent="0.25">
      <c r="A337" s="58" t="s">
        <v>385</v>
      </c>
      <c r="B337" s="42" t="s">
        <v>858</v>
      </c>
      <c r="C337" s="61" t="s">
        <v>67</v>
      </c>
      <c r="D337" s="11" t="s">
        <v>9</v>
      </c>
      <c r="E337" s="72" t="s">
        <v>2848</v>
      </c>
      <c r="F337" s="60" t="s">
        <v>98</v>
      </c>
      <c r="G337" s="49" t="s">
        <v>2</v>
      </c>
      <c r="H337" s="11"/>
      <c r="I337" t="str">
        <f>IFERROR(HYPERLINK("#Main!A"&amp;MATCH(A337,Main!A:A,0),"Open"),HYPERLINK("#Main!A1","Open"))</f>
        <v>Open</v>
      </c>
      <c r="J337" t="str">
        <f t="shared" ca="1" si="5"/>
        <v>Open</v>
      </c>
    </row>
    <row r="338" spans="1:11" ht="30" customHeight="1" x14ac:dyDescent="0.25">
      <c r="A338" s="59" t="s">
        <v>385</v>
      </c>
      <c r="B338" s="48" t="s">
        <v>102</v>
      </c>
      <c r="C338" s="64" t="s">
        <v>68</v>
      </c>
      <c r="D338" s="8" t="s">
        <v>7</v>
      </c>
      <c r="E338" s="71" t="s">
        <v>2849</v>
      </c>
      <c r="F338" s="57" t="s">
        <v>825</v>
      </c>
      <c r="G338" s="49" t="s">
        <v>2</v>
      </c>
      <c r="H338" s="8"/>
      <c r="I338" s="9" t="str">
        <f>IFERROR(HYPERLINK("#Main!A"&amp;MATCH(A338,Main!A:A,0),"Open"),HYPERLINK("#Main!A1","Open"))</f>
        <v>Open</v>
      </c>
      <c r="J338" s="9" t="str">
        <f t="shared" ca="1" si="5"/>
        <v>Open</v>
      </c>
      <c r="K338" s="9"/>
    </row>
    <row r="339" spans="1:11" ht="30" customHeight="1" x14ac:dyDescent="0.25">
      <c r="A339" s="58" t="s">
        <v>385</v>
      </c>
      <c r="B339" s="42" t="s">
        <v>872</v>
      </c>
      <c r="C339" s="64" t="s">
        <v>68</v>
      </c>
      <c r="D339" s="11" t="s">
        <v>7</v>
      </c>
      <c r="E339" s="72" t="s">
        <v>2850</v>
      </c>
      <c r="F339" s="57" t="s">
        <v>825</v>
      </c>
      <c r="G339" s="49" t="s">
        <v>2</v>
      </c>
      <c r="H339" s="11"/>
      <c r="I339" t="str">
        <f>IFERROR(HYPERLINK("#Main!A"&amp;MATCH(A339,Main!A:A,0),"Open"),HYPERLINK("#Main!A1","Open"))</f>
        <v>Open</v>
      </c>
      <c r="J339" t="str">
        <f t="shared" ca="1" si="5"/>
        <v>Open</v>
      </c>
    </row>
    <row r="340" spans="1:11" ht="30" customHeight="1" x14ac:dyDescent="0.25">
      <c r="A340" s="59" t="s">
        <v>385</v>
      </c>
      <c r="B340" s="48" t="s">
        <v>873</v>
      </c>
      <c r="C340" s="64" t="s">
        <v>68</v>
      </c>
      <c r="D340" s="8" t="s">
        <v>7</v>
      </c>
      <c r="E340" s="71" t="s">
        <v>2851</v>
      </c>
      <c r="F340" s="57" t="s">
        <v>825</v>
      </c>
      <c r="G340" s="49" t="s">
        <v>2</v>
      </c>
      <c r="H340" s="8"/>
      <c r="I340" s="9" t="str">
        <f>IFERROR(HYPERLINK("#Main!A"&amp;MATCH(A340,Main!A:A,0),"Open"),HYPERLINK("#Main!A1","Open"))</f>
        <v>Open</v>
      </c>
      <c r="J340" s="9" t="str">
        <f t="shared" ca="1" si="5"/>
        <v>Open</v>
      </c>
      <c r="K340" s="9"/>
    </row>
    <row r="341" spans="1:11" ht="30" customHeight="1" x14ac:dyDescent="0.25">
      <c r="A341" s="58" t="s">
        <v>385</v>
      </c>
      <c r="B341" s="42" t="s">
        <v>874</v>
      </c>
      <c r="C341" s="64" t="s">
        <v>68</v>
      </c>
      <c r="D341" s="11" t="s">
        <v>9</v>
      </c>
      <c r="E341" s="72" t="s">
        <v>2852</v>
      </c>
      <c r="F341" s="60" t="s">
        <v>98</v>
      </c>
      <c r="G341" s="49" t="s">
        <v>2</v>
      </c>
      <c r="H341" s="11"/>
      <c r="I341" t="str">
        <f>IFERROR(HYPERLINK("#Main!A"&amp;MATCH(A341,Main!A:A,0),"Open"),HYPERLINK("#Main!A1","Open"))</f>
        <v>Open</v>
      </c>
      <c r="J341" t="str">
        <f t="shared" ca="1" si="5"/>
        <v>Open</v>
      </c>
    </row>
    <row r="342" spans="1:11" ht="30" customHeight="1" x14ac:dyDescent="0.25">
      <c r="A342" s="59" t="s">
        <v>385</v>
      </c>
      <c r="B342" s="48" t="s">
        <v>877</v>
      </c>
      <c r="C342" s="64" t="s">
        <v>68</v>
      </c>
      <c r="D342" s="8" t="s">
        <v>7</v>
      </c>
      <c r="E342" s="71" t="s">
        <v>2853</v>
      </c>
      <c r="F342" s="60" t="s">
        <v>98</v>
      </c>
      <c r="G342" s="49" t="s">
        <v>2</v>
      </c>
      <c r="H342" s="8"/>
      <c r="I342" s="9" t="str">
        <f>IFERROR(HYPERLINK("#Main!A"&amp;MATCH(A342,Main!A:A,0),"Open"),HYPERLINK("#Main!A1","Open"))</f>
        <v>Open</v>
      </c>
      <c r="J342" s="9" t="str">
        <f t="shared" ca="1" si="5"/>
        <v>Open</v>
      </c>
      <c r="K342" s="9"/>
    </row>
    <row r="343" spans="1:11" ht="30" customHeight="1" x14ac:dyDescent="0.25">
      <c r="A343" s="58" t="s">
        <v>385</v>
      </c>
      <c r="B343" s="42" t="s">
        <v>880</v>
      </c>
      <c r="C343" s="64" t="s">
        <v>68</v>
      </c>
      <c r="D343" s="11" t="s">
        <v>7</v>
      </c>
      <c r="E343" s="72" t="s">
        <v>2854</v>
      </c>
      <c r="F343" s="60" t="s">
        <v>98</v>
      </c>
      <c r="G343" s="49" t="s">
        <v>2</v>
      </c>
      <c r="H343" s="11"/>
      <c r="I343" t="str">
        <f>IFERROR(HYPERLINK("#Main!A"&amp;MATCH(A343,Main!A:A,0),"Open"),HYPERLINK("#Main!A1","Open"))</f>
        <v>Open</v>
      </c>
      <c r="J343" t="str">
        <f t="shared" ca="1" si="5"/>
        <v>Open</v>
      </c>
    </row>
    <row r="344" spans="1:11" ht="30" customHeight="1" x14ac:dyDescent="0.25">
      <c r="A344" s="59" t="s">
        <v>385</v>
      </c>
      <c r="B344" s="48" t="s">
        <v>883</v>
      </c>
      <c r="C344" s="64" t="s">
        <v>68</v>
      </c>
      <c r="D344" s="8" t="s">
        <v>7</v>
      </c>
      <c r="E344" s="71" t="s">
        <v>2855</v>
      </c>
      <c r="F344" s="60" t="s">
        <v>98</v>
      </c>
      <c r="G344" s="49" t="s">
        <v>2</v>
      </c>
      <c r="H344" s="8"/>
      <c r="I344" s="9" t="str">
        <f>IFERROR(HYPERLINK("#Main!A"&amp;MATCH(A344,Main!A:A,0),"Open"),HYPERLINK("#Main!A1","Open"))</f>
        <v>Open</v>
      </c>
      <c r="J344" s="9" t="str">
        <f t="shared" ca="1" si="5"/>
        <v>Open</v>
      </c>
      <c r="K344" s="9"/>
    </row>
    <row r="345" spans="1:11" ht="30" customHeight="1" x14ac:dyDescent="0.25">
      <c r="A345" s="58" t="s">
        <v>358</v>
      </c>
      <c r="B345" s="42" t="s">
        <v>857</v>
      </c>
      <c r="C345" s="61" t="s">
        <v>67</v>
      </c>
      <c r="D345" s="11" t="s">
        <v>7</v>
      </c>
      <c r="E345" s="72" t="s">
        <v>2856</v>
      </c>
      <c r="F345" s="60" t="s">
        <v>98</v>
      </c>
      <c r="G345" s="49" t="s">
        <v>2</v>
      </c>
      <c r="H345" s="11"/>
      <c r="I345" t="str">
        <f>IFERROR(HYPERLINK("#Main!A"&amp;MATCH(A345,Main!A:A,0),"Open"),HYPERLINK("#Main!A1","Open"))</f>
        <v>Open</v>
      </c>
      <c r="J345" t="str">
        <f t="shared" ca="1" si="5"/>
        <v>Open</v>
      </c>
    </row>
    <row r="346" spans="1:11" ht="30" customHeight="1" x14ac:dyDescent="0.25">
      <c r="A346" s="59" t="s">
        <v>358</v>
      </c>
      <c r="B346" s="48" t="s">
        <v>858</v>
      </c>
      <c r="C346" s="61" t="s">
        <v>67</v>
      </c>
      <c r="D346" s="8" t="s">
        <v>9</v>
      </c>
      <c r="E346" s="71" t="s">
        <v>2857</v>
      </c>
      <c r="F346" s="60" t="s">
        <v>98</v>
      </c>
      <c r="G346" s="49" t="s">
        <v>2</v>
      </c>
      <c r="H346" s="8"/>
      <c r="I346" s="9" t="str">
        <f>IFERROR(HYPERLINK("#Main!A"&amp;MATCH(A346,Main!A:A,0),"Open"),HYPERLINK("#Main!A1","Open"))</f>
        <v>Open</v>
      </c>
      <c r="J346" s="9" t="str">
        <f t="shared" ca="1" si="5"/>
        <v>Open</v>
      </c>
      <c r="K346" s="9"/>
    </row>
    <row r="347" spans="1:11" ht="30" customHeight="1" x14ac:dyDescent="0.25">
      <c r="A347" s="58" t="s">
        <v>358</v>
      </c>
      <c r="B347" s="42" t="s">
        <v>102</v>
      </c>
      <c r="C347" s="64" t="s">
        <v>68</v>
      </c>
      <c r="D347" s="11" t="s">
        <v>7</v>
      </c>
      <c r="E347" s="72" t="s">
        <v>2858</v>
      </c>
      <c r="F347" s="57" t="s">
        <v>825</v>
      </c>
      <c r="G347" s="49" t="s">
        <v>2</v>
      </c>
      <c r="H347" s="11"/>
      <c r="I347" t="str">
        <f>IFERROR(HYPERLINK("#Main!A"&amp;MATCH(A347,Main!A:A,0),"Open"),HYPERLINK("#Main!A1","Open"))</f>
        <v>Open</v>
      </c>
      <c r="J347" t="str">
        <f t="shared" ca="1" si="5"/>
        <v>Open</v>
      </c>
    </row>
    <row r="348" spans="1:11" ht="30" customHeight="1" x14ac:dyDescent="0.25">
      <c r="A348" s="59" t="s">
        <v>358</v>
      </c>
      <c r="B348" s="48" t="s">
        <v>872</v>
      </c>
      <c r="C348" s="64" t="s">
        <v>68</v>
      </c>
      <c r="D348" s="8" t="s">
        <v>7</v>
      </c>
      <c r="E348" s="71" t="s">
        <v>2859</v>
      </c>
      <c r="F348" s="57" t="s">
        <v>825</v>
      </c>
      <c r="G348" s="49" t="s">
        <v>2</v>
      </c>
      <c r="H348" s="8"/>
      <c r="I348" s="9" t="str">
        <f>IFERROR(HYPERLINK("#Main!A"&amp;MATCH(A348,Main!A:A,0),"Open"),HYPERLINK("#Main!A1","Open"))</f>
        <v>Open</v>
      </c>
      <c r="J348" s="9" t="str">
        <f t="shared" ca="1" si="5"/>
        <v>Open</v>
      </c>
      <c r="K348" s="9"/>
    </row>
    <row r="349" spans="1:11" ht="30" customHeight="1" x14ac:dyDescent="0.25">
      <c r="A349" s="58" t="s">
        <v>358</v>
      </c>
      <c r="B349" s="42" t="s">
        <v>873</v>
      </c>
      <c r="C349" s="64" t="s">
        <v>68</v>
      </c>
      <c r="D349" s="11" t="s">
        <v>7</v>
      </c>
      <c r="E349" s="72" t="s">
        <v>2860</v>
      </c>
      <c r="F349" s="57" t="s">
        <v>825</v>
      </c>
      <c r="G349" s="49" t="s">
        <v>2</v>
      </c>
      <c r="H349" s="11"/>
      <c r="I349" t="str">
        <f>IFERROR(HYPERLINK("#Main!A"&amp;MATCH(A349,Main!A:A,0),"Open"),HYPERLINK("#Main!A1","Open"))</f>
        <v>Open</v>
      </c>
      <c r="J349" t="str">
        <f t="shared" ca="1" si="5"/>
        <v>Open</v>
      </c>
    </row>
    <row r="350" spans="1:11" ht="30" customHeight="1" x14ac:dyDescent="0.25">
      <c r="A350" s="59" t="s">
        <v>358</v>
      </c>
      <c r="B350" s="48" t="s">
        <v>884</v>
      </c>
      <c r="C350" s="64" t="s">
        <v>68</v>
      </c>
      <c r="D350" s="8" t="s">
        <v>7</v>
      </c>
      <c r="E350" s="71" t="s">
        <v>2861</v>
      </c>
      <c r="F350" s="60" t="s">
        <v>98</v>
      </c>
      <c r="G350" s="49" t="s">
        <v>2</v>
      </c>
      <c r="H350" s="8"/>
      <c r="I350" s="9" t="str">
        <f>IFERROR(HYPERLINK("#Main!A"&amp;MATCH(A350,Main!A:A,0),"Open"),HYPERLINK("#Main!A1","Open"))</f>
        <v>Open</v>
      </c>
      <c r="J350" s="9" t="str">
        <f t="shared" ca="1" si="5"/>
        <v>Open</v>
      </c>
      <c r="K350" s="9"/>
    </row>
    <row r="351" spans="1:11" ht="30" customHeight="1" x14ac:dyDescent="0.25">
      <c r="A351" s="58" t="s">
        <v>358</v>
      </c>
      <c r="B351" s="42" t="s">
        <v>874</v>
      </c>
      <c r="C351" s="64" t="s">
        <v>68</v>
      </c>
      <c r="D351" s="11" t="s">
        <v>9</v>
      </c>
      <c r="E351" s="72" t="s">
        <v>2862</v>
      </c>
      <c r="F351" s="60" t="s">
        <v>98</v>
      </c>
      <c r="G351" s="49" t="s">
        <v>2</v>
      </c>
      <c r="H351" s="11"/>
      <c r="I351" t="str">
        <f>IFERROR(HYPERLINK("#Main!A"&amp;MATCH(A351,Main!A:A,0),"Open"),HYPERLINK("#Main!A1","Open"))</f>
        <v>Open</v>
      </c>
      <c r="J351" t="str">
        <f t="shared" ca="1" si="5"/>
        <v>Open</v>
      </c>
    </row>
    <row r="352" spans="1:11" ht="30" customHeight="1" x14ac:dyDescent="0.25">
      <c r="A352" s="59" t="s">
        <v>358</v>
      </c>
      <c r="B352" s="48" t="s">
        <v>877</v>
      </c>
      <c r="C352" s="64" t="s">
        <v>68</v>
      </c>
      <c r="D352" s="8" t="s">
        <v>7</v>
      </c>
      <c r="E352" s="71" t="s">
        <v>2863</v>
      </c>
      <c r="F352" s="60" t="s">
        <v>98</v>
      </c>
      <c r="G352" s="49" t="s">
        <v>2</v>
      </c>
      <c r="H352" s="8"/>
      <c r="I352" s="9" t="str">
        <f>IFERROR(HYPERLINK("#Main!A"&amp;MATCH(A352,Main!A:A,0),"Open"),HYPERLINK("#Main!A1","Open"))</f>
        <v>Open</v>
      </c>
      <c r="J352" s="9" t="str">
        <f t="shared" ca="1" si="5"/>
        <v>Open</v>
      </c>
      <c r="K352" s="9"/>
    </row>
    <row r="353" spans="1:11" ht="30" customHeight="1" x14ac:dyDescent="0.25">
      <c r="A353" s="58" t="s">
        <v>358</v>
      </c>
      <c r="B353" s="42" t="s">
        <v>880</v>
      </c>
      <c r="C353" s="64" t="s">
        <v>68</v>
      </c>
      <c r="D353" s="11" t="s">
        <v>7</v>
      </c>
      <c r="E353" s="72" t="s">
        <v>2864</v>
      </c>
      <c r="F353" s="60" t="s">
        <v>98</v>
      </c>
      <c r="G353" s="49" t="s">
        <v>2</v>
      </c>
      <c r="H353" s="11"/>
      <c r="I353" t="str">
        <f>IFERROR(HYPERLINK("#Main!A"&amp;MATCH(A353,Main!A:A,0),"Open"),HYPERLINK("#Main!A1","Open"))</f>
        <v>Open</v>
      </c>
      <c r="J353" t="str">
        <f t="shared" ca="1" si="5"/>
        <v>Open</v>
      </c>
    </row>
    <row r="354" spans="1:11" ht="30" customHeight="1" x14ac:dyDescent="0.25">
      <c r="A354" s="59" t="s">
        <v>358</v>
      </c>
      <c r="B354" s="48" t="s">
        <v>883</v>
      </c>
      <c r="C354" s="64" t="s">
        <v>68</v>
      </c>
      <c r="D354" s="8" t="s">
        <v>7</v>
      </c>
      <c r="E354" s="71" t="s">
        <v>2865</v>
      </c>
      <c r="F354" s="60" t="s">
        <v>98</v>
      </c>
      <c r="G354" s="49" t="s">
        <v>2</v>
      </c>
      <c r="H354" s="8"/>
      <c r="I354" s="9" t="str">
        <f>IFERROR(HYPERLINK("#Main!A"&amp;MATCH(A354,Main!A:A,0),"Open"),HYPERLINK("#Main!A1","Open"))</f>
        <v>Open</v>
      </c>
      <c r="J354" s="9" t="str">
        <f t="shared" ca="1" si="5"/>
        <v>Open</v>
      </c>
      <c r="K354" s="9"/>
    </row>
    <row r="355" spans="1:11" ht="30" customHeight="1" x14ac:dyDescent="0.25">
      <c r="A355" s="58" t="s">
        <v>196</v>
      </c>
      <c r="B355" s="42" t="s">
        <v>858</v>
      </c>
      <c r="C355" s="61" t="s">
        <v>67</v>
      </c>
      <c r="D355" s="11" t="s">
        <v>9</v>
      </c>
      <c r="E355" s="72" t="s">
        <v>2866</v>
      </c>
      <c r="F355" s="60" t="s">
        <v>98</v>
      </c>
      <c r="G355" s="49" t="s">
        <v>2</v>
      </c>
      <c r="H355" s="11"/>
      <c r="I355" t="str">
        <f>IFERROR(HYPERLINK("#Main!A"&amp;MATCH(A355,Main!A:A,0),"Open"),HYPERLINK("#Main!A1","Open"))</f>
        <v>Open</v>
      </c>
      <c r="J355" t="str">
        <f t="shared" ca="1" si="5"/>
        <v>Open</v>
      </c>
    </row>
    <row r="356" spans="1:11" ht="30" customHeight="1" x14ac:dyDescent="0.25">
      <c r="A356" s="59" t="s">
        <v>196</v>
      </c>
      <c r="B356" s="48" t="s">
        <v>102</v>
      </c>
      <c r="C356" s="64" t="s">
        <v>68</v>
      </c>
      <c r="D356" s="8" t="s">
        <v>7</v>
      </c>
      <c r="E356" s="71" t="s">
        <v>2867</v>
      </c>
      <c r="F356" s="57" t="s">
        <v>825</v>
      </c>
      <c r="G356" s="49" t="s">
        <v>2</v>
      </c>
      <c r="H356" s="8"/>
      <c r="I356" s="9" t="str">
        <f>IFERROR(HYPERLINK("#Main!A"&amp;MATCH(A356,Main!A:A,0),"Open"),HYPERLINK("#Main!A1","Open"))</f>
        <v>Open</v>
      </c>
      <c r="J356" s="9" t="str">
        <f t="shared" ca="1" si="5"/>
        <v>Open</v>
      </c>
      <c r="K356" s="9"/>
    </row>
    <row r="357" spans="1:11" ht="30" customHeight="1" x14ac:dyDescent="0.25">
      <c r="A357" s="58" t="s">
        <v>196</v>
      </c>
      <c r="B357" s="42" t="s">
        <v>872</v>
      </c>
      <c r="C357" s="64" t="s">
        <v>68</v>
      </c>
      <c r="D357" s="11" t="s">
        <v>7</v>
      </c>
      <c r="E357" s="72" t="s">
        <v>2868</v>
      </c>
      <c r="F357" s="57" t="s">
        <v>825</v>
      </c>
      <c r="G357" s="49" t="s">
        <v>2</v>
      </c>
      <c r="H357" s="11"/>
      <c r="I357" t="str">
        <f>IFERROR(HYPERLINK("#Main!A"&amp;MATCH(A357,Main!A:A,0),"Open"),HYPERLINK("#Main!A1","Open"))</f>
        <v>Open</v>
      </c>
      <c r="J357" t="str">
        <f t="shared" ca="1" si="5"/>
        <v>Open</v>
      </c>
    </row>
    <row r="358" spans="1:11" ht="30" customHeight="1" x14ac:dyDescent="0.25">
      <c r="A358" s="59" t="s">
        <v>196</v>
      </c>
      <c r="B358" s="48" t="s">
        <v>873</v>
      </c>
      <c r="C358" s="64" t="s">
        <v>68</v>
      </c>
      <c r="D358" s="8" t="s">
        <v>7</v>
      </c>
      <c r="E358" s="71" t="s">
        <v>2869</v>
      </c>
      <c r="F358" s="57" t="s">
        <v>825</v>
      </c>
      <c r="G358" s="49" t="s">
        <v>2</v>
      </c>
      <c r="H358" s="8"/>
      <c r="I358" s="9" t="str">
        <f>IFERROR(HYPERLINK("#Main!A"&amp;MATCH(A358,Main!A:A,0),"Open"),HYPERLINK("#Main!A1","Open"))</f>
        <v>Open</v>
      </c>
      <c r="J358" s="9" t="str">
        <f t="shared" ca="1" si="5"/>
        <v>Open</v>
      </c>
      <c r="K358" s="9"/>
    </row>
    <row r="359" spans="1:11" ht="30" customHeight="1" x14ac:dyDescent="0.25">
      <c r="A359" s="58" t="s">
        <v>196</v>
      </c>
      <c r="B359" s="42" t="s">
        <v>874</v>
      </c>
      <c r="C359" s="64" t="s">
        <v>68</v>
      </c>
      <c r="D359" s="11" t="s">
        <v>9</v>
      </c>
      <c r="E359" s="72" t="s">
        <v>2870</v>
      </c>
      <c r="F359" s="60" t="s">
        <v>98</v>
      </c>
      <c r="G359" s="49" t="s">
        <v>2</v>
      </c>
      <c r="H359" s="11"/>
      <c r="I359" t="str">
        <f>IFERROR(HYPERLINK("#Main!A"&amp;MATCH(A359,Main!A:A,0),"Open"),HYPERLINK("#Main!A1","Open"))</f>
        <v>Open</v>
      </c>
      <c r="J359" t="str">
        <f t="shared" ca="1" si="5"/>
        <v>Open</v>
      </c>
    </row>
    <row r="360" spans="1:11" ht="30" customHeight="1" x14ac:dyDescent="0.25">
      <c r="A360" s="59" t="s">
        <v>196</v>
      </c>
      <c r="B360" s="48" t="s">
        <v>877</v>
      </c>
      <c r="C360" s="64" t="s">
        <v>68</v>
      </c>
      <c r="D360" s="8" t="s">
        <v>7</v>
      </c>
      <c r="E360" s="71" t="s">
        <v>2871</v>
      </c>
      <c r="F360" s="60" t="s">
        <v>98</v>
      </c>
      <c r="G360" s="49" t="s">
        <v>2</v>
      </c>
      <c r="H360" s="8"/>
      <c r="I360" s="9" t="str">
        <f>IFERROR(HYPERLINK("#Main!A"&amp;MATCH(A360,Main!A:A,0),"Open"),HYPERLINK("#Main!A1","Open"))</f>
        <v>Open</v>
      </c>
      <c r="J360" s="9" t="str">
        <f t="shared" ca="1" si="5"/>
        <v>Open</v>
      </c>
      <c r="K360" s="9"/>
    </row>
    <row r="361" spans="1:11" ht="30" customHeight="1" x14ac:dyDescent="0.25">
      <c r="A361" s="58" t="s">
        <v>196</v>
      </c>
      <c r="B361" s="42" t="s">
        <v>880</v>
      </c>
      <c r="C361" s="64" t="s">
        <v>68</v>
      </c>
      <c r="D361" s="11" t="s">
        <v>7</v>
      </c>
      <c r="E361" s="72" t="s">
        <v>2872</v>
      </c>
      <c r="F361" s="60" t="s">
        <v>98</v>
      </c>
      <c r="G361" s="49" t="s">
        <v>2</v>
      </c>
      <c r="H361" s="11"/>
      <c r="I361" t="str">
        <f>IFERROR(HYPERLINK("#Main!A"&amp;MATCH(A361,Main!A:A,0),"Open"),HYPERLINK("#Main!A1","Open"))</f>
        <v>Open</v>
      </c>
      <c r="J361" t="str">
        <f t="shared" ca="1" si="5"/>
        <v>Open</v>
      </c>
    </row>
    <row r="362" spans="1:11" ht="30" customHeight="1" x14ac:dyDescent="0.25">
      <c r="A362" s="59" t="s">
        <v>196</v>
      </c>
      <c r="B362" s="48" t="s">
        <v>883</v>
      </c>
      <c r="C362" s="64" t="s">
        <v>68</v>
      </c>
      <c r="D362" s="8" t="s">
        <v>7</v>
      </c>
      <c r="E362" s="71" t="s">
        <v>2873</v>
      </c>
      <c r="F362" s="60" t="s">
        <v>98</v>
      </c>
      <c r="G362" s="49" t="s">
        <v>2</v>
      </c>
      <c r="H362" s="8"/>
      <c r="I362" s="9" t="str">
        <f>IFERROR(HYPERLINK("#Main!A"&amp;MATCH(A362,Main!A:A,0),"Open"),HYPERLINK("#Main!A1","Open"))</f>
        <v>Open</v>
      </c>
      <c r="J362" s="9" t="str">
        <f t="shared" ca="1" si="5"/>
        <v>Open</v>
      </c>
      <c r="K362" s="9"/>
    </row>
    <row r="363" spans="1:11" ht="30" customHeight="1" x14ac:dyDescent="0.25">
      <c r="A363" s="58" t="s">
        <v>164</v>
      </c>
      <c r="B363" s="42" t="s">
        <v>852</v>
      </c>
      <c r="C363" s="61" t="s">
        <v>67</v>
      </c>
      <c r="D363" s="11" t="s">
        <v>7</v>
      </c>
      <c r="E363" s="72" t="s">
        <v>2874</v>
      </c>
      <c r="F363" s="60" t="s">
        <v>98</v>
      </c>
      <c r="G363" s="49" t="s">
        <v>2</v>
      </c>
      <c r="H363" s="11"/>
      <c r="I363" t="str">
        <f>IFERROR(HYPERLINK("#Main!A"&amp;MATCH(A363,Main!A:A,0),"Open"),HYPERLINK("#Main!A1","Open"))</f>
        <v>Open</v>
      </c>
      <c r="J363" t="str">
        <f t="shared" ca="1" si="5"/>
        <v>Open</v>
      </c>
    </row>
    <row r="364" spans="1:11" ht="30" customHeight="1" x14ac:dyDescent="0.25">
      <c r="A364" s="59" t="s">
        <v>164</v>
      </c>
      <c r="B364" s="48" t="s">
        <v>858</v>
      </c>
      <c r="C364" s="61" t="s">
        <v>67</v>
      </c>
      <c r="D364" s="8" t="s">
        <v>9</v>
      </c>
      <c r="E364" s="71" t="s">
        <v>2875</v>
      </c>
      <c r="F364" s="60" t="s">
        <v>98</v>
      </c>
      <c r="G364" s="49" t="s">
        <v>2</v>
      </c>
      <c r="H364" s="8"/>
      <c r="I364" s="9" t="str">
        <f>IFERROR(HYPERLINK("#Main!A"&amp;MATCH(A364,Main!A:A,0),"Open"),HYPERLINK("#Main!A1","Open"))</f>
        <v>Open</v>
      </c>
      <c r="J364" s="9" t="str">
        <f t="shared" ca="1" si="5"/>
        <v>Open</v>
      </c>
      <c r="K364" s="9"/>
    </row>
    <row r="365" spans="1:11" ht="30" customHeight="1" x14ac:dyDescent="0.25">
      <c r="A365" s="58" t="s">
        <v>164</v>
      </c>
      <c r="B365" s="42" t="s">
        <v>102</v>
      </c>
      <c r="C365" s="64" t="s">
        <v>68</v>
      </c>
      <c r="D365" s="11" t="s">
        <v>7</v>
      </c>
      <c r="E365" s="72" t="s">
        <v>2876</v>
      </c>
      <c r="F365" s="57" t="s">
        <v>825</v>
      </c>
      <c r="G365" s="49" t="s">
        <v>2</v>
      </c>
      <c r="H365" s="11"/>
      <c r="I365" t="str">
        <f>IFERROR(HYPERLINK("#Main!A"&amp;MATCH(A365,Main!A:A,0),"Open"),HYPERLINK("#Main!A1","Open"))</f>
        <v>Open</v>
      </c>
      <c r="J365" t="str">
        <f t="shared" ca="1" si="5"/>
        <v>Open</v>
      </c>
    </row>
    <row r="366" spans="1:11" ht="30" customHeight="1" x14ac:dyDescent="0.25">
      <c r="A366" s="59" t="s">
        <v>164</v>
      </c>
      <c r="B366" s="48" t="s">
        <v>872</v>
      </c>
      <c r="C366" s="64" t="s">
        <v>68</v>
      </c>
      <c r="D366" s="8" t="s">
        <v>7</v>
      </c>
      <c r="E366" s="71" t="s">
        <v>2877</v>
      </c>
      <c r="F366" s="57" t="s">
        <v>825</v>
      </c>
      <c r="G366" s="49" t="s">
        <v>2</v>
      </c>
      <c r="H366" s="8"/>
      <c r="I366" s="9" t="str">
        <f>IFERROR(HYPERLINK("#Main!A"&amp;MATCH(A366,Main!A:A,0),"Open"),HYPERLINK("#Main!A1","Open"))</f>
        <v>Open</v>
      </c>
      <c r="J366" s="9" t="str">
        <f t="shared" ca="1" si="5"/>
        <v>Open</v>
      </c>
      <c r="K366" s="9"/>
    </row>
    <row r="367" spans="1:11" ht="30" customHeight="1" x14ac:dyDescent="0.25">
      <c r="A367" s="58" t="s">
        <v>164</v>
      </c>
      <c r="B367" s="42" t="s">
        <v>873</v>
      </c>
      <c r="C367" s="64" t="s">
        <v>68</v>
      </c>
      <c r="D367" s="11" t="s">
        <v>7</v>
      </c>
      <c r="E367" s="72" t="s">
        <v>2878</v>
      </c>
      <c r="F367" s="57" t="s">
        <v>825</v>
      </c>
      <c r="G367" s="49" t="s">
        <v>2</v>
      </c>
      <c r="H367" s="11"/>
      <c r="I367" t="str">
        <f>IFERROR(HYPERLINK("#Main!A"&amp;MATCH(A367,Main!A:A,0),"Open"),HYPERLINK("#Main!A1","Open"))</f>
        <v>Open</v>
      </c>
      <c r="J367" t="str">
        <f t="shared" ca="1" si="5"/>
        <v>Open</v>
      </c>
    </row>
    <row r="368" spans="1:11" ht="30" customHeight="1" x14ac:dyDescent="0.25">
      <c r="A368" s="59" t="s">
        <v>164</v>
      </c>
      <c r="B368" s="48" t="s">
        <v>874</v>
      </c>
      <c r="C368" s="64" t="s">
        <v>68</v>
      </c>
      <c r="D368" s="8" t="s">
        <v>9</v>
      </c>
      <c r="E368" s="71" t="s">
        <v>2879</v>
      </c>
      <c r="F368" s="60" t="s">
        <v>98</v>
      </c>
      <c r="G368" s="49" t="s">
        <v>2</v>
      </c>
      <c r="H368" s="8"/>
      <c r="I368" s="9" t="str">
        <f>IFERROR(HYPERLINK("#Main!A"&amp;MATCH(A368,Main!A:A,0),"Open"),HYPERLINK("#Main!A1","Open"))</f>
        <v>Open</v>
      </c>
      <c r="J368" s="9" t="str">
        <f t="shared" ca="1" si="5"/>
        <v>Open</v>
      </c>
      <c r="K368" s="9"/>
    </row>
    <row r="369" spans="1:11" ht="30" customHeight="1" x14ac:dyDescent="0.25">
      <c r="A369" s="58" t="s">
        <v>164</v>
      </c>
      <c r="B369" s="42" t="s">
        <v>877</v>
      </c>
      <c r="C369" s="64" t="s">
        <v>68</v>
      </c>
      <c r="D369" s="11" t="s">
        <v>7</v>
      </c>
      <c r="E369" s="72" t="s">
        <v>2880</v>
      </c>
      <c r="F369" s="60" t="s">
        <v>98</v>
      </c>
      <c r="G369" s="49" t="s">
        <v>2</v>
      </c>
      <c r="H369" s="11"/>
      <c r="I369" t="str">
        <f>IFERROR(HYPERLINK("#Main!A"&amp;MATCH(A369,Main!A:A,0),"Open"),HYPERLINK("#Main!A1","Open"))</f>
        <v>Open</v>
      </c>
      <c r="J369" t="str">
        <f t="shared" ca="1" si="5"/>
        <v>Open</v>
      </c>
    </row>
    <row r="370" spans="1:11" ht="30" customHeight="1" x14ac:dyDescent="0.25">
      <c r="A370" s="59" t="s">
        <v>164</v>
      </c>
      <c r="B370" s="48" t="s">
        <v>880</v>
      </c>
      <c r="C370" s="64" t="s">
        <v>68</v>
      </c>
      <c r="D370" s="8" t="s">
        <v>7</v>
      </c>
      <c r="E370" s="71" t="s">
        <v>2881</v>
      </c>
      <c r="F370" s="60" t="s">
        <v>98</v>
      </c>
      <c r="G370" s="49" t="s">
        <v>2</v>
      </c>
      <c r="H370" s="8"/>
      <c r="I370" s="9" t="str">
        <f>IFERROR(HYPERLINK("#Main!A"&amp;MATCH(A370,Main!A:A,0),"Open"),HYPERLINK("#Main!A1","Open"))</f>
        <v>Open</v>
      </c>
      <c r="J370" s="9" t="str">
        <f t="shared" ca="1" si="5"/>
        <v>Open</v>
      </c>
      <c r="K370" s="9"/>
    </row>
    <row r="371" spans="1:11" ht="30" customHeight="1" x14ac:dyDescent="0.25">
      <c r="A371" s="58" t="s">
        <v>164</v>
      </c>
      <c r="B371" s="42" t="s">
        <v>883</v>
      </c>
      <c r="C371" s="64" t="s">
        <v>68</v>
      </c>
      <c r="D371" s="11" t="s">
        <v>7</v>
      </c>
      <c r="E371" s="72" t="s">
        <v>2882</v>
      </c>
      <c r="F371" s="60" t="s">
        <v>98</v>
      </c>
      <c r="G371" s="49" t="s">
        <v>2</v>
      </c>
      <c r="H371" s="11"/>
      <c r="I371" t="str">
        <f>IFERROR(HYPERLINK("#Main!A"&amp;MATCH(A371,Main!A:A,0),"Open"),HYPERLINK("#Main!A1","Open"))</f>
        <v>Open</v>
      </c>
      <c r="J371" t="str">
        <f t="shared" ca="1" si="5"/>
        <v>Open</v>
      </c>
    </row>
    <row r="372" spans="1:11" ht="30" customHeight="1" x14ac:dyDescent="0.25">
      <c r="A372" s="59" t="s">
        <v>350</v>
      </c>
      <c r="B372" s="48" t="s">
        <v>858</v>
      </c>
      <c r="C372" s="61" t="s">
        <v>67</v>
      </c>
      <c r="D372" s="8" t="s">
        <v>9</v>
      </c>
      <c r="E372" s="71" t="s">
        <v>2883</v>
      </c>
      <c r="F372" s="60" t="s">
        <v>98</v>
      </c>
      <c r="G372" s="49" t="s">
        <v>2</v>
      </c>
      <c r="H372" s="8"/>
      <c r="I372" s="9" t="str">
        <f>IFERROR(HYPERLINK("#Main!A"&amp;MATCH(A372,Main!A:A,0),"Open"),HYPERLINK("#Main!A1","Open"))</f>
        <v>Open</v>
      </c>
      <c r="J372" s="9" t="str">
        <f t="shared" ca="1" si="5"/>
        <v>Open</v>
      </c>
      <c r="K372" s="9"/>
    </row>
    <row r="373" spans="1:11" ht="30" customHeight="1" x14ac:dyDescent="0.25">
      <c r="A373" s="58" t="s">
        <v>350</v>
      </c>
      <c r="B373" s="42" t="s">
        <v>102</v>
      </c>
      <c r="C373" s="64" t="s">
        <v>68</v>
      </c>
      <c r="D373" s="11" t="s">
        <v>7</v>
      </c>
      <c r="E373" s="72" t="s">
        <v>2884</v>
      </c>
      <c r="F373" s="57" t="s">
        <v>825</v>
      </c>
      <c r="G373" s="49" t="s">
        <v>2</v>
      </c>
      <c r="H373" s="11"/>
      <c r="I373" t="str">
        <f>IFERROR(HYPERLINK("#Main!A"&amp;MATCH(A373,Main!A:A,0),"Open"),HYPERLINK("#Main!A1","Open"))</f>
        <v>Open</v>
      </c>
      <c r="J373" t="str">
        <f t="shared" ca="1" si="5"/>
        <v>Open</v>
      </c>
    </row>
    <row r="374" spans="1:11" ht="30" customHeight="1" x14ac:dyDescent="0.25">
      <c r="A374" s="59" t="s">
        <v>350</v>
      </c>
      <c r="B374" s="48" t="s">
        <v>872</v>
      </c>
      <c r="C374" s="64" t="s">
        <v>68</v>
      </c>
      <c r="D374" s="8" t="s">
        <v>7</v>
      </c>
      <c r="E374" s="71" t="s">
        <v>2885</v>
      </c>
      <c r="F374" s="57" t="s">
        <v>825</v>
      </c>
      <c r="G374" s="49" t="s">
        <v>2</v>
      </c>
      <c r="H374" s="8"/>
      <c r="I374" s="9" t="str">
        <f>IFERROR(HYPERLINK("#Main!A"&amp;MATCH(A374,Main!A:A,0),"Open"),HYPERLINK("#Main!A1","Open"))</f>
        <v>Open</v>
      </c>
      <c r="J374" s="9" t="str">
        <f t="shared" ca="1" si="5"/>
        <v>Open</v>
      </c>
      <c r="K374" s="9"/>
    </row>
    <row r="375" spans="1:11" ht="30" customHeight="1" x14ac:dyDescent="0.25">
      <c r="A375" s="58" t="s">
        <v>350</v>
      </c>
      <c r="B375" s="42" t="s">
        <v>873</v>
      </c>
      <c r="C375" s="64" t="s">
        <v>68</v>
      </c>
      <c r="D375" s="11" t="s">
        <v>7</v>
      </c>
      <c r="E375" s="72" t="s">
        <v>2886</v>
      </c>
      <c r="F375" s="57" t="s">
        <v>825</v>
      </c>
      <c r="G375" s="49" t="s">
        <v>2</v>
      </c>
      <c r="H375" s="11"/>
      <c r="I375" t="str">
        <f>IFERROR(HYPERLINK("#Main!A"&amp;MATCH(A375,Main!A:A,0),"Open"),HYPERLINK("#Main!A1","Open"))</f>
        <v>Open</v>
      </c>
      <c r="J375" t="str">
        <f t="shared" ca="1" si="5"/>
        <v>Open</v>
      </c>
    </row>
    <row r="376" spans="1:11" ht="30" customHeight="1" x14ac:dyDescent="0.25">
      <c r="A376" s="59" t="s">
        <v>350</v>
      </c>
      <c r="B376" s="48" t="s">
        <v>874</v>
      </c>
      <c r="C376" s="64" t="s">
        <v>68</v>
      </c>
      <c r="D376" s="8" t="s">
        <v>9</v>
      </c>
      <c r="E376" s="71" t="s">
        <v>2887</v>
      </c>
      <c r="F376" s="60" t="s">
        <v>98</v>
      </c>
      <c r="G376" s="49" t="s">
        <v>2</v>
      </c>
      <c r="H376" s="8"/>
      <c r="I376" s="9" t="str">
        <f>IFERROR(HYPERLINK("#Main!A"&amp;MATCH(A376,Main!A:A,0),"Open"),HYPERLINK("#Main!A1","Open"))</f>
        <v>Open</v>
      </c>
      <c r="J376" s="9" t="str">
        <f t="shared" ca="1" si="5"/>
        <v>Open</v>
      </c>
      <c r="K376" s="9"/>
    </row>
    <row r="377" spans="1:11" ht="30" customHeight="1" x14ac:dyDescent="0.25">
      <c r="A377" s="58" t="s">
        <v>350</v>
      </c>
      <c r="B377" s="42" t="s">
        <v>877</v>
      </c>
      <c r="C377" s="64" t="s">
        <v>68</v>
      </c>
      <c r="D377" s="11" t="s">
        <v>7</v>
      </c>
      <c r="E377" s="72" t="s">
        <v>2888</v>
      </c>
      <c r="F377" s="60" t="s">
        <v>98</v>
      </c>
      <c r="G377" s="49" t="s">
        <v>2</v>
      </c>
      <c r="H377" s="11"/>
      <c r="I377" t="str">
        <f>IFERROR(HYPERLINK("#Main!A"&amp;MATCH(A377,Main!A:A,0),"Open"),HYPERLINK("#Main!A1","Open"))</f>
        <v>Open</v>
      </c>
      <c r="J377" t="str">
        <f t="shared" ca="1" si="5"/>
        <v>Open</v>
      </c>
    </row>
    <row r="378" spans="1:11" ht="30" customHeight="1" x14ac:dyDescent="0.25">
      <c r="A378" s="59" t="s">
        <v>350</v>
      </c>
      <c r="B378" s="48" t="s">
        <v>880</v>
      </c>
      <c r="C378" s="64" t="s">
        <v>68</v>
      </c>
      <c r="D378" s="8" t="s">
        <v>7</v>
      </c>
      <c r="E378" s="71" t="s">
        <v>2889</v>
      </c>
      <c r="F378" s="60" t="s">
        <v>98</v>
      </c>
      <c r="G378" s="49" t="s">
        <v>2</v>
      </c>
      <c r="H378" s="8"/>
      <c r="I378" s="9" t="str">
        <f>IFERROR(HYPERLINK("#Main!A"&amp;MATCH(A378,Main!A:A,0),"Open"),HYPERLINK("#Main!A1","Open"))</f>
        <v>Open</v>
      </c>
      <c r="J378" s="9" t="str">
        <f t="shared" ca="1" si="5"/>
        <v>Open</v>
      </c>
      <c r="K378" s="9"/>
    </row>
    <row r="379" spans="1:11" ht="30" customHeight="1" x14ac:dyDescent="0.25">
      <c r="A379" s="58" t="s">
        <v>350</v>
      </c>
      <c r="B379" s="42" t="s">
        <v>883</v>
      </c>
      <c r="C379" s="64" t="s">
        <v>68</v>
      </c>
      <c r="D379" s="11" t="s">
        <v>7</v>
      </c>
      <c r="E379" s="72" t="s">
        <v>2890</v>
      </c>
      <c r="F379" s="60" t="s">
        <v>98</v>
      </c>
      <c r="G379" s="49" t="s">
        <v>2</v>
      </c>
      <c r="H379" s="11"/>
      <c r="I379" t="str">
        <f>IFERROR(HYPERLINK("#Main!A"&amp;MATCH(A379,Main!A:A,0),"Open"),HYPERLINK("#Main!A1","Open"))</f>
        <v>Open</v>
      </c>
      <c r="J379" t="str">
        <f t="shared" ca="1" si="5"/>
        <v>Open</v>
      </c>
    </row>
    <row r="380" spans="1:11" ht="30" customHeight="1" x14ac:dyDescent="0.25">
      <c r="A380" s="59" t="s">
        <v>374</v>
      </c>
      <c r="B380" s="48" t="s">
        <v>858</v>
      </c>
      <c r="C380" s="61" t="s">
        <v>67</v>
      </c>
      <c r="D380" s="8" t="s">
        <v>9</v>
      </c>
      <c r="E380" s="71" t="s">
        <v>2891</v>
      </c>
      <c r="F380" s="60" t="s">
        <v>98</v>
      </c>
      <c r="G380" s="49" t="s">
        <v>2</v>
      </c>
      <c r="H380" s="8"/>
      <c r="I380" s="9" t="str">
        <f>IFERROR(HYPERLINK("#Main!A"&amp;MATCH(A380,Main!A:A,0),"Open"),HYPERLINK("#Main!A1","Open"))</f>
        <v>Open</v>
      </c>
      <c r="J380" s="9" t="str">
        <f t="shared" ca="1" si="5"/>
        <v>Open</v>
      </c>
      <c r="K380" s="9"/>
    </row>
    <row r="381" spans="1:11" ht="30" customHeight="1" x14ac:dyDescent="0.25">
      <c r="A381" s="58" t="s">
        <v>374</v>
      </c>
      <c r="B381" s="42" t="s">
        <v>102</v>
      </c>
      <c r="C381" s="64" t="s">
        <v>68</v>
      </c>
      <c r="D381" s="11" t="s">
        <v>7</v>
      </c>
      <c r="E381" s="72" t="s">
        <v>2892</v>
      </c>
      <c r="F381" s="57" t="s">
        <v>825</v>
      </c>
      <c r="G381" s="49" t="s">
        <v>2</v>
      </c>
      <c r="H381" s="11"/>
      <c r="I381" t="str">
        <f>IFERROR(HYPERLINK("#Main!A"&amp;MATCH(A381,Main!A:A,0),"Open"),HYPERLINK("#Main!A1","Open"))</f>
        <v>Open</v>
      </c>
      <c r="J381" t="str">
        <f t="shared" ca="1" si="5"/>
        <v>Open</v>
      </c>
    </row>
    <row r="382" spans="1:11" ht="30" customHeight="1" x14ac:dyDescent="0.25">
      <c r="A382" s="59" t="s">
        <v>374</v>
      </c>
      <c r="B382" s="48" t="s">
        <v>872</v>
      </c>
      <c r="C382" s="64" t="s">
        <v>68</v>
      </c>
      <c r="D382" s="8" t="s">
        <v>7</v>
      </c>
      <c r="E382" s="71" t="s">
        <v>2893</v>
      </c>
      <c r="F382" s="57" t="s">
        <v>825</v>
      </c>
      <c r="G382" s="49" t="s">
        <v>2</v>
      </c>
      <c r="H382" s="8"/>
      <c r="I382" s="9" t="str">
        <f>IFERROR(HYPERLINK("#Main!A"&amp;MATCH(A382,Main!A:A,0),"Open"),HYPERLINK("#Main!A1","Open"))</f>
        <v>Open</v>
      </c>
      <c r="J382" s="9" t="str">
        <f t="shared" ca="1" si="5"/>
        <v>Open</v>
      </c>
      <c r="K382" s="9"/>
    </row>
    <row r="383" spans="1:11" ht="30" customHeight="1" x14ac:dyDescent="0.25">
      <c r="A383" s="58" t="s">
        <v>374</v>
      </c>
      <c r="B383" s="42" t="s">
        <v>873</v>
      </c>
      <c r="C383" s="64" t="s">
        <v>68</v>
      </c>
      <c r="D383" s="11" t="s">
        <v>7</v>
      </c>
      <c r="E383" s="72" t="s">
        <v>2894</v>
      </c>
      <c r="F383" s="57" t="s">
        <v>825</v>
      </c>
      <c r="G383" s="49" t="s">
        <v>2</v>
      </c>
      <c r="H383" s="11"/>
      <c r="I383" t="str">
        <f>IFERROR(HYPERLINK("#Main!A"&amp;MATCH(A383,Main!A:A,0),"Open"),HYPERLINK("#Main!A1","Open"))</f>
        <v>Open</v>
      </c>
      <c r="J383" t="str">
        <f t="shared" ca="1" si="5"/>
        <v>Open</v>
      </c>
    </row>
    <row r="384" spans="1:11" ht="30" customHeight="1" x14ac:dyDescent="0.25">
      <c r="A384" s="59" t="s">
        <v>374</v>
      </c>
      <c r="B384" s="48" t="s">
        <v>874</v>
      </c>
      <c r="C384" s="64" t="s">
        <v>68</v>
      </c>
      <c r="D384" s="8" t="s">
        <v>9</v>
      </c>
      <c r="E384" s="71" t="s">
        <v>2895</v>
      </c>
      <c r="F384" s="60" t="s">
        <v>98</v>
      </c>
      <c r="G384" s="49" t="s">
        <v>2</v>
      </c>
      <c r="H384" s="8"/>
      <c r="I384" s="9" t="str">
        <f>IFERROR(HYPERLINK("#Main!A"&amp;MATCH(A384,Main!A:A,0),"Open"),HYPERLINK("#Main!A1","Open"))</f>
        <v>Open</v>
      </c>
      <c r="J384" s="9" t="str">
        <f t="shared" ca="1" si="5"/>
        <v>Open</v>
      </c>
      <c r="K384" s="9"/>
    </row>
    <row r="385" spans="1:11" ht="30" customHeight="1" x14ac:dyDescent="0.25">
      <c r="A385" s="58" t="s">
        <v>374</v>
      </c>
      <c r="B385" s="42" t="s">
        <v>877</v>
      </c>
      <c r="C385" s="64" t="s">
        <v>68</v>
      </c>
      <c r="D385" s="11" t="s">
        <v>7</v>
      </c>
      <c r="E385" s="72" t="s">
        <v>2896</v>
      </c>
      <c r="F385" s="60" t="s">
        <v>98</v>
      </c>
      <c r="G385" s="49" t="s">
        <v>2</v>
      </c>
      <c r="H385" s="11"/>
      <c r="I385" t="str">
        <f>IFERROR(HYPERLINK("#Main!A"&amp;MATCH(A385,Main!A:A,0),"Open"),HYPERLINK("#Main!A1","Open"))</f>
        <v>Open</v>
      </c>
      <c r="J385" t="str">
        <f t="shared" ca="1" si="5"/>
        <v>Open</v>
      </c>
    </row>
    <row r="386" spans="1:11" ht="30" customHeight="1" x14ac:dyDescent="0.25">
      <c r="A386" s="59" t="s">
        <v>374</v>
      </c>
      <c r="B386" s="48" t="s">
        <v>880</v>
      </c>
      <c r="C386" s="64" t="s">
        <v>68</v>
      </c>
      <c r="D386" s="8" t="s">
        <v>7</v>
      </c>
      <c r="E386" s="71" t="s">
        <v>2897</v>
      </c>
      <c r="F386" s="60" t="s">
        <v>98</v>
      </c>
      <c r="G386" s="49" t="s">
        <v>2</v>
      </c>
      <c r="H386" s="8"/>
      <c r="I386" s="9" t="str">
        <f>IFERROR(HYPERLINK("#Main!A"&amp;MATCH(A386,Main!A:A,0),"Open"),HYPERLINK("#Main!A1","Open"))</f>
        <v>Open</v>
      </c>
      <c r="J386" s="9" t="str">
        <f t="shared" ref="J386:J449" ca="1" si="6">IFERROR(HYPERLINK("#"&amp;D386&amp;"!A"&amp;MATCH(A386,INDIRECT("'"&amp;D386&amp;"'!A:A"),0),"Open"),HYPERLINK("#"&amp;D386&amp;"!A1","Open"))</f>
        <v>Open</v>
      </c>
      <c r="K386" s="9"/>
    </row>
    <row r="387" spans="1:11" ht="30" customHeight="1" x14ac:dyDescent="0.25">
      <c r="A387" s="58" t="s">
        <v>374</v>
      </c>
      <c r="B387" s="42" t="s">
        <v>883</v>
      </c>
      <c r="C387" s="64" t="s">
        <v>68</v>
      </c>
      <c r="D387" s="11" t="s">
        <v>7</v>
      </c>
      <c r="E387" s="72" t="s">
        <v>2898</v>
      </c>
      <c r="F387" s="60" t="s">
        <v>98</v>
      </c>
      <c r="G387" s="49" t="s">
        <v>2</v>
      </c>
      <c r="H387" s="11"/>
      <c r="I387" t="str">
        <f>IFERROR(HYPERLINK("#Main!A"&amp;MATCH(A387,Main!A:A,0),"Open"),HYPERLINK("#Main!A1","Open"))</f>
        <v>Open</v>
      </c>
      <c r="J387" t="str">
        <f t="shared" ca="1" si="6"/>
        <v>Open</v>
      </c>
    </row>
    <row r="388" spans="1:11" ht="45" customHeight="1" x14ac:dyDescent="0.25">
      <c r="A388" s="59" t="s">
        <v>409</v>
      </c>
      <c r="B388" s="48" t="s">
        <v>852</v>
      </c>
      <c r="C388" s="61" t="s">
        <v>67</v>
      </c>
      <c r="D388" s="8" t="s">
        <v>7</v>
      </c>
      <c r="E388" s="71" t="s">
        <v>2899</v>
      </c>
      <c r="F388" s="60" t="s">
        <v>98</v>
      </c>
      <c r="G388" s="49" t="s">
        <v>2</v>
      </c>
      <c r="H388" s="8"/>
      <c r="I388" s="9" t="str">
        <f>IFERROR(HYPERLINK("#Main!A"&amp;MATCH(A388,Main!A:A,0),"Open"),HYPERLINK("#Main!A1","Open"))</f>
        <v>Open</v>
      </c>
      <c r="J388" s="9" t="str">
        <f t="shared" ca="1" si="6"/>
        <v>Open</v>
      </c>
      <c r="K388" s="9"/>
    </row>
    <row r="389" spans="1:11" ht="45" customHeight="1" x14ac:dyDescent="0.25">
      <c r="A389" s="58" t="s">
        <v>409</v>
      </c>
      <c r="B389" s="42" t="s">
        <v>858</v>
      </c>
      <c r="C389" s="61" t="s">
        <v>67</v>
      </c>
      <c r="D389" s="11" t="s">
        <v>9</v>
      </c>
      <c r="E389" s="72" t="s">
        <v>2900</v>
      </c>
      <c r="F389" s="60" t="s">
        <v>98</v>
      </c>
      <c r="G389" s="49" t="s">
        <v>2</v>
      </c>
      <c r="H389" s="11"/>
      <c r="I389" t="str">
        <f>IFERROR(HYPERLINK("#Main!A"&amp;MATCH(A389,Main!A:A,0),"Open"),HYPERLINK("#Main!A1","Open"))</f>
        <v>Open</v>
      </c>
      <c r="J389" t="str">
        <f t="shared" ca="1" si="6"/>
        <v>Open</v>
      </c>
    </row>
    <row r="390" spans="1:11" ht="45" customHeight="1" x14ac:dyDescent="0.25">
      <c r="A390" s="59" t="s">
        <v>409</v>
      </c>
      <c r="B390" s="48" t="s">
        <v>102</v>
      </c>
      <c r="C390" s="64" t="s">
        <v>68</v>
      </c>
      <c r="D390" s="8" t="s">
        <v>7</v>
      </c>
      <c r="E390" s="71" t="s">
        <v>2901</v>
      </c>
      <c r="F390" s="57" t="s">
        <v>825</v>
      </c>
      <c r="G390" s="49" t="s">
        <v>2</v>
      </c>
      <c r="H390" s="8"/>
      <c r="I390" s="9" t="str">
        <f>IFERROR(HYPERLINK("#Main!A"&amp;MATCH(A390,Main!A:A,0),"Open"),HYPERLINK("#Main!A1","Open"))</f>
        <v>Open</v>
      </c>
      <c r="J390" s="9" t="str">
        <f t="shared" ca="1" si="6"/>
        <v>Open</v>
      </c>
      <c r="K390" s="9"/>
    </row>
    <row r="391" spans="1:11" ht="45" customHeight="1" x14ac:dyDescent="0.25">
      <c r="A391" s="58" t="s">
        <v>409</v>
      </c>
      <c r="B391" s="42" t="s">
        <v>872</v>
      </c>
      <c r="C391" s="64" t="s">
        <v>68</v>
      </c>
      <c r="D391" s="11" t="s">
        <v>7</v>
      </c>
      <c r="E391" s="72" t="s">
        <v>2902</v>
      </c>
      <c r="F391" s="57" t="s">
        <v>825</v>
      </c>
      <c r="G391" s="49" t="s">
        <v>2</v>
      </c>
      <c r="H391" s="11"/>
      <c r="I391" t="str">
        <f>IFERROR(HYPERLINK("#Main!A"&amp;MATCH(A391,Main!A:A,0),"Open"),HYPERLINK("#Main!A1","Open"))</f>
        <v>Open</v>
      </c>
      <c r="J391" t="str">
        <f t="shared" ca="1" si="6"/>
        <v>Open</v>
      </c>
    </row>
    <row r="392" spans="1:11" ht="45" customHeight="1" x14ac:dyDescent="0.25">
      <c r="A392" s="59" t="s">
        <v>409</v>
      </c>
      <c r="B392" s="48" t="s">
        <v>873</v>
      </c>
      <c r="C392" s="64" t="s">
        <v>68</v>
      </c>
      <c r="D392" s="8" t="s">
        <v>7</v>
      </c>
      <c r="E392" s="71" t="s">
        <v>2903</v>
      </c>
      <c r="F392" s="57" t="s">
        <v>825</v>
      </c>
      <c r="G392" s="49" t="s">
        <v>2</v>
      </c>
      <c r="H392" s="8"/>
      <c r="I392" s="9" t="str">
        <f>IFERROR(HYPERLINK("#Main!A"&amp;MATCH(A392,Main!A:A,0),"Open"),HYPERLINK("#Main!A1","Open"))</f>
        <v>Open</v>
      </c>
      <c r="J392" s="9" t="str">
        <f t="shared" ca="1" si="6"/>
        <v>Open</v>
      </c>
      <c r="K392" s="9"/>
    </row>
    <row r="393" spans="1:11" ht="45" customHeight="1" x14ac:dyDescent="0.25">
      <c r="A393" s="58" t="s">
        <v>409</v>
      </c>
      <c r="B393" s="42" t="s">
        <v>884</v>
      </c>
      <c r="C393" s="64" t="s">
        <v>68</v>
      </c>
      <c r="D393" s="11" t="s">
        <v>7</v>
      </c>
      <c r="E393" s="72" t="s">
        <v>2904</v>
      </c>
      <c r="F393" s="60" t="s">
        <v>98</v>
      </c>
      <c r="G393" s="49" t="s">
        <v>2</v>
      </c>
      <c r="H393" s="11"/>
      <c r="I393" t="str">
        <f>IFERROR(HYPERLINK("#Main!A"&amp;MATCH(A393,Main!A:A,0),"Open"),HYPERLINK("#Main!A1","Open"))</f>
        <v>Open</v>
      </c>
      <c r="J393" t="str">
        <f t="shared" ca="1" si="6"/>
        <v>Open</v>
      </c>
    </row>
    <row r="394" spans="1:11" ht="45" customHeight="1" x14ac:dyDescent="0.25">
      <c r="A394" s="59" t="s">
        <v>409</v>
      </c>
      <c r="B394" s="48" t="s">
        <v>874</v>
      </c>
      <c r="C394" s="64" t="s">
        <v>68</v>
      </c>
      <c r="D394" s="8" t="s">
        <v>9</v>
      </c>
      <c r="E394" s="71" t="s">
        <v>2905</v>
      </c>
      <c r="F394" s="60" t="s">
        <v>98</v>
      </c>
      <c r="G394" s="49" t="s">
        <v>2</v>
      </c>
      <c r="H394" s="8"/>
      <c r="I394" s="9" t="str">
        <f>IFERROR(HYPERLINK("#Main!A"&amp;MATCH(A394,Main!A:A,0),"Open"),HYPERLINK("#Main!A1","Open"))</f>
        <v>Open</v>
      </c>
      <c r="J394" s="9" t="str">
        <f t="shared" ca="1" si="6"/>
        <v>Open</v>
      </c>
      <c r="K394" s="9"/>
    </row>
    <row r="395" spans="1:11" ht="45" customHeight="1" x14ac:dyDescent="0.25">
      <c r="A395" s="58" t="s">
        <v>409</v>
      </c>
      <c r="B395" s="42" t="s">
        <v>877</v>
      </c>
      <c r="C395" s="64" t="s">
        <v>68</v>
      </c>
      <c r="D395" s="11" t="s">
        <v>7</v>
      </c>
      <c r="E395" s="72" t="s">
        <v>2906</v>
      </c>
      <c r="F395" s="60" t="s">
        <v>98</v>
      </c>
      <c r="G395" s="49" t="s">
        <v>2</v>
      </c>
      <c r="H395" s="11"/>
      <c r="I395" t="str">
        <f>IFERROR(HYPERLINK("#Main!A"&amp;MATCH(A395,Main!A:A,0),"Open"),HYPERLINK("#Main!A1","Open"))</f>
        <v>Open</v>
      </c>
      <c r="J395" t="str">
        <f t="shared" ca="1" si="6"/>
        <v>Open</v>
      </c>
    </row>
    <row r="396" spans="1:11" ht="45" customHeight="1" x14ac:dyDescent="0.25">
      <c r="A396" s="59" t="s">
        <v>409</v>
      </c>
      <c r="B396" s="48" t="s">
        <v>880</v>
      </c>
      <c r="C396" s="64" t="s">
        <v>68</v>
      </c>
      <c r="D396" s="8" t="s">
        <v>7</v>
      </c>
      <c r="E396" s="71" t="s">
        <v>2907</v>
      </c>
      <c r="F396" s="60" t="s">
        <v>98</v>
      </c>
      <c r="G396" s="49" t="s">
        <v>2</v>
      </c>
      <c r="H396" s="8"/>
      <c r="I396" s="9" t="str">
        <f>IFERROR(HYPERLINK("#Main!A"&amp;MATCH(A396,Main!A:A,0),"Open"),HYPERLINK("#Main!A1","Open"))</f>
        <v>Open</v>
      </c>
      <c r="J396" s="9" t="str">
        <f t="shared" ca="1" si="6"/>
        <v>Open</v>
      </c>
      <c r="K396" s="9"/>
    </row>
    <row r="397" spans="1:11" ht="45" customHeight="1" x14ac:dyDescent="0.25">
      <c r="A397" s="58" t="s">
        <v>409</v>
      </c>
      <c r="B397" s="42" t="s">
        <v>883</v>
      </c>
      <c r="C397" s="64" t="s">
        <v>68</v>
      </c>
      <c r="D397" s="11" t="s">
        <v>7</v>
      </c>
      <c r="E397" s="72" t="s">
        <v>2908</v>
      </c>
      <c r="F397" s="60" t="s">
        <v>98</v>
      </c>
      <c r="G397" s="49" t="s">
        <v>2</v>
      </c>
      <c r="H397" s="11"/>
      <c r="I397" t="str">
        <f>IFERROR(HYPERLINK("#Main!A"&amp;MATCH(A397,Main!A:A,0),"Open"),HYPERLINK("#Main!A1","Open"))</f>
        <v>Open</v>
      </c>
      <c r="J397" t="str">
        <f t="shared" ca="1" si="6"/>
        <v>Open</v>
      </c>
    </row>
    <row r="398" spans="1:11" ht="30" customHeight="1" x14ac:dyDescent="0.25">
      <c r="A398" s="59" t="s">
        <v>436</v>
      </c>
      <c r="B398" s="48" t="s">
        <v>852</v>
      </c>
      <c r="C398" s="61" t="s">
        <v>67</v>
      </c>
      <c r="D398" s="8" t="s">
        <v>7</v>
      </c>
      <c r="E398" s="71" t="s">
        <v>2909</v>
      </c>
      <c r="F398" s="60" t="s">
        <v>98</v>
      </c>
      <c r="G398" s="49" t="s">
        <v>2</v>
      </c>
      <c r="H398" s="8"/>
      <c r="I398" s="9" t="str">
        <f>IFERROR(HYPERLINK("#Main!A"&amp;MATCH(A398,Main!A:A,0),"Open"),HYPERLINK("#Main!A1","Open"))</f>
        <v>Open</v>
      </c>
      <c r="J398" s="9" t="str">
        <f t="shared" ca="1" si="6"/>
        <v>Open</v>
      </c>
      <c r="K398" s="9"/>
    </row>
    <row r="399" spans="1:11" ht="30" customHeight="1" x14ac:dyDescent="0.25">
      <c r="A399" s="58" t="s">
        <v>436</v>
      </c>
      <c r="B399" s="42" t="s">
        <v>858</v>
      </c>
      <c r="C399" s="61" t="s">
        <v>67</v>
      </c>
      <c r="D399" s="11" t="s">
        <v>9</v>
      </c>
      <c r="E399" s="72" t="s">
        <v>2910</v>
      </c>
      <c r="F399" s="60" t="s">
        <v>98</v>
      </c>
      <c r="G399" s="49" t="s">
        <v>2</v>
      </c>
      <c r="H399" s="11"/>
      <c r="I399" t="str">
        <f>IFERROR(HYPERLINK("#Main!A"&amp;MATCH(A399,Main!A:A,0),"Open"),HYPERLINK("#Main!A1","Open"))</f>
        <v>Open</v>
      </c>
      <c r="J399" t="str">
        <f t="shared" ca="1" si="6"/>
        <v>Open</v>
      </c>
    </row>
    <row r="400" spans="1:11" ht="30" customHeight="1" x14ac:dyDescent="0.25">
      <c r="A400" s="59" t="s">
        <v>436</v>
      </c>
      <c r="B400" s="48" t="s">
        <v>102</v>
      </c>
      <c r="C400" s="64" t="s">
        <v>68</v>
      </c>
      <c r="D400" s="8" t="s">
        <v>7</v>
      </c>
      <c r="E400" s="71" t="s">
        <v>2911</v>
      </c>
      <c r="F400" s="57" t="s">
        <v>825</v>
      </c>
      <c r="G400" s="49" t="s">
        <v>2</v>
      </c>
      <c r="H400" s="8"/>
      <c r="I400" s="9" t="str">
        <f>IFERROR(HYPERLINK("#Main!A"&amp;MATCH(A400,Main!A:A,0),"Open"),HYPERLINK("#Main!A1","Open"))</f>
        <v>Open</v>
      </c>
      <c r="J400" s="9" t="str">
        <f t="shared" ca="1" si="6"/>
        <v>Open</v>
      </c>
      <c r="K400" s="9"/>
    </row>
    <row r="401" spans="1:11" ht="30" customHeight="1" x14ac:dyDescent="0.25">
      <c r="A401" s="58" t="s">
        <v>436</v>
      </c>
      <c r="B401" s="42" t="s">
        <v>872</v>
      </c>
      <c r="C401" s="64" t="s">
        <v>68</v>
      </c>
      <c r="D401" s="11" t="s">
        <v>7</v>
      </c>
      <c r="E401" s="72" t="s">
        <v>2912</v>
      </c>
      <c r="F401" s="57" t="s">
        <v>825</v>
      </c>
      <c r="G401" s="49" t="s">
        <v>2</v>
      </c>
      <c r="H401" s="11"/>
      <c r="I401" t="str">
        <f>IFERROR(HYPERLINK("#Main!A"&amp;MATCH(A401,Main!A:A,0),"Open"),HYPERLINK("#Main!A1","Open"))</f>
        <v>Open</v>
      </c>
      <c r="J401" t="str">
        <f t="shared" ca="1" si="6"/>
        <v>Open</v>
      </c>
    </row>
    <row r="402" spans="1:11" ht="30" customHeight="1" x14ac:dyDescent="0.25">
      <c r="A402" s="59" t="s">
        <v>436</v>
      </c>
      <c r="B402" s="48" t="s">
        <v>873</v>
      </c>
      <c r="C402" s="64" t="s">
        <v>68</v>
      </c>
      <c r="D402" s="8" t="s">
        <v>7</v>
      </c>
      <c r="E402" s="71" t="s">
        <v>2913</v>
      </c>
      <c r="F402" s="57" t="s">
        <v>825</v>
      </c>
      <c r="G402" s="49" t="s">
        <v>2</v>
      </c>
      <c r="H402" s="8"/>
      <c r="I402" s="9" t="str">
        <f>IFERROR(HYPERLINK("#Main!A"&amp;MATCH(A402,Main!A:A,0),"Open"),HYPERLINK("#Main!A1","Open"))</f>
        <v>Open</v>
      </c>
      <c r="J402" s="9" t="str">
        <f t="shared" ca="1" si="6"/>
        <v>Open</v>
      </c>
      <c r="K402" s="9"/>
    </row>
    <row r="403" spans="1:11" ht="30" customHeight="1" x14ac:dyDescent="0.25">
      <c r="A403" s="58" t="s">
        <v>436</v>
      </c>
      <c r="B403" s="42" t="s">
        <v>884</v>
      </c>
      <c r="C403" s="64" t="s">
        <v>68</v>
      </c>
      <c r="D403" s="11" t="s">
        <v>7</v>
      </c>
      <c r="E403" s="72" t="s">
        <v>2914</v>
      </c>
      <c r="F403" s="60" t="s">
        <v>98</v>
      </c>
      <c r="G403" s="49" t="s">
        <v>2</v>
      </c>
      <c r="H403" s="11"/>
      <c r="I403" t="str">
        <f>IFERROR(HYPERLINK("#Main!A"&amp;MATCH(A403,Main!A:A,0),"Open"),HYPERLINK("#Main!A1","Open"))</f>
        <v>Open</v>
      </c>
      <c r="J403" t="str">
        <f t="shared" ca="1" si="6"/>
        <v>Open</v>
      </c>
    </row>
    <row r="404" spans="1:11" ht="30" customHeight="1" x14ac:dyDescent="0.25">
      <c r="A404" s="59" t="s">
        <v>436</v>
      </c>
      <c r="B404" s="48" t="s">
        <v>874</v>
      </c>
      <c r="C404" s="64" t="s">
        <v>68</v>
      </c>
      <c r="D404" s="8" t="s">
        <v>9</v>
      </c>
      <c r="E404" s="71" t="s">
        <v>2915</v>
      </c>
      <c r="F404" s="60" t="s">
        <v>98</v>
      </c>
      <c r="G404" s="49" t="s">
        <v>2</v>
      </c>
      <c r="H404" s="8"/>
      <c r="I404" s="9" t="str">
        <f>IFERROR(HYPERLINK("#Main!A"&amp;MATCH(A404,Main!A:A,0),"Open"),HYPERLINK("#Main!A1","Open"))</f>
        <v>Open</v>
      </c>
      <c r="J404" s="9" t="str">
        <f t="shared" ca="1" si="6"/>
        <v>Open</v>
      </c>
      <c r="K404" s="9"/>
    </row>
    <row r="405" spans="1:11" ht="30" customHeight="1" x14ac:dyDescent="0.25">
      <c r="A405" s="58" t="s">
        <v>436</v>
      </c>
      <c r="B405" s="42" t="s">
        <v>877</v>
      </c>
      <c r="C405" s="64" t="s">
        <v>68</v>
      </c>
      <c r="D405" s="11" t="s">
        <v>7</v>
      </c>
      <c r="E405" s="72" t="s">
        <v>2916</v>
      </c>
      <c r="F405" s="60" t="s">
        <v>98</v>
      </c>
      <c r="G405" s="49" t="s">
        <v>2</v>
      </c>
      <c r="H405" s="11"/>
      <c r="I405" t="str">
        <f>IFERROR(HYPERLINK("#Main!A"&amp;MATCH(A405,Main!A:A,0),"Open"),HYPERLINK("#Main!A1","Open"))</f>
        <v>Open</v>
      </c>
      <c r="J405" t="str">
        <f t="shared" ca="1" si="6"/>
        <v>Open</v>
      </c>
    </row>
    <row r="406" spans="1:11" ht="30" customHeight="1" x14ac:dyDescent="0.25">
      <c r="A406" s="59" t="s">
        <v>436</v>
      </c>
      <c r="B406" s="48" t="s">
        <v>880</v>
      </c>
      <c r="C406" s="64" t="s">
        <v>68</v>
      </c>
      <c r="D406" s="8" t="s">
        <v>7</v>
      </c>
      <c r="E406" s="71" t="s">
        <v>2917</v>
      </c>
      <c r="F406" s="60" t="s">
        <v>98</v>
      </c>
      <c r="G406" s="49" t="s">
        <v>2</v>
      </c>
      <c r="H406" s="8"/>
      <c r="I406" s="9" t="str">
        <f>IFERROR(HYPERLINK("#Main!A"&amp;MATCH(A406,Main!A:A,0),"Open"),HYPERLINK("#Main!A1","Open"))</f>
        <v>Open</v>
      </c>
      <c r="J406" s="9" t="str">
        <f t="shared" ca="1" si="6"/>
        <v>Open</v>
      </c>
      <c r="K406" s="9"/>
    </row>
    <row r="407" spans="1:11" ht="30" customHeight="1" x14ac:dyDescent="0.25">
      <c r="A407" s="58" t="s">
        <v>436</v>
      </c>
      <c r="B407" s="42" t="s">
        <v>883</v>
      </c>
      <c r="C407" s="64" t="s">
        <v>68</v>
      </c>
      <c r="D407" s="11" t="s">
        <v>7</v>
      </c>
      <c r="E407" s="72" t="s">
        <v>2918</v>
      </c>
      <c r="F407" s="60" t="s">
        <v>98</v>
      </c>
      <c r="G407" s="49" t="s">
        <v>2</v>
      </c>
      <c r="H407" s="11"/>
      <c r="I407" t="str">
        <f>IFERROR(HYPERLINK("#Main!A"&amp;MATCH(A407,Main!A:A,0),"Open"),HYPERLINK("#Main!A1","Open"))</f>
        <v>Open</v>
      </c>
      <c r="J407" t="str">
        <f t="shared" ca="1" si="6"/>
        <v>Open</v>
      </c>
    </row>
    <row r="408" spans="1:11" ht="30" customHeight="1" x14ac:dyDescent="0.25">
      <c r="A408" s="59" t="s">
        <v>473</v>
      </c>
      <c r="B408" s="48" t="s">
        <v>858</v>
      </c>
      <c r="C408" s="61" t="s">
        <v>67</v>
      </c>
      <c r="D408" s="8" t="s">
        <v>9</v>
      </c>
      <c r="E408" s="71" t="s">
        <v>2919</v>
      </c>
      <c r="F408" s="60" t="s">
        <v>98</v>
      </c>
      <c r="G408" s="49" t="s">
        <v>2</v>
      </c>
      <c r="H408" s="8"/>
      <c r="I408" s="9" t="str">
        <f>IFERROR(HYPERLINK("#Main!A"&amp;MATCH(A408,Main!A:A,0),"Open"),HYPERLINK("#Main!A1","Open"))</f>
        <v>Open</v>
      </c>
      <c r="J408" s="9" t="str">
        <f t="shared" ca="1" si="6"/>
        <v>Open</v>
      </c>
      <c r="K408" s="9"/>
    </row>
    <row r="409" spans="1:11" ht="30" customHeight="1" x14ac:dyDescent="0.25">
      <c r="A409" s="58" t="s">
        <v>473</v>
      </c>
      <c r="B409" s="42" t="s">
        <v>102</v>
      </c>
      <c r="C409" s="64" t="s">
        <v>68</v>
      </c>
      <c r="D409" s="11" t="s">
        <v>7</v>
      </c>
      <c r="E409" s="72" t="s">
        <v>2920</v>
      </c>
      <c r="F409" s="57" t="s">
        <v>825</v>
      </c>
      <c r="G409" s="49" t="s">
        <v>2</v>
      </c>
      <c r="H409" s="11"/>
      <c r="I409" t="str">
        <f>IFERROR(HYPERLINK("#Main!A"&amp;MATCH(A409,Main!A:A,0),"Open"),HYPERLINK("#Main!A1","Open"))</f>
        <v>Open</v>
      </c>
      <c r="J409" t="str">
        <f t="shared" ca="1" si="6"/>
        <v>Open</v>
      </c>
    </row>
    <row r="410" spans="1:11" ht="30" customHeight="1" x14ac:dyDescent="0.25">
      <c r="A410" s="59" t="s">
        <v>473</v>
      </c>
      <c r="B410" s="48" t="s">
        <v>872</v>
      </c>
      <c r="C410" s="64" t="s">
        <v>68</v>
      </c>
      <c r="D410" s="8" t="s">
        <v>7</v>
      </c>
      <c r="E410" s="71" t="s">
        <v>2921</v>
      </c>
      <c r="F410" s="57" t="s">
        <v>825</v>
      </c>
      <c r="G410" s="49" t="s">
        <v>2</v>
      </c>
      <c r="H410" s="8"/>
      <c r="I410" s="9" t="str">
        <f>IFERROR(HYPERLINK("#Main!A"&amp;MATCH(A410,Main!A:A,0),"Open"),HYPERLINK("#Main!A1","Open"))</f>
        <v>Open</v>
      </c>
      <c r="J410" s="9" t="str">
        <f t="shared" ca="1" si="6"/>
        <v>Open</v>
      </c>
      <c r="K410" s="9"/>
    </row>
    <row r="411" spans="1:11" ht="30" customHeight="1" x14ac:dyDescent="0.25">
      <c r="A411" s="58" t="s">
        <v>473</v>
      </c>
      <c r="B411" s="42" t="s">
        <v>873</v>
      </c>
      <c r="C411" s="64" t="s">
        <v>68</v>
      </c>
      <c r="D411" s="11" t="s">
        <v>7</v>
      </c>
      <c r="E411" s="72" t="s">
        <v>2922</v>
      </c>
      <c r="F411" s="57" t="s">
        <v>825</v>
      </c>
      <c r="G411" s="49" t="s">
        <v>2</v>
      </c>
      <c r="H411" s="11"/>
      <c r="I411" t="str">
        <f>IFERROR(HYPERLINK("#Main!A"&amp;MATCH(A411,Main!A:A,0),"Open"),HYPERLINK("#Main!A1","Open"))</f>
        <v>Open</v>
      </c>
      <c r="J411" t="str">
        <f t="shared" ca="1" si="6"/>
        <v>Open</v>
      </c>
    </row>
    <row r="412" spans="1:11" ht="30" customHeight="1" x14ac:dyDescent="0.25">
      <c r="A412" s="59" t="s">
        <v>473</v>
      </c>
      <c r="B412" s="48" t="s">
        <v>874</v>
      </c>
      <c r="C412" s="64" t="s">
        <v>68</v>
      </c>
      <c r="D412" s="8" t="s">
        <v>9</v>
      </c>
      <c r="E412" s="71" t="s">
        <v>2923</v>
      </c>
      <c r="F412" s="60" t="s">
        <v>98</v>
      </c>
      <c r="G412" s="49" t="s">
        <v>2</v>
      </c>
      <c r="H412" s="8"/>
      <c r="I412" s="9" t="str">
        <f>IFERROR(HYPERLINK("#Main!A"&amp;MATCH(A412,Main!A:A,0),"Open"),HYPERLINK("#Main!A1","Open"))</f>
        <v>Open</v>
      </c>
      <c r="J412" s="9" t="str">
        <f t="shared" ca="1" si="6"/>
        <v>Open</v>
      </c>
      <c r="K412" s="9"/>
    </row>
    <row r="413" spans="1:11" ht="30" customHeight="1" x14ac:dyDescent="0.25">
      <c r="A413" s="58" t="s">
        <v>473</v>
      </c>
      <c r="B413" s="42" t="s">
        <v>877</v>
      </c>
      <c r="C413" s="64" t="s">
        <v>68</v>
      </c>
      <c r="D413" s="11" t="s">
        <v>7</v>
      </c>
      <c r="E413" s="72" t="s">
        <v>2924</v>
      </c>
      <c r="F413" s="60" t="s">
        <v>98</v>
      </c>
      <c r="G413" s="49" t="s">
        <v>2</v>
      </c>
      <c r="H413" s="11"/>
      <c r="I413" t="str">
        <f>IFERROR(HYPERLINK("#Main!A"&amp;MATCH(A413,Main!A:A,0),"Open"),HYPERLINK("#Main!A1","Open"))</f>
        <v>Open</v>
      </c>
      <c r="J413" t="str">
        <f t="shared" ca="1" si="6"/>
        <v>Open</v>
      </c>
    </row>
    <row r="414" spans="1:11" ht="30" customHeight="1" x14ac:dyDescent="0.25">
      <c r="A414" s="59" t="s">
        <v>473</v>
      </c>
      <c r="B414" s="48" t="s">
        <v>880</v>
      </c>
      <c r="C414" s="64" t="s">
        <v>68</v>
      </c>
      <c r="D414" s="8" t="s">
        <v>7</v>
      </c>
      <c r="E414" s="71" t="s">
        <v>2925</v>
      </c>
      <c r="F414" s="60" t="s">
        <v>98</v>
      </c>
      <c r="G414" s="49" t="s">
        <v>2</v>
      </c>
      <c r="H414" s="8"/>
      <c r="I414" s="9" t="str">
        <f>IFERROR(HYPERLINK("#Main!A"&amp;MATCH(A414,Main!A:A,0),"Open"),HYPERLINK("#Main!A1","Open"))</f>
        <v>Open</v>
      </c>
      <c r="J414" s="9" t="str">
        <f t="shared" ca="1" si="6"/>
        <v>Open</v>
      </c>
      <c r="K414" s="9"/>
    </row>
    <row r="415" spans="1:11" ht="30" customHeight="1" x14ac:dyDescent="0.25">
      <c r="A415" s="58" t="s">
        <v>473</v>
      </c>
      <c r="B415" s="42" t="s">
        <v>883</v>
      </c>
      <c r="C415" s="64" t="s">
        <v>68</v>
      </c>
      <c r="D415" s="11" t="s">
        <v>7</v>
      </c>
      <c r="E415" s="72" t="s">
        <v>2926</v>
      </c>
      <c r="F415" s="60" t="s">
        <v>98</v>
      </c>
      <c r="G415" s="49" t="s">
        <v>2</v>
      </c>
      <c r="H415" s="11"/>
      <c r="I415" t="str">
        <f>IFERROR(HYPERLINK("#Main!A"&amp;MATCH(A415,Main!A:A,0),"Open"),HYPERLINK("#Main!A1","Open"))</f>
        <v>Open</v>
      </c>
      <c r="J415" t="str">
        <f t="shared" ca="1" si="6"/>
        <v>Open</v>
      </c>
    </row>
    <row r="416" spans="1:11" ht="30" customHeight="1" x14ac:dyDescent="0.25">
      <c r="A416" s="59" t="s">
        <v>489</v>
      </c>
      <c r="B416" s="48" t="s">
        <v>858</v>
      </c>
      <c r="C416" s="61" t="s">
        <v>67</v>
      </c>
      <c r="D416" s="8" t="s">
        <v>9</v>
      </c>
      <c r="E416" s="71" t="s">
        <v>2927</v>
      </c>
      <c r="F416" s="60" t="s">
        <v>98</v>
      </c>
      <c r="G416" s="49" t="s">
        <v>2</v>
      </c>
      <c r="H416" s="8"/>
      <c r="I416" s="9" t="str">
        <f>IFERROR(HYPERLINK("#Main!A"&amp;MATCH(A416,Main!A:A,0),"Open"),HYPERLINK("#Main!A1","Open"))</f>
        <v>Open</v>
      </c>
      <c r="J416" s="9" t="str">
        <f t="shared" ca="1" si="6"/>
        <v>Open</v>
      </c>
      <c r="K416" s="9"/>
    </row>
    <row r="417" spans="1:11" ht="30" customHeight="1" x14ac:dyDescent="0.25">
      <c r="A417" s="58" t="s">
        <v>489</v>
      </c>
      <c r="B417" s="42" t="s">
        <v>102</v>
      </c>
      <c r="C417" s="64" t="s">
        <v>68</v>
      </c>
      <c r="D417" s="11" t="s">
        <v>7</v>
      </c>
      <c r="E417" s="72" t="s">
        <v>2928</v>
      </c>
      <c r="F417" s="57" t="s">
        <v>825</v>
      </c>
      <c r="G417" s="49" t="s">
        <v>2</v>
      </c>
      <c r="H417" s="11"/>
      <c r="I417" t="str">
        <f>IFERROR(HYPERLINK("#Main!A"&amp;MATCH(A417,Main!A:A,0),"Open"),HYPERLINK("#Main!A1","Open"))</f>
        <v>Open</v>
      </c>
      <c r="J417" t="str">
        <f t="shared" ca="1" si="6"/>
        <v>Open</v>
      </c>
    </row>
    <row r="418" spans="1:11" ht="30" customHeight="1" x14ac:dyDescent="0.25">
      <c r="A418" s="59" t="s">
        <v>489</v>
      </c>
      <c r="B418" s="48" t="s">
        <v>872</v>
      </c>
      <c r="C418" s="64" t="s">
        <v>68</v>
      </c>
      <c r="D418" s="8" t="s">
        <v>7</v>
      </c>
      <c r="E418" s="71" t="s">
        <v>2929</v>
      </c>
      <c r="F418" s="57" t="s">
        <v>825</v>
      </c>
      <c r="G418" s="49" t="s">
        <v>2</v>
      </c>
      <c r="H418" s="8"/>
      <c r="I418" s="9" t="str">
        <f>IFERROR(HYPERLINK("#Main!A"&amp;MATCH(A418,Main!A:A,0),"Open"),HYPERLINK("#Main!A1","Open"))</f>
        <v>Open</v>
      </c>
      <c r="J418" s="9" t="str">
        <f t="shared" ca="1" si="6"/>
        <v>Open</v>
      </c>
      <c r="K418" s="9"/>
    </row>
    <row r="419" spans="1:11" ht="30" customHeight="1" x14ac:dyDescent="0.25">
      <c r="A419" s="58" t="s">
        <v>489</v>
      </c>
      <c r="B419" s="42" t="s">
        <v>873</v>
      </c>
      <c r="C419" s="64" t="s">
        <v>68</v>
      </c>
      <c r="D419" s="11" t="s">
        <v>7</v>
      </c>
      <c r="E419" s="72" t="s">
        <v>2930</v>
      </c>
      <c r="F419" s="57" t="s">
        <v>825</v>
      </c>
      <c r="G419" s="49" t="s">
        <v>2</v>
      </c>
      <c r="H419" s="11"/>
      <c r="I419" t="str">
        <f>IFERROR(HYPERLINK("#Main!A"&amp;MATCH(A419,Main!A:A,0),"Open"),HYPERLINK("#Main!A1","Open"))</f>
        <v>Open</v>
      </c>
      <c r="J419" t="str">
        <f t="shared" ca="1" si="6"/>
        <v>Open</v>
      </c>
    </row>
    <row r="420" spans="1:11" ht="30" customHeight="1" x14ac:dyDescent="0.25">
      <c r="A420" s="59" t="s">
        <v>489</v>
      </c>
      <c r="B420" s="48" t="s">
        <v>874</v>
      </c>
      <c r="C420" s="64" t="s">
        <v>68</v>
      </c>
      <c r="D420" s="8" t="s">
        <v>9</v>
      </c>
      <c r="E420" s="71" t="s">
        <v>2931</v>
      </c>
      <c r="F420" s="60" t="s">
        <v>98</v>
      </c>
      <c r="G420" s="49" t="s">
        <v>2</v>
      </c>
      <c r="H420" s="8"/>
      <c r="I420" s="9" t="str">
        <f>IFERROR(HYPERLINK("#Main!A"&amp;MATCH(A420,Main!A:A,0),"Open"),HYPERLINK("#Main!A1","Open"))</f>
        <v>Open</v>
      </c>
      <c r="J420" s="9" t="str">
        <f t="shared" ca="1" si="6"/>
        <v>Open</v>
      </c>
      <c r="K420" s="9"/>
    </row>
    <row r="421" spans="1:11" ht="30" customHeight="1" x14ac:dyDescent="0.25">
      <c r="A421" s="58" t="s">
        <v>489</v>
      </c>
      <c r="B421" s="42" t="s">
        <v>877</v>
      </c>
      <c r="C421" s="64" t="s">
        <v>68</v>
      </c>
      <c r="D421" s="11" t="s">
        <v>7</v>
      </c>
      <c r="E421" s="72" t="s">
        <v>2932</v>
      </c>
      <c r="F421" s="60" t="s">
        <v>98</v>
      </c>
      <c r="G421" s="49" t="s">
        <v>2</v>
      </c>
      <c r="H421" s="11"/>
      <c r="I421" t="str">
        <f>IFERROR(HYPERLINK("#Main!A"&amp;MATCH(A421,Main!A:A,0),"Open"),HYPERLINK("#Main!A1","Open"))</f>
        <v>Open</v>
      </c>
      <c r="J421" t="str">
        <f t="shared" ca="1" si="6"/>
        <v>Open</v>
      </c>
    </row>
    <row r="422" spans="1:11" ht="30" customHeight="1" x14ac:dyDescent="0.25">
      <c r="A422" s="59" t="s">
        <v>489</v>
      </c>
      <c r="B422" s="48" t="s">
        <v>880</v>
      </c>
      <c r="C422" s="64" t="s">
        <v>68</v>
      </c>
      <c r="D422" s="8" t="s">
        <v>7</v>
      </c>
      <c r="E422" s="71" t="s">
        <v>2933</v>
      </c>
      <c r="F422" s="60" t="s">
        <v>98</v>
      </c>
      <c r="G422" s="49" t="s">
        <v>2</v>
      </c>
      <c r="H422" s="8"/>
      <c r="I422" s="9" t="str">
        <f>IFERROR(HYPERLINK("#Main!A"&amp;MATCH(A422,Main!A:A,0),"Open"),HYPERLINK("#Main!A1","Open"))</f>
        <v>Open</v>
      </c>
      <c r="J422" s="9" t="str">
        <f t="shared" ca="1" si="6"/>
        <v>Open</v>
      </c>
      <c r="K422" s="9"/>
    </row>
    <row r="423" spans="1:11" ht="30" customHeight="1" x14ac:dyDescent="0.25">
      <c r="A423" s="58" t="s">
        <v>489</v>
      </c>
      <c r="B423" s="42" t="s">
        <v>883</v>
      </c>
      <c r="C423" s="64" t="s">
        <v>68</v>
      </c>
      <c r="D423" s="11" t="s">
        <v>7</v>
      </c>
      <c r="E423" s="72" t="s">
        <v>2934</v>
      </c>
      <c r="F423" s="60" t="s">
        <v>98</v>
      </c>
      <c r="G423" s="49" t="s">
        <v>2</v>
      </c>
      <c r="H423" s="11"/>
      <c r="I423" t="str">
        <f>IFERROR(HYPERLINK("#Main!A"&amp;MATCH(A423,Main!A:A,0),"Open"),HYPERLINK("#Main!A1","Open"))</f>
        <v>Open</v>
      </c>
      <c r="J423" t="str">
        <f t="shared" ca="1" si="6"/>
        <v>Open</v>
      </c>
    </row>
    <row r="424" spans="1:11" ht="30" customHeight="1" x14ac:dyDescent="0.25">
      <c r="A424" s="59" t="s">
        <v>338</v>
      </c>
      <c r="B424" s="48" t="s">
        <v>830</v>
      </c>
      <c r="C424" s="49" t="s">
        <v>66</v>
      </c>
      <c r="D424" s="8" t="s">
        <v>7</v>
      </c>
      <c r="E424" s="71" t="s">
        <v>2935</v>
      </c>
      <c r="F424" s="57" t="s">
        <v>825</v>
      </c>
      <c r="G424" s="49" t="s">
        <v>2</v>
      </c>
      <c r="H424" s="8"/>
      <c r="I424" s="9" t="str">
        <f>IFERROR(HYPERLINK("#Main!A"&amp;MATCH(A424,Main!A:A,0),"Open"),HYPERLINK("#Main!A1","Open"))</f>
        <v>Open</v>
      </c>
      <c r="J424" s="9" t="str">
        <f t="shared" ca="1" si="6"/>
        <v>Open</v>
      </c>
      <c r="K424" s="9"/>
    </row>
    <row r="425" spans="1:11" ht="30" customHeight="1" x14ac:dyDescent="0.25">
      <c r="A425" s="58" t="s">
        <v>338</v>
      </c>
      <c r="B425" s="42" t="s">
        <v>834</v>
      </c>
      <c r="C425" s="49" t="s">
        <v>66</v>
      </c>
      <c r="D425" s="11" t="s">
        <v>7</v>
      </c>
      <c r="E425" s="72" t="s">
        <v>2936</v>
      </c>
      <c r="F425" s="60" t="s">
        <v>98</v>
      </c>
      <c r="G425" s="49" t="s">
        <v>2</v>
      </c>
      <c r="H425" s="11"/>
      <c r="I425" t="str">
        <f>IFERROR(HYPERLINK("#Main!A"&amp;MATCH(A425,Main!A:A,0),"Open"),HYPERLINK("#Main!A1","Open"))</f>
        <v>Open</v>
      </c>
      <c r="J425" t="str">
        <f t="shared" ca="1" si="6"/>
        <v>Open</v>
      </c>
    </row>
    <row r="426" spans="1:11" ht="30" customHeight="1" x14ac:dyDescent="0.25">
      <c r="A426" s="59" t="s">
        <v>338</v>
      </c>
      <c r="B426" s="48" t="s">
        <v>853</v>
      </c>
      <c r="C426" s="61" t="s">
        <v>67</v>
      </c>
      <c r="D426" s="8" t="s">
        <v>7</v>
      </c>
      <c r="E426" s="71" t="s">
        <v>2937</v>
      </c>
      <c r="F426" s="60" t="s">
        <v>98</v>
      </c>
      <c r="G426" s="49" t="s">
        <v>2</v>
      </c>
      <c r="H426" s="8"/>
      <c r="I426" s="9" t="str">
        <f>IFERROR(HYPERLINK("#Main!A"&amp;MATCH(A426,Main!A:A,0),"Open"),HYPERLINK("#Main!A1","Open"))</f>
        <v>Open</v>
      </c>
      <c r="J426" s="9" t="str">
        <f t="shared" ca="1" si="6"/>
        <v>Open</v>
      </c>
      <c r="K426" s="9"/>
    </row>
    <row r="427" spans="1:11" ht="30" customHeight="1" x14ac:dyDescent="0.25">
      <c r="A427" s="58" t="s">
        <v>338</v>
      </c>
      <c r="B427" s="42" t="s">
        <v>858</v>
      </c>
      <c r="C427" s="61" t="s">
        <v>67</v>
      </c>
      <c r="D427" s="11" t="s">
        <v>9</v>
      </c>
      <c r="E427" s="72" t="s">
        <v>2938</v>
      </c>
      <c r="F427" s="60" t="s">
        <v>98</v>
      </c>
      <c r="G427" s="49" t="s">
        <v>2</v>
      </c>
      <c r="H427" s="11"/>
      <c r="I427" t="str">
        <f>IFERROR(HYPERLINK("#Main!A"&amp;MATCH(A427,Main!A:A,0),"Open"),HYPERLINK("#Main!A1","Open"))</f>
        <v>Open</v>
      </c>
      <c r="J427" t="str">
        <f t="shared" ca="1" si="6"/>
        <v>Open</v>
      </c>
    </row>
    <row r="428" spans="1:11" ht="30" customHeight="1" x14ac:dyDescent="0.25">
      <c r="A428" s="59" t="s">
        <v>338</v>
      </c>
      <c r="B428" s="48" t="s">
        <v>102</v>
      </c>
      <c r="C428" s="64" t="s">
        <v>68</v>
      </c>
      <c r="D428" s="8" t="s">
        <v>7</v>
      </c>
      <c r="E428" s="71" t="s">
        <v>2939</v>
      </c>
      <c r="F428" s="57" t="s">
        <v>825</v>
      </c>
      <c r="G428" s="49" t="s">
        <v>2</v>
      </c>
      <c r="H428" s="8"/>
      <c r="I428" s="9" t="str">
        <f>IFERROR(HYPERLINK("#Main!A"&amp;MATCH(A428,Main!A:A,0),"Open"),HYPERLINK("#Main!A1","Open"))</f>
        <v>Open</v>
      </c>
      <c r="J428" s="9" t="str">
        <f t="shared" ca="1" si="6"/>
        <v>Open</v>
      </c>
      <c r="K428" s="9"/>
    </row>
    <row r="429" spans="1:11" ht="30" customHeight="1" x14ac:dyDescent="0.25">
      <c r="A429" s="58" t="s">
        <v>338</v>
      </c>
      <c r="B429" s="42" t="s">
        <v>872</v>
      </c>
      <c r="C429" s="64" t="s">
        <v>68</v>
      </c>
      <c r="D429" s="11" t="s">
        <v>7</v>
      </c>
      <c r="E429" s="72" t="s">
        <v>2940</v>
      </c>
      <c r="F429" s="57" t="s">
        <v>825</v>
      </c>
      <c r="G429" s="49" t="s">
        <v>2</v>
      </c>
      <c r="H429" s="11"/>
      <c r="I429" t="str">
        <f>IFERROR(HYPERLINK("#Main!A"&amp;MATCH(A429,Main!A:A,0),"Open"),HYPERLINK("#Main!A1","Open"))</f>
        <v>Open</v>
      </c>
      <c r="J429" t="str">
        <f t="shared" ca="1" si="6"/>
        <v>Open</v>
      </c>
    </row>
    <row r="430" spans="1:11" ht="30" customHeight="1" x14ac:dyDescent="0.25">
      <c r="A430" s="59" t="s">
        <v>338</v>
      </c>
      <c r="B430" s="48" t="s">
        <v>873</v>
      </c>
      <c r="C430" s="64" t="s">
        <v>68</v>
      </c>
      <c r="D430" s="8" t="s">
        <v>7</v>
      </c>
      <c r="E430" s="71" t="s">
        <v>2941</v>
      </c>
      <c r="F430" s="57" t="s">
        <v>825</v>
      </c>
      <c r="G430" s="49" t="s">
        <v>2</v>
      </c>
      <c r="H430" s="8"/>
      <c r="I430" s="9" t="str">
        <f>IFERROR(HYPERLINK("#Main!A"&amp;MATCH(A430,Main!A:A,0),"Open"),HYPERLINK("#Main!A1","Open"))</f>
        <v>Open</v>
      </c>
      <c r="J430" s="9" t="str">
        <f t="shared" ca="1" si="6"/>
        <v>Open</v>
      </c>
      <c r="K430" s="9"/>
    </row>
    <row r="431" spans="1:11" ht="30" customHeight="1" x14ac:dyDescent="0.25">
      <c r="A431" s="58" t="s">
        <v>338</v>
      </c>
      <c r="B431" s="42" t="s">
        <v>874</v>
      </c>
      <c r="C431" s="64" t="s">
        <v>68</v>
      </c>
      <c r="D431" s="11" t="s">
        <v>9</v>
      </c>
      <c r="E431" s="72" t="s">
        <v>2942</v>
      </c>
      <c r="F431" s="60" t="s">
        <v>98</v>
      </c>
      <c r="G431" s="49" t="s">
        <v>2</v>
      </c>
      <c r="H431" s="11"/>
      <c r="I431" t="str">
        <f>IFERROR(HYPERLINK("#Main!A"&amp;MATCH(A431,Main!A:A,0),"Open"),HYPERLINK("#Main!A1","Open"))</f>
        <v>Open</v>
      </c>
      <c r="J431" t="str">
        <f t="shared" ca="1" si="6"/>
        <v>Open</v>
      </c>
    </row>
    <row r="432" spans="1:11" ht="30" customHeight="1" x14ac:dyDescent="0.25">
      <c r="A432" s="59" t="s">
        <v>338</v>
      </c>
      <c r="B432" s="48" t="s">
        <v>877</v>
      </c>
      <c r="C432" s="64" t="s">
        <v>68</v>
      </c>
      <c r="D432" s="8" t="s">
        <v>7</v>
      </c>
      <c r="E432" s="71" t="s">
        <v>2943</v>
      </c>
      <c r="F432" s="60" t="s">
        <v>98</v>
      </c>
      <c r="G432" s="49" t="s">
        <v>2</v>
      </c>
      <c r="H432" s="8"/>
      <c r="I432" s="9" t="str">
        <f>IFERROR(HYPERLINK("#Main!A"&amp;MATCH(A432,Main!A:A,0),"Open"),HYPERLINK("#Main!A1","Open"))</f>
        <v>Open</v>
      </c>
      <c r="J432" s="9" t="str">
        <f t="shared" ca="1" si="6"/>
        <v>Open</v>
      </c>
      <c r="K432" s="9"/>
    </row>
    <row r="433" spans="1:11" ht="30" customHeight="1" x14ac:dyDescent="0.25">
      <c r="A433" s="58" t="s">
        <v>338</v>
      </c>
      <c r="B433" s="42" t="s">
        <v>880</v>
      </c>
      <c r="C433" s="64" t="s">
        <v>68</v>
      </c>
      <c r="D433" s="11" t="s">
        <v>7</v>
      </c>
      <c r="E433" s="72" t="s">
        <v>2944</v>
      </c>
      <c r="F433" s="60" t="s">
        <v>98</v>
      </c>
      <c r="G433" s="49" t="s">
        <v>2</v>
      </c>
      <c r="H433" s="11"/>
      <c r="I433" t="str">
        <f>IFERROR(HYPERLINK("#Main!A"&amp;MATCH(A433,Main!A:A,0),"Open"),HYPERLINK("#Main!A1","Open"))</f>
        <v>Open</v>
      </c>
      <c r="J433" t="str">
        <f t="shared" ca="1" si="6"/>
        <v>Open</v>
      </c>
    </row>
    <row r="434" spans="1:11" ht="30" customHeight="1" x14ac:dyDescent="0.25">
      <c r="A434" s="59" t="s">
        <v>338</v>
      </c>
      <c r="B434" s="48" t="s">
        <v>871</v>
      </c>
      <c r="C434" s="64" t="s">
        <v>68</v>
      </c>
      <c r="D434" s="8" t="s">
        <v>7</v>
      </c>
      <c r="E434" s="71" t="s">
        <v>2945</v>
      </c>
      <c r="F434" s="60" t="s">
        <v>98</v>
      </c>
      <c r="G434" s="49" t="s">
        <v>2</v>
      </c>
      <c r="H434" s="8"/>
      <c r="I434" s="9" t="str">
        <f>IFERROR(HYPERLINK("#Main!A"&amp;MATCH(A434,Main!A:A,0),"Open"),HYPERLINK("#Main!A1","Open"))</f>
        <v>Open</v>
      </c>
      <c r="J434" s="9" t="str">
        <f t="shared" ca="1" si="6"/>
        <v>Open</v>
      </c>
      <c r="K434" s="9"/>
    </row>
    <row r="435" spans="1:11" ht="30" customHeight="1" x14ac:dyDescent="0.25">
      <c r="A435" s="58" t="s">
        <v>338</v>
      </c>
      <c r="B435" s="42" t="s">
        <v>883</v>
      </c>
      <c r="C435" s="64" t="s">
        <v>68</v>
      </c>
      <c r="D435" s="11" t="s">
        <v>7</v>
      </c>
      <c r="E435" s="72" t="s">
        <v>2946</v>
      </c>
      <c r="F435" s="60" t="s">
        <v>98</v>
      </c>
      <c r="G435" s="49" t="s">
        <v>2</v>
      </c>
      <c r="H435" s="11"/>
      <c r="I435" t="str">
        <f>IFERROR(HYPERLINK("#Main!A"&amp;MATCH(A435,Main!A:A,0),"Open"),HYPERLINK("#Main!A1","Open"))</f>
        <v>Open</v>
      </c>
      <c r="J435" t="str">
        <f t="shared" ca="1" si="6"/>
        <v>Open</v>
      </c>
    </row>
    <row r="436" spans="1:11" ht="30" customHeight="1" x14ac:dyDescent="0.25">
      <c r="A436" s="59" t="s">
        <v>433</v>
      </c>
      <c r="B436" s="48" t="s">
        <v>830</v>
      </c>
      <c r="C436" s="49" t="s">
        <v>66</v>
      </c>
      <c r="D436" s="8" t="s">
        <v>7</v>
      </c>
      <c r="E436" s="71" t="s">
        <v>2947</v>
      </c>
      <c r="F436" s="57" t="s">
        <v>825</v>
      </c>
      <c r="G436" s="49" t="s">
        <v>2</v>
      </c>
      <c r="H436" s="8"/>
      <c r="I436" s="9" t="str">
        <f>IFERROR(HYPERLINK("#Main!A"&amp;MATCH(A436,Main!A:A,0),"Open"),HYPERLINK("#Main!A1","Open"))</f>
        <v>Open</v>
      </c>
      <c r="J436" s="9" t="str">
        <f t="shared" ca="1" si="6"/>
        <v>Open</v>
      </c>
      <c r="K436" s="9"/>
    </row>
    <row r="437" spans="1:11" ht="30" customHeight="1" x14ac:dyDescent="0.25">
      <c r="A437" s="58" t="s">
        <v>433</v>
      </c>
      <c r="B437" s="42" t="s">
        <v>834</v>
      </c>
      <c r="C437" s="49" t="s">
        <v>66</v>
      </c>
      <c r="D437" s="11" t="s">
        <v>7</v>
      </c>
      <c r="E437" s="72" t="s">
        <v>2948</v>
      </c>
      <c r="F437" s="60" t="s">
        <v>98</v>
      </c>
      <c r="G437" s="49" t="s">
        <v>2</v>
      </c>
      <c r="H437" s="11"/>
      <c r="I437" t="str">
        <f>IFERROR(HYPERLINK("#Main!A"&amp;MATCH(A437,Main!A:A,0),"Open"),HYPERLINK("#Main!A1","Open"))</f>
        <v>Open</v>
      </c>
      <c r="J437" t="str">
        <f t="shared" ca="1" si="6"/>
        <v>Open</v>
      </c>
    </row>
    <row r="438" spans="1:11" ht="30" customHeight="1" x14ac:dyDescent="0.25">
      <c r="A438" s="59" t="s">
        <v>433</v>
      </c>
      <c r="B438" s="48" t="s">
        <v>853</v>
      </c>
      <c r="C438" s="61" t="s">
        <v>67</v>
      </c>
      <c r="D438" s="8" t="s">
        <v>7</v>
      </c>
      <c r="E438" s="71" t="s">
        <v>2949</v>
      </c>
      <c r="F438" s="60" t="s">
        <v>98</v>
      </c>
      <c r="G438" s="49" t="s">
        <v>2</v>
      </c>
      <c r="H438" s="8"/>
      <c r="I438" s="9" t="str">
        <f>IFERROR(HYPERLINK("#Main!A"&amp;MATCH(A438,Main!A:A,0),"Open"),HYPERLINK("#Main!A1","Open"))</f>
        <v>Open</v>
      </c>
      <c r="J438" s="9" t="str">
        <f t="shared" ca="1" si="6"/>
        <v>Open</v>
      </c>
      <c r="K438" s="9"/>
    </row>
    <row r="439" spans="1:11" ht="30" customHeight="1" x14ac:dyDescent="0.25">
      <c r="A439" s="58" t="s">
        <v>433</v>
      </c>
      <c r="B439" s="42" t="s">
        <v>858</v>
      </c>
      <c r="C439" s="61" t="s">
        <v>67</v>
      </c>
      <c r="D439" s="11" t="s">
        <v>9</v>
      </c>
      <c r="E439" s="72" t="s">
        <v>2950</v>
      </c>
      <c r="F439" s="60" t="s">
        <v>98</v>
      </c>
      <c r="G439" s="49" t="s">
        <v>2</v>
      </c>
      <c r="H439" s="11"/>
      <c r="I439" t="str">
        <f>IFERROR(HYPERLINK("#Main!A"&amp;MATCH(A439,Main!A:A,0),"Open"),HYPERLINK("#Main!A1","Open"))</f>
        <v>Open</v>
      </c>
      <c r="J439" t="str">
        <f t="shared" ca="1" si="6"/>
        <v>Open</v>
      </c>
    </row>
    <row r="440" spans="1:11" ht="30" customHeight="1" x14ac:dyDescent="0.25">
      <c r="A440" s="59" t="s">
        <v>433</v>
      </c>
      <c r="B440" s="48" t="s">
        <v>102</v>
      </c>
      <c r="C440" s="64" t="s">
        <v>68</v>
      </c>
      <c r="D440" s="8" t="s">
        <v>7</v>
      </c>
      <c r="E440" s="71" t="s">
        <v>2951</v>
      </c>
      <c r="F440" s="57" t="s">
        <v>825</v>
      </c>
      <c r="G440" s="49" t="s">
        <v>2</v>
      </c>
      <c r="H440" s="8"/>
      <c r="I440" s="9" t="str">
        <f>IFERROR(HYPERLINK("#Main!A"&amp;MATCH(A440,Main!A:A,0),"Open"),HYPERLINK("#Main!A1","Open"))</f>
        <v>Open</v>
      </c>
      <c r="J440" s="9" t="str">
        <f t="shared" ca="1" si="6"/>
        <v>Open</v>
      </c>
      <c r="K440" s="9"/>
    </row>
    <row r="441" spans="1:11" ht="30" customHeight="1" x14ac:dyDescent="0.25">
      <c r="A441" s="58" t="s">
        <v>433</v>
      </c>
      <c r="B441" s="42" t="s">
        <v>872</v>
      </c>
      <c r="C441" s="64" t="s">
        <v>68</v>
      </c>
      <c r="D441" s="11" t="s">
        <v>7</v>
      </c>
      <c r="E441" s="72" t="s">
        <v>2952</v>
      </c>
      <c r="F441" s="57" t="s">
        <v>825</v>
      </c>
      <c r="G441" s="49" t="s">
        <v>2</v>
      </c>
      <c r="H441" s="11"/>
      <c r="I441" t="str">
        <f>IFERROR(HYPERLINK("#Main!A"&amp;MATCH(A441,Main!A:A,0),"Open"),HYPERLINK("#Main!A1","Open"))</f>
        <v>Open</v>
      </c>
      <c r="J441" t="str">
        <f t="shared" ca="1" si="6"/>
        <v>Open</v>
      </c>
    </row>
    <row r="442" spans="1:11" ht="30" customHeight="1" x14ac:dyDescent="0.25">
      <c r="A442" s="59" t="s">
        <v>433</v>
      </c>
      <c r="B442" s="48" t="s">
        <v>873</v>
      </c>
      <c r="C442" s="64" t="s">
        <v>68</v>
      </c>
      <c r="D442" s="8" t="s">
        <v>7</v>
      </c>
      <c r="E442" s="71" t="s">
        <v>2953</v>
      </c>
      <c r="F442" s="57" t="s">
        <v>825</v>
      </c>
      <c r="G442" s="49" t="s">
        <v>2</v>
      </c>
      <c r="H442" s="8"/>
      <c r="I442" s="9" t="str">
        <f>IFERROR(HYPERLINK("#Main!A"&amp;MATCH(A442,Main!A:A,0),"Open"),HYPERLINK("#Main!A1","Open"))</f>
        <v>Open</v>
      </c>
      <c r="J442" s="9" t="str">
        <f t="shared" ca="1" si="6"/>
        <v>Open</v>
      </c>
      <c r="K442" s="9"/>
    </row>
    <row r="443" spans="1:11" ht="30" customHeight="1" x14ac:dyDescent="0.25">
      <c r="A443" s="58" t="s">
        <v>433</v>
      </c>
      <c r="B443" s="42" t="s">
        <v>874</v>
      </c>
      <c r="C443" s="64" t="s">
        <v>68</v>
      </c>
      <c r="D443" s="11" t="s">
        <v>9</v>
      </c>
      <c r="E443" s="72" t="s">
        <v>2954</v>
      </c>
      <c r="F443" s="60" t="s">
        <v>98</v>
      </c>
      <c r="G443" s="49" t="s">
        <v>2</v>
      </c>
      <c r="H443" s="11"/>
      <c r="I443" t="str">
        <f>IFERROR(HYPERLINK("#Main!A"&amp;MATCH(A443,Main!A:A,0),"Open"),HYPERLINK("#Main!A1","Open"))</f>
        <v>Open</v>
      </c>
      <c r="J443" t="str">
        <f t="shared" ca="1" si="6"/>
        <v>Open</v>
      </c>
    </row>
    <row r="444" spans="1:11" ht="30" customHeight="1" x14ac:dyDescent="0.25">
      <c r="A444" s="59" t="s">
        <v>433</v>
      </c>
      <c r="B444" s="48" t="s">
        <v>877</v>
      </c>
      <c r="C444" s="64" t="s">
        <v>68</v>
      </c>
      <c r="D444" s="8" t="s">
        <v>7</v>
      </c>
      <c r="E444" s="71" t="s">
        <v>2955</v>
      </c>
      <c r="F444" s="60" t="s">
        <v>98</v>
      </c>
      <c r="G444" s="49" t="s">
        <v>2</v>
      </c>
      <c r="H444" s="8"/>
      <c r="I444" s="9" t="str">
        <f>IFERROR(HYPERLINK("#Main!A"&amp;MATCH(A444,Main!A:A,0),"Open"),HYPERLINK("#Main!A1","Open"))</f>
        <v>Open</v>
      </c>
      <c r="J444" s="9" t="str">
        <f t="shared" ca="1" si="6"/>
        <v>Open</v>
      </c>
      <c r="K444" s="9"/>
    </row>
    <row r="445" spans="1:11" ht="30" customHeight="1" x14ac:dyDescent="0.25">
      <c r="A445" s="58" t="s">
        <v>433</v>
      </c>
      <c r="B445" s="42" t="s">
        <v>880</v>
      </c>
      <c r="C445" s="64" t="s">
        <v>68</v>
      </c>
      <c r="D445" s="11" t="s">
        <v>7</v>
      </c>
      <c r="E445" s="72" t="s">
        <v>2956</v>
      </c>
      <c r="F445" s="60" t="s">
        <v>98</v>
      </c>
      <c r="G445" s="49" t="s">
        <v>2</v>
      </c>
      <c r="H445" s="11"/>
      <c r="I445" t="str">
        <f>IFERROR(HYPERLINK("#Main!A"&amp;MATCH(A445,Main!A:A,0),"Open"),HYPERLINK("#Main!A1","Open"))</f>
        <v>Open</v>
      </c>
      <c r="J445" t="str">
        <f t="shared" ca="1" si="6"/>
        <v>Open</v>
      </c>
    </row>
    <row r="446" spans="1:11" ht="30" customHeight="1" x14ac:dyDescent="0.25">
      <c r="A446" s="59" t="s">
        <v>433</v>
      </c>
      <c r="B446" s="48" t="s">
        <v>871</v>
      </c>
      <c r="C446" s="64" t="s">
        <v>68</v>
      </c>
      <c r="D446" s="8" t="s">
        <v>7</v>
      </c>
      <c r="E446" s="71" t="s">
        <v>2957</v>
      </c>
      <c r="F446" s="60" t="s">
        <v>98</v>
      </c>
      <c r="G446" s="49" t="s">
        <v>2</v>
      </c>
      <c r="H446" s="8"/>
      <c r="I446" s="9" t="str">
        <f>IFERROR(HYPERLINK("#Main!A"&amp;MATCH(A446,Main!A:A,0),"Open"),HYPERLINK("#Main!A1","Open"))</f>
        <v>Open</v>
      </c>
      <c r="J446" s="9" t="str">
        <f t="shared" ca="1" si="6"/>
        <v>Open</v>
      </c>
      <c r="K446" s="9"/>
    </row>
    <row r="447" spans="1:11" ht="30" customHeight="1" x14ac:dyDescent="0.25">
      <c r="A447" s="58" t="s">
        <v>433</v>
      </c>
      <c r="B447" s="42" t="s">
        <v>883</v>
      </c>
      <c r="C447" s="64" t="s">
        <v>68</v>
      </c>
      <c r="D447" s="11" t="s">
        <v>7</v>
      </c>
      <c r="E447" s="72" t="s">
        <v>2958</v>
      </c>
      <c r="F447" s="60" t="s">
        <v>98</v>
      </c>
      <c r="G447" s="49" t="s">
        <v>2</v>
      </c>
      <c r="H447" s="11"/>
      <c r="I447" t="str">
        <f>IFERROR(HYPERLINK("#Main!A"&amp;MATCH(A447,Main!A:A,0),"Open"),HYPERLINK("#Main!A1","Open"))</f>
        <v>Open</v>
      </c>
      <c r="J447" t="str">
        <f t="shared" ca="1" si="6"/>
        <v>Open</v>
      </c>
    </row>
    <row r="448" spans="1:11" ht="30" customHeight="1" x14ac:dyDescent="0.25">
      <c r="A448" s="59" t="s">
        <v>743</v>
      </c>
      <c r="B448" s="48" t="s">
        <v>857</v>
      </c>
      <c r="C448" s="61" t="s">
        <v>67</v>
      </c>
      <c r="D448" s="8" t="s">
        <v>7</v>
      </c>
      <c r="E448" s="71" t="s">
        <v>2959</v>
      </c>
      <c r="F448" s="60" t="s">
        <v>98</v>
      </c>
      <c r="G448" s="49" t="s">
        <v>2</v>
      </c>
      <c r="H448" s="8"/>
      <c r="I448" s="9" t="str">
        <f>IFERROR(HYPERLINK("#Main!A"&amp;MATCH(A448,Main!A:A,0),"Open"),HYPERLINK("#Main!A1","Open"))</f>
        <v>Open</v>
      </c>
      <c r="J448" s="9" t="str">
        <f t="shared" ca="1" si="6"/>
        <v>Open</v>
      </c>
      <c r="K448" s="9"/>
    </row>
    <row r="449" spans="1:11" ht="30" customHeight="1" x14ac:dyDescent="0.25">
      <c r="A449" s="58" t="s">
        <v>743</v>
      </c>
      <c r="B449" s="42" t="s">
        <v>858</v>
      </c>
      <c r="C449" s="61" t="s">
        <v>67</v>
      </c>
      <c r="D449" s="11" t="s">
        <v>9</v>
      </c>
      <c r="E449" s="72" t="s">
        <v>2960</v>
      </c>
      <c r="F449" s="60" t="s">
        <v>98</v>
      </c>
      <c r="G449" s="49" t="s">
        <v>2</v>
      </c>
      <c r="H449" s="11"/>
      <c r="I449" t="str">
        <f>IFERROR(HYPERLINK("#Main!A"&amp;MATCH(A449,Main!A:A,0),"Open"),HYPERLINK("#Main!A1","Open"))</f>
        <v>Open</v>
      </c>
      <c r="J449" t="str">
        <f t="shared" ca="1" si="6"/>
        <v>Open</v>
      </c>
    </row>
    <row r="450" spans="1:11" ht="30" customHeight="1" x14ac:dyDescent="0.25">
      <c r="A450" s="59" t="s">
        <v>743</v>
      </c>
      <c r="B450" s="48" t="s">
        <v>102</v>
      </c>
      <c r="C450" s="64" t="s">
        <v>68</v>
      </c>
      <c r="D450" s="8" t="s">
        <v>7</v>
      </c>
      <c r="E450" s="71" t="s">
        <v>2961</v>
      </c>
      <c r="F450" s="57" t="s">
        <v>825</v>
      </c>
      <c r="G450" s="49" t="s">
        <v>2</v>
      </c>
      <c r="H450" s="8"/>
      <c r="I450" s="9" t="str">
        <f>IFERROR(HYPERLINK("#Main!A"&amp;MATCH(A450,Main!A:A,0),"Open"),HYPERLINK("#Main!A1","Open"))</f>
        <v>Open</v>
      </c>
      <c r="J450" s="9" t="str">
        <f t="shared" ref="J450:J513" ca="1" si="7">IFERROR(HYPERLINK("#"&amp;D450&amp;"!A"&amp;MATCH(A450,INDIRECT("'"&amp;D450&amp;"'!A:A"),0),"Open"),HYPERLINK("#"&amp;D450&amp;"!A1","Open"))</f>
        <v>Open</v>
      </c>
      <c r="K450" s="9"/>
    </row>
    <row r="451" spans="1:11" ht="30" customHeight="1" x14ac:dyDescent="0.25">
      <c r="A451" s="58" t="s">
        <v>743</v>
      </c>
      <c r="B451" s="42" t="s">
        <v>872</v>
      </c>
      <c r="C451" s="64" t="s">
        <v>68</v>
      </c>
      <c r="D451" s="11" t="s">
        <v>7</v>
      </c>
      <c r="E451" s="72" t="s">
        <v>2962</v>
      </c>
      <c r="F451" s="57" t="s">
        <v>825</v>
      </c>
      <c r="G451" s="49" t="s">
        <v>2</v>
      </c>
      <c r="H451" s="11"/>
      <c r="I451" t="str">
        <f>IFERROR(HYPERLINK("#Main!A"&amp;MATCH(A451,Main!A:A,0),"Open"),HYPERLINK("#Main!A1","Open"))</f>
        <v>Open</v>
      </c>
      <c r="J451" t="str">
        <f t="shared" ca="1" si="7"/>
        <v>Open</v>
      </c>
    </row>
    <row r="452" spans="1:11" ht="30" customHeight="1" x14ac:dyDescent="0.25">
      <c r="A452" s="59" t="s">
        <v>743</v>
      </c>
      <c r="B452" s="48" t="s">
        <v>873</v>
      </c>
      <c r="C452" s="64" t="s">
        <v>68</v>
      </c>
      <c r="D452" s="8" t="s">
        <v>7</v>
      </c>
      <c r="E452" s="71" t="s">
        <v>2963</v>
      </c>
      <c r="F452" s="57" t="s">
        <v>825</v>
      </c>
      <c r="G452" s="49" t="s">
        <v>2</v>
      </c>
      <c r="H452" s="8"/>
      <c r="I452" s="9" t="str">
        <f>IFERROR(HYPERLINK("#Main!A"&amp;MATCH(A452,Main!A:A,0),"Open"),HYPERLINK("#Main!A1","Open"))</f>
        <v>Open</v>
      </c>
      <c r="J452" s="9" t="str">
        <f t="shared" ca="1" si="7"/>
        <v>Open</v>
      </c>
      <c r="K452" s="9"/>
    </row>
    <row r="453" spans="1:11" ht="30" customHeight="1" x14ac:dyDescent="0.25">
      <c r="A453" s="58" t="s">
        <v>743</v>
      </c>
      <c r="B453" s="42" t="s">
        <v>884</v>
      </c>
      <c r="C453" s="64" t="s">
        <v>68</v>
      </c>
      <c r="D453" s="11" t="s">
        <v>7</v>
      </c>
      <c r="E453" s="72" t="s">
        <v>2964</v>
      </c>
      <c r="F453" s="60" t="s">
        <v>98</v>
      </c>
      <c r="G453" s="49" t="s">
        <v>2</v>
      </c>
      <c r="H453" s="11"/>
      <c r="I453" t="str">
        <f>IFERROR(HYPERLINK("#Main!A"&amp;MATCH(A453,Main!A:A,0),"Open"),HYPERLINK("#Main!A1","Open"))</f>
        <v>Open</v>
      </c>
      <c r="J453" t="str">
        <f t="shared" ca="1" si="7"/>
        <v>Open</v>
      </c>
    </row>
    <row r="454" spans="1:11" ht="30" customHeight="1" x14ac:dyDescent="0.25">
      <c r="A454" s="59" t="s">
        <v>743</v>
      </c>
      <c r="B454" s="48" t="s">
        <v>874</v>
      </c>
      <c r="C454" s="64" t="s">
        <v>68</v>
      </c>
      <c r="D454" s="8" t="s">
        <v>9</v>
      </c>
      <c r="E454" s="71" t="s">
        <v>2965</v>
      </c>
      <c r="F454" s="60" t="s">
        <v>98</v>
      </c>
      <c r="G454" s="49" t="s">
        <v>2</v>
      </c>
      <c r="H454" s="8"/>
      <c r="I454" s="9" t="str">
        <f>IFERROR(HYPERLINK("#Main!A"&amp;MATCH(A454,Main!A:A,0),"Open"),HYPERLINK("#Main!A1","Open"))</f>
        <v>Open</v>
      </c>
      <c r="J454" s="9" t="str">
        <f t="shared" ca="1" si="7"/>
        <v>Open</v>
      </c>
      <c r="K454" s="9"/>
    </row>
    <row r="455" spans="1:11" ht="30" customHeight="1" x14ac:dyDescent="0.25">
      <c r="A455" s="58" t="s">
        <v>743</v>
      </c>
      <c r="B455" s="42" t="s">
        <v>877</v>
      </c>
      <c r="C455" s="64" t="s">
        <v>68</v>
      </c>
      <c r="D455" s="11" t="s">
        <v>7</v>
      </c>
      <c r="E455" s="72" t="s">
        <v>2966</v>
      </c>
      <c r="F455" s="60" t="s">
        <v>98</v>
      </c>
      <c r="G455" s="49" t="s">
        <v>2</v>
      </c>
      <c r="H455" s="11"/>
      <c r="I455" t="str">
        <f>IFERROR(HYPERLINK("#Main!A"&amp;MATCH(A455,Main!A:A,0),"Open"),HYPERLINK("#Main!A1","Open"))</f>
        <v>Open</v>
      </c>
      <c r="J455" t="str">
        <f t="shared" ca="1" si="7"/>
        <v>Open</v>
      </c>
    </row>
    <row r="456" spans="1:11" ht="30" customHeight="1" x14ac:dyDescent="0.25">
      <c r="A456" s="59" t="s">
        <v>743</v>
      </c>
      <c r="B456" s="48" t="s">
        <v>880</v>
      </c>
      <c r="C456" s="64" t="s">
        <v>68</v>
      </c>
      <c r="D456" s="8" t="s">
        <v>7</v>
      </c>
      <c r="E456" s="71" t="s">
        <v>2967</v>
      </c>
      <c r="F456" s="60" t="s">
        <v>98</v>
      </c>
      <c r="G456" s="49" t="s">
        <v>2</v>
      </c>
      <c r="H456" s="8"/>
      <c r="I456" s="9" t="str">
        <f>IFERROR(HYPERLINK("#Main!A"&amp;MATCH(A456,Main!A:A,0),"Open"),HYPERLINK("#Main!A1","Open"))</f>
        <v>Open</v>
      </c>
      <c r="J456" s="9" t="str">
        <f t="shared" ca="1" si="7"/>
        <v>Open</v>
      </c>
      <c r="K456" s="9"/>
    </row>
    <row r="457" spans="1:11" ht="30" customHeight="1" x14ac:dyDescent="0.25">
      <c r="A457" s="58" t="s">
        <v>743</v>
      </c>
      <c r="B457" s="42" t="s">
        <v>883</v>
      </c>
      <c r="C457" s="64" t="s">
        <v>68</v>
      </c>
      <c r="D457" s="11" t="s">
        <v>7</v>
      </c>
      <c r="E457" s="72" t="s">
        <v>2968</v>
      </c>
      <c r="F457" s="60" t="s">
        <v>98</v>
      </c>
      <c r="G457" s="49" t="s">
        <v>2</v>
      </c>
      <c r="H457" s="11"/>
      <c r="I457" t="str">
        <f>IFERROR(HYPERLINK("#Main!A"&amp;MATCH(A457,Main!A:A,0),"Open"),HYPERLINK("#Main!A1","Open"))</f>
        <v>Open</v>
      </c>
      <c r="J457" t="str">
        <f t="shared" ca="1" si="7"/>
        <v>Open</v>
      </c>
    </row>
    <row r="458" spans="1:11" ht="30" customHeight="1" x14ac:dyDescent="0.25">
      <c r="A458" s="59" t="s">
        <v>598</v>
      </c>
      <c r="B458" s="48" t="s">
        <v>857</v>
      </c>
      <c r="C458" s="61" t="s">
        <v>67</v>
      </c>
      <c r="D458" s="8" t="s">
        <v>7</v>
      </c>
      <c r="E458" s="71" t="s">
        <v>2969</v>
      </c>
      <c r="F458" s="60" t="s">
        <v>98</v>
      </c>
      <c r="G458" s="49" t="s">
        <v>2</v>
      </c>
      <c r="H458" s="8"/>
      <c r="I458" s="9" t="str">
        <f>IFERROR(HYPERLINK("#Main!A"&amp;MATCH(A458,Main!A:A,0),"Open"),HYPERLINK("#Main!A1","Open"))</f>
        <v>Open</v>
      </c>
      <c r="J458" s="9" t="str">
        <f t="shared" ca="1" si="7"/>
        <v>Open</v>
      </c>
      <c r="K458" s="9"/>
    </row>
    <row r="459" spans="1:11" ht="30" customHeight="1" x14ac:dyDescent="0.25">
      <c r="A459" s="58" t="s">
        <v>598</v>
      </c>
      <c r="B459" s="42" t="s">
        <v>858</v>
      </c>
      <c r="C459" s="61" t="s">
        <v>67</v>
      </c>
      <c r="D459" s="11" t="s">
        <v>9</v>
      </c>
      <c r="E459" s="72" t="s">
        <v>2970</v>
      </c>
      <c r="F459" s="60" t="s">
        <v>98</v>
      </c>
      <c r="G459" s="49" t="s">
        <v>2</v>
      </c>
      <c r="H459" s="11"/>
      <c r="I459" t="str">
        <f>IFERROR(HYPERLINK("#Main!A"&amp;MATCH(A459,Main!A:A,0),"Open"),HYPERLINK("#Main!A1","Open"))</f>
        <v>Open</v>
      </c>
      <c r="J459" t="str">
        <f t="shared" ca="1" si="7"/>
        <v>Open</v>
      </c>
    </row>
    <row r="460" spans="1:11" ht="30" customHeight="1" x14ac:dyDescent="0.25">
      <c r="A460" s="59" t="s">
        <v>598</v>
      </c>
      <c r="B460" s="48" t="s">
        <v>102</v>
      </c>
      <c r="C460" s="64" t="s">
        <v>68</v>
      </c>
      <c r="D460" s="8" t="s">
        <v>7</v>
      </c>
      <c r="E460" s="71" t="s">
        <v>2971</v>
      </c>
      <c r="F460" s="57" t="s">
        <v>825</v>
      </c>
      <c r="G460" s="49" t="s">
        <v>2</v>
      </c>
      <c r="H460" s="8"/>
      <c r="I460" s="9" t="str">
        <f>IFERROR(HYPERLINK("#Main!A"&amp;MATCH(A460,Main!A:A,0),"Open"),HYPERLINK("#Main!A1","Open"))</f>
        <v>Open</v>
      </c>
      <c r="J460" s="9" t="str">
        <f t="shared" ca="1" si="7"/>
        <v>Open</v>
      </c>
      <c r="K460" s="9"/>
    </row>
    <row r="461" spans="1:11" ht="30" customHeight="1" x14ac:dyDescent="0.25">
      <c r="A461" s="58" t="s">
        <v>598</v>
      </c>
      <c r="B461" s="42" t="s">
        <v>872</v>
      </c>
      <c r="C461" s="64" t="s">
        <v>68</v>
      </c>
      <c r="D461" s="11" t="s">
        <v>7</v>
      </c>
      <c r="E461" s="72" t="s">
        <v>2972</v>
      </c>
      <c r="F461" s="57" t="s">
        <v>825</v>
      </c>
      <c r="G461" s="49" t="s">
        <v>2</v>
      </c>
      <c r="H461" s="11"/>
      <c r="I461" t="str">
        <f>IFERROR(HYPERLINK("#Main!A"&amp;MATCH(A461,Main!A:A,0),"Open"),HYPERLINK("#Main!A1","Open"))</f>
        <v>Open</v>
      </c>
      <c r="J461" t="str">
        <f t="shared" ca="1" si="7"/>
        <v>Open</v>
      </c>
    </row>
    <row r="462" spans="1:11" ht="30" customHeight="1" x14ac:dyDescent="0.25">
      <c r="A462" s="59" t="s">
        <v>598</v>
      </c>
      <c r="B462" s="48" t="s">
        <v>873</v>
      </c>
      <c r="C462" s="64" t="s">
        <v>68</v>
      </c>
      <c r="D462" s="8" t="s">
        <v>7</v>
      </c>
      <c r="E462" s="71" t="s">
        <v>2973</v>
      </c>
      <c r="F462" s="57" t="s">
        <v>825</v>
      </c>
      <c r="G462" s="49" t="s">
        <v>2</v>
      </c>
      <c r="H462" s="8"/>
      <c r="I462" s="9" t="str">
        <f>IFERROR(HYPERLINK("#Main!A"&amp;MATCH(A462,Main!A:A,0),"Open"),HYPERLINK("#Main!A1","Open"))</f>
        <v>Open</v>
      </c>
      <c r="J462" s="9" t="str">
        <f t="shared" ca="1" si="7"/>
        <v>Open</v>
      </c>
      <c r="K462" s="9"/>
    </row>
    <row r="463" spans="1:11" ht="30" customHeight="1" x14ac:dyDescent="0.25">
      <c r="A463" s="58" t="s">
        <v>598</v>
      </c>
      <c r="B463" s="42" t="s">
        <v>884</v>
      </c>
      <c r="C463" s="64" t="s">
        <v>68</v>
      </c>
      <c r="D463" s="11" t="s">
        <v>7</v>
      </c>
      <c r="E463" s="72" t="s">
        <v>2974</v>
      </c>
      <c r="F463" s="60" t="s">
        <v>98</v>
      </c>
      <c r="G463" s="49" t="s">
        <v>2</v>
      </c>
      <c r="H463" s="11"/>
      <c r="I463" t="str">
        <f>IFERROR(HYPERLINK("#Main!A"&amp;MATCH(A463,Main!A:A,0),"Open"),HYPERLINK("#Main!A1","Open"))</f>
        <v>Open</v>
      </c>
      <c r="J463" t="str">
        <f t="shared" ca="1" si="7"/>
        <v>Open</v>
      </c>
    </row>
    <row r="464" spans="1:11" ht="30" customHeight="1" x14ac:dyDescent="0.25">
      <c r="A464" s="59" t="s">
        <v>598</v>
      </c>
      <c r="B464" s="48" t="s">
        <v>874</v>
      </c>
      <c r="C464" s="64" t="s">
        <v>68</v>
      </c>
      <c r="D464" s="8" t="s">
        <v>9</v>
      </c>
      <c r="E464" s="71" t="s">
        <v>2975</v>
      </c>
      <c r="F464" s="60" t="s">
        <v>98</v>
      </c>
      <c r="G464" s="49" t="s">
        <v>2</v>
      </c>
      <c r="H464" s="8"/>
      <c r="I464" s="9" t="str">
        <f>IFERROR(HYPERLINK("#Main!A"&amp;MATCH(A464,Main!A:A,0),"Open"),HYPERLINK("#Main!A1","Open"))</f>
        <v>Open</v>
      </c>
      <c r="J464" s="9" t="str">
        <f t="shared" ca="1" si="7"/>
        <v>Open</v>
      </c>
      <c r="K464" s="9"/>
    </row>
    <row r="465" spans="1:11" ht="30" customHeight="1" x14ac:dyDescent="0.25">
      <c r="A465" s="58" t="s">
        <v>598</v>
      </c>
      <c r="B465" s="42" t="s">
        <v>877</v>
      </c>
      <c r="C465" s="64" t="s">
        <v>68</v>
      </c>
      <c r="D465" s="11" t="s">
        <v>7</v>
      </c>
      <c r="E465" s="72" t="s">
        <v>2976</v>
      </c>
      <c r="F465" s="60" t="s">
        <v>98</v>
      </c>
      <c r="G465" s="49" t="s">
        <v>2</v>
      </c>
      <c r="H465" s="11"/>
      <c r="I465" t="str">
        <f>IFERROR(HYPERLINK("#Main!A"&amp;MATCH(A465,Main!A:A,0),"Open"),HYPERLINK("#Main!A1","Open"))</f>
        <v>Open</v>
      </c>
      <c r="J465" t="str">
        <f t="shared" ca="1" si="7"/>
        <v>Open</v>
      </c>
    </row>
    <row r="466" spans="1:11" ht="30" customHeight="1" x14ac:dyDescent="0.25">
      <c r="A466" s="59" t="s">
        <v>598</v>
      </c>
      <c r="B466" s="48" t="s">
        <v>880</v>
      </c>
      <c r="C466" s="64" t="s">
        <v>68</v>
      </c>
      <c r="D466" s="8" t="s">
        <v>7</v>
      </c>
      <c r="E466" s="71" t="s">
        <v>2977</v>
      </c>
      <c r="F466" s="60" t="s">
        <v>98</v>
      </c>
      <c r="G466" s="49" t="s">
        <v>2</v>
      </c>
      <c r="H466" s="8"/>
      <c r="I466" s="9" t="str">
        <f>IFERROR(HYPERLINK("#Main!A"&amp;MATCH(A466,Main!A:A,0),"Open"),HYPERLINK("#Main!A1","Open"))</f>
        <v>Open</v>
      </c>
      <c r="J466" s="9" t="str">
        <f t="shared" ca="1" si="7"/>
        <v>Open</v>
      </c>
      <c r="K466" s="9"/>
    </row>
    <row r="467" spans="1:11" ht="30" customHeight="1" x14ac:dyDescent="0.25">
      <c r="A467" s="58" t="s">
        <v>598</v>
      </c>
      <c r="B467" s="42" t="s">
        <v>883</v>
      </c>
      <c r="C467" s="64" t="s">
        <v>68</v>
      </c>
      <c r="D467" s="11" t="s">
        <v>7</v>
      </c>
      <c r="E467" s="72" t="s">
        <v>2978</v>
      </c>
      <c r="F467" s="60" t="s">
        <v>98</v>
      </c>
      <c r="G467" s="49" t="s">
        <v>2</v>
      </c>
      <c r="H467" s="11"/>
      <c r="I467" t="str">
        <f>IFERROR(HYPERLINK("#Main!A"&amp;MATCH(A467,Main!A:A,0),"Open"),HYPERLINK("#Main!A1","Open"))</f>
        <v>Open</v>
      </c>
      <c r="J467" t="str">
        <f t="shared" ca="1" si="7"/>
        <v>Open</v>
      </c>
    </row>
    <row r="468" spans="1:11" ht="30" customHeight="1" x14ac:dyDescent="0.25">
      <c r="A468" s="59" t="s">
        <v>735</v>
      </c>
      <c r="B468" s="48" t="s">
        <v>857</v>
      </c>
      <c r="C468" s="61" t="s">
        <v>67</v>
      </c>
      <c r="D468" s="8" t="s">
        <v>7</v>
      </c>
      <c r="E468" s="71" t="s">
        <v>2979</v>
      </c>
      <c r="F468" s="60" t="s">
        <v>98</v>
      </c>
      <c r="G468" s="49" t="s">
        <v>2</v>
      </c>
      <c r="H468" s="8"/>
      <c r="I468" s="9" t="str">
        <f>IFERROR(HYPERLINK("#Main!A"&amp;MATCH(A468,Main!A:A,0),"Open"),HYPERLINK("#Main!A1","Open"))</f>
        <v>Open</v>
      </c>
      <c r="J468" s="9" t="str">
        <f t="shared" ca="1" si="7"/>
        <v>Open</v>
      </c>
      <c r="K468" s="9"/>
    </row>
    <row r="469" spans="1:11" ht="30" customHeight="1" x14ac:dyDescent="0.25">
      <c r="A469" s="58" t="s">
        <v>735</v>
      </c>
      <c r="B469" s="42" t="s">
        <v>858</v>
      </c>
      <c r="C469" s="61" t="s">
        <v>67</v>
      </c>
      <c r="D469" s="11" t="s">
        <v>9</v>
      </c>
      <c r="E469" s="72" t="s">
        <v>2980</v>
      </c>
      <c r="F469" s="60" t="s">
        <v>98</v>
      </c>
      <c r="G469" s="49" t="s">
        <v>2</v>
      </c>
      <c r="H469" s="11"/>
      <c r="I469" t="str">
        <f>IFERROR(HYPERLINK("#Main!A"&amp;MATCH(A469,Main!A:A,0),"Open"),HYPERLINK("#Main!A1","Open"))</f>
        <v>Open</v>
      </c>
      <c r="J469" t="str">
        <f t="shared" ca="1" si="7"/>
        <v>Open</v>
      </c>
    </row>
    <row r="470" spans="1:11" ht="30" customHeight="1" x14ac:dyDescent="0.25">
      <c r="A470" s="59" t="s">
        <v>735</v>
      </c>
      <c r="B470" s="48" t="s">
        <v>102</v>
      </c>
      <c r="C470" s="64" t="s">
        <v>68</v>
      </c>
      <c r="D470" s="8" t="s">
        <v>7</v>
      </c>
      <c r="E470" s="71" t="s">
        <v>2981</v>
      </c>
      <c r="F470" s="57" t="s">
        <v>825</v>
      </c>
      <c r="G470" s="49" t="s">
        <v>2</v>
      </c>
      <c r="H470" s="8"/>
      <c r="I470" s="9" t="str">
        <f>IFERROR(HYPERLINK("#Main!A"&amp;MATCH(A470,Main!A:A,0),"Open"),HYPERLINK("#Main!A1","Open"))</f>
        <v>Open</v>
      </c>
      <c r="J470" s="9" t="str">
        <f t="shared" ca="1" si="7"/>
        <v>Open</v>
      </c>
      <c r="K470" s="9"/>
    </row>
    <row r="471" spans="1:11" ht="30" customHeight="1" x14ac:dyDescent="0.25">
      <c r="A471" s="58" t="s">
        <v>735</v>
      </c>
      <c r="B471" s="42" t="s">
        <v>872</v>
      </c>
      <c r="C471" s="64" t="s">
        <v>68</v>
      </c>
      <c r="D471" s="11" t="s">
        <v>7</v>
      </c>
      <c r="E471" s="72" t="s">
        <v>2982</v>
      </c>
      <c r="F471" s="57" t="s">
        <v>825</v>
      </c>
      <c r="G471" s="49" t="s">
        <v>2</v>
      </c>
      <c r="H471" s="11"/>
      <c r="I471" t="str">
        <f>IFERROR(HYPERLINK("#Main!A"&amp;MATCH(A471,Main!A:A,0),"Open"),HYPERLINK("#Main!A1","Open"))</f>
        <v>Open</v>
      </c>
      <c r="J471" t="str">
        <f t="shared" ca="1" si="7"/>
        <v>Open</v>
      </c>
    </row>
    <row r="472" spans="1:11" ht="30" customHeight="1" x14ac:dyDescent="0.25">
      <c r="A472" s="59" t="s">
        <v>735</v>
      </c>
      <c r="B472" s="48" t="s">
        <v>873</v>
      </c>
      <c r="C472" s="64" t="s">
        <v>68</v>
      </c>
      <c r="D472" s="8" t="s">
        <v>7</v>
      </c>
      <c r="E472" s="71" t="s">
        <v>2983</v>
      </c>
      <c r="F472" s="57" t="s">
        <v>825</v>
      </c>
      <c r="G472" s="49" t="s">
        <v>2</v>
      </c>
      <c r="H472" s="8"/>
      <c r="I472" s="9" t="str">
        <f>IFERROR(HYPERLINK("#Main!A"&amp;MATCH(A472,Main!A:A,0),"Open"),HYPERLINK("#Main!A1","Open"))</f>
        <v>Open</v>
      </c>
      <c r="J472" s="9" t="str">
        <f t="shared" ca="1" si="7"/>
        <v>Open</v>
      </c>
      <c r="K472" s="9"/>
    </row>
    <row r="473" spans="1:11" ht="30" customHeight="1" x14ac:dyDescent="0.25">
      <c r="A473" s="58" t="s">
        <v>735</v>
      </c>
      <c r="B473" s="42" t="s">
        <v>884</v>
      </c>
      <c r="C473" s="64" t="s">
        <v>68</v>
      </c>
      <c r="D473" s="11" t="s">
        <v>7</v>
      </c>
      <c r="E473" s="72" t="s">
        <v>2984</v>
      </c>
      <c r="F473" s="60" t="s">
        <v>98</v>
      </c>
      <c r="G473" s="49" t="s">
        <v>2</v>
      </c>
      <c r="H473" s="11"/>
      <c r="I473" t="str">
        <f>IFERROR(HYPERLINK("#Main!A"&amp;MATCH(A473,Main!A:A,0),"Open"),HYPERLINK("#Main!A1","Open"))</f>
        <v>Open</v>
      </c>
      <c r="J473" t="str">
        <f t="shared" ca="1" si="7"/>
        <v>Open</v>
      </c>
    </row>
    <row r="474" spans="1:11" ht="30" customHeight="1" x14ac:dyDescent="0.25">
      <c r="A474" s="59" t="s">
        <v>735</v>
      </c>
      <c r="B474" s="48" t="s">
        <v>874</v>
      </c>
      <c r="C474" s="64" t="s">
        <v>68</v>
      </c>
      <c r="D474" s="8" t="s">
        <v>9</v>
      </c>
      <c r="E474" s="71" t="s">
        <v>2985</v>
      </c>
      <c r="F474" s="60" t="s">
        <v>98</v>
      </c>
      <c r="G474" s="49" t="s">
        <v>2</v>
      </c>
      <c r="H474" s="8"/>
      <c r="I474" s="9" t="str">
        <f>IFERROR(HYPERLINK("#Main!A"&amp;MATCH(A474,Main!A:A,0),"Open"),HYPERLINK("#Main!A1","Open"))</f>
        <v>Open</v>
      </c>
      <c r="J474" s="9" t="str">
        <f t="shared" ca="1" si="7"/>
        <v>Open</v>
      </c>
      <c r="K474" s="9"/>
    </row>
    <row r="475" spans="1:11" ht="30" customHeight="1" x14ac:dyDescent="0.25">
      <c r="A475" s="58" t="s">
        <v>735</v>
      </c>
      <c r="B475" s="42" t="s">
        <v>877</v>
      </c>
      <c r="C475" s="64" t="s">
        <v>68</v>
      </c>
      <c r="D475" s="11" t="s">
        <v>7</v>
      </c>
      <c r="E475" s="72" t="s">
        <v>2986</v>
      </c>
      <c r="F475" s="60" t="s">
        <v>98</v>
      </c>
      <c r="G475" s="49" t="s">
        <v>2</v>
      </c>
      <c r="H475" s="11"/>
      <c r="I475" t="str">
        <f>IFERROR(HYPERLINK("#Main!A"&amp;MATCH(A475,Main!A:A,0),"Open"),HYPERLINK("#Main!A1","Open"))</f>
        <v>Open</v>
      </c>
      <c r="J475" t="str">
        <f t="shared" ca="1" si="7"/>
        <v>Open</v>
      </c>
    </row>
    <row r="476" spans="1:11" ht="30" customHeight="1" x14ac:dyDescent="0.25">
      <c r="A476" s="59" t="s">
        <v>735</v>
      </c>
      <c r="B476" s="48" t="s">
        <v>880</v>
      </c>
      <c r="C476" s="64" t="s">
        <v>68</v>
      </c>
      <c r="D476" s="8" t="s">
        <v>7</v>
      </c>
      <c r="E476" s="71" t="s">
        <v>2987</v>
      </c>
      <c r="F476" s="60" t="s">
        <v>98</v>
      </c>
      <c r="G476" s="49" t="s">
        <v>2</v>
      </c>
      <c r="H476" s="8"/>
      <c r="I476" s="9" t="str">
        <f>IFERROR(HYPERLINK("#Main!A"&amp;MATCH(A476,Main!A:A,0),"Open"),HYPERLINK("#Main!A1","Open"))</f>
        <v>Open</v>
      </c>
      <c r="J476" s="9" t="str">
        <f t="shared" ca="1" si="7"/>
        <v>Open</v>
      </c>
      <c r="K476" s="9"/>
    </row>
    <row r="477" spans="1:11" ht="30" customHeight="1" x14ac:dyDescent="0.25">
      <c r="A477" s="58" t="s">
        <v>735</v>
      </c>
      <c r="B477" s="42" t="s">
        <v>883</v>
      </c>
      <c r="C477" s="64" t="s">
        <v>68</v>
      </c>
      <c r="D477" s="11" t="s">
        <v>7</v>
      </c>
      <c r="E477" s="72" t="s">
        <v>2988</v>
      </c>
      <c r="F477" s="60" t="s">
        <v>98</v>
      </c>
      <c r="G477" s="49" t="s">
        <v>2</v>
      </c>
      <c r="H477" s="11"/>
      <c r="I477" t="str">
        <f>IFERROR(HYPERLINK("#Main!A"&amp;MATCH(A477,Main!A:A,0),"Open"),HYPERLINK("#Main!A1","Open"))</f>
        <v>Open</v>
      </c>
      <c r="J477" t="str">
        <f t="shared" ca="1" si="7"/>
        <v>Open</v>
      </c>
    </row>
    <row r="478" spans="1:11" ht="30" customHeight="1" x14ac:dyDescent="0.25">
      <c r="A478" s="59" t="s">
        <v>712</v>
      </c>
      <c r="B478" s="48" t="s">
        <v>857</v>
      </c>
      <c r="C478" s="61" t="s">
        <v>67</v>
      </c>
      <c r="D478" s="8" t="s">
        <v>7</v>
      </c>
      <c r="E478" s="71" t="s">
        <v>2989</v>
      </c>
      <c r="F478" s="60" t="s">
        <v>98</v>
      </c>
      <c r="G478" s="49" t="s">
        <v>2</v>
      </c>
      <c r="H478" s="8"/>
      <c r="I478" s="9" t="str">
        <f>IFERROR(HYPERLINK("#Main!A"&amp;MATCH(A478,Main!A:A,0),"Open"),HYPERLINK("#Main!A1","Open"))</f>
        <v>Open</v>
      </c>
      <c r="J478" s="9" t="str">
        <f t="shared" ca="1" si="7"/>
        <v>Open</v>
      </c>
      <c r="K478" s="9"/>
    </row>
    <row r="479" spans="1:11" ht="30" customHeight="1" x14ac:dyDescent="0.25">
      <c r="A479" s="58" t="s">
        <v>712</v>
      </c>
      <c r="B479" s="42" t="s">
        <v>858</v>
      </c>
      <c r="C479" s="61" t="s">
        <v>67</v>
      </c>
      <c r="D479" s="11" t="s">
        <v>9</v>
      </c>
      <c r="E479" s="72" t="s">
        <v>2990</v>
      </c>
      <c r="F479" s="60" t="s">
        <v>98</v>
      </c>
      <c r="G479" s="49" t="s">
        <v>2</v>
      </c>
      <c r="H479" s="11"/>
      <c r="I479" t="str">
        <f>IFERROR(HYPERLINK("#Main!A"&amp;MATCH(A479,Main!A:A,0),"Open"),HYPERLINK("#Main!A1","Open"))</f>
        <v>Open</v>
      </c>
      <c r="J479" t="str">
        <f t="shared" ca="1" si="7"/>
        <v>Open</v>
      </c>
    </row>
    <row r="480" spans="1:11" ht="30" customHeight="1" x14ac:dyDescent="0.25">
      <c r="A480" s="59" t="s">
        <v>712</v>
      </c>
      <c r="B480" s="48" t="s">
        <v>102</v>
      </c>
      <c r="C480" s="64" t="s">
        <v>68</v>
      </c>
      <c r="D480" s="8" t="s">
        <v>7</v>
      </c>
      <c r="E480" s="71" t="s">
        <v>2991</v>
      </c>
      <c r="F480" s="57" t="s">
        <v>825</v>
      </c>
      <c r="G480" s="49" t="s">
        <v>2</v>
      </c>
      <c r="H480" s="8"/>
      <c r="I480" s="9" t="str">
        <f>IFERROR(HYPERLINK("#Main!A"&amp;MATCH(A480,Main!A:A,0),"Open"),HYPERLINK("#Main!A1","Open"))</f>
        <v>Open</v>
      </c>
      <c r="J480" s="9" t="str">
        <f t="shared" ca="1" si="7"/>
        <v>Open</v>
      </c>
      <c r="K480" s="9"/>
    </row>
    <row r="481" spans="1:11" ht="30" customHeight="1" x14ac:dyDescent="0.25">
      <c r="A481" s="58" t="s">
        <v>712</v>
      </c>
      <c r="B481" s="42" t="s">
        <v>872</v>
      </c>
      <c r="C481" s="64" t="s">
        <v>68</v>
      </c>
      <c r="D481" s="11" t="s">
        <v>7</v>
      </c>
      <c r="E481" s="72" t="s">
        <v>2992</v>
      </c>
      <c r="F481" s="57" t="s">
        <v>825</v>
      </c>
      <c r="G481" s="49" t="s">
        <v>2</v>
      </c>
      <c r="H481" s="11"/>
      <c r="I481" t="str">
        <f>IFERROR(HYPERLINK("#Main!A"&amp;MATCH(A481,Main!A:A,0),"Open"),HYPERLINK("#Main!A1","Open"))</f>
        <v>Open</v>
      </c>
      <c r="J481" t="str">
        <f t="shared" ca="1" si="7"/>
        <v>Open</v>
      </c>
    </row>
    <row r="482" spans="1:11" ht="30" customHeight="1" x14ac:dyDescent="0.25">
      <c r="A482" s="59" t="s">
        <v>712</v>
      </c>
      <c r="B482" s="48" t="s">
        <v>873</v>
      </c>
      <c r="C482" s="64" t="s">
        <v>68</v>
      </c>
      <c r="D482" s="8" t="s">
        <v>7</v>
      </c>
      <c r="E482" s="71" t="s">
        <v>2993</v>
      </c>
      <c r="F482" s="57" t="s">
        <v>825</v>
      </c>
      <c r="G482" s="49" t="s">
        <v>2</v>
      </c>
      <c r="H482" s="8"/>
      <c r="I482" s="9" t="str">
        <f>IFERROR(HYPERLINK("#Main!A"&amp;MATCH(A482,Main!A:A,0),"Open"),HYPERLINK("#Main!A1","Open"))</f>
        <v>Open</v>
      </c>
      <c r="J482" s="9" t="str">
        <f t="shared" ca="1" si="7"/>
        <v>Open</v>
      </c>
      <c r="K482" s="9"/>
    </row>
    <row r="483" spans="1:11" ht="30" customHeight="1" x14ac:dyDescent="0.25">
      <c r="A483" s="58" t="s">
        <v>712</v>
      </c>
      <c r="B483" s="42" t="s">
        <v>874</v>
      </c>
      <c r="C483" s="64" t="s">
        <v>68</v>
      </c>
      <c r="D483" s="11" t="s">
        <v>9</v>
      </c>
      <c r="E483" s="72" t="s">
        <v>2994</v>
      </c>
      <c r="F483" s="60" t="s">
        <v>98</v>
      </c>
      <c r="G483" s="49" t="s">
        <v>2</v>
      </c>
      <c r="H483" s="11"/>
      <c r="I483" t="str">
        <f>IFERROR(HYPERLINK("#Main!A"&amp;MATCH(A483,Main!A:A,0),"Open"),HYPERLINK("#Main!A1","Open"))</f>
        <v>Open</v>
      </c>
      <c r="J483" t="str">
        <f t="shared" ca="1" si="7"/>
        <v>Open</v>
      </c>
    </row>
    <row r="484" spans="1:11" ht="30" customHeight="1" x14ac:dyDescent="0.25">
      <c r="A484" s="59" t="s">
        <v>712</v>
      </c>
      <c r="B484" s="48" t="s">
        <v>877</v>
      </c>
      <c r="C484" s="64" t="s">
        <v>68</v>
      </c>
      <c r="D484" s="8" t="s">
        <v>7</v>
      </c>
      <c r="E484" s="71" t="s">
        <v>2995</v>
      </c>
      <c r="F484" s="60" t="s">
        <v>98</v>
      </c>
      <c r="G484" s="49" t="s">
        <v>2</v>
      </c>
      <c r="H484" s="8"/>
      <c r="I484" s="9" t="str">
        <f>IFERROR(HYPERLINK("#Main!A"&amp;MATCH(A484,Main!A:A,0),"Open"),HYPERLINK("#Main!A1","Open"))</f>
        <v>Open</v>
      </c>
      <c r="J484" s="9" t="str">
        <f t="shared" ca="1" si="7"/>
        <v>Open</v>
      </c>
      <c r="K484" s="9"/>
    </row>
    <row r="485" spans="1:11" ht="30" customHeight="1" x14ac:dyDescent="0.25">
      <c r="A485" s="58" t="s">
        <v>712</v>
      </c>
      <c r="B485" s="42" t="s">
        <v>880</v>
      </c>
      <c r="C485" s="64" t="s">
        <v>68</v>
      </c>
      <c r="D485" s="11" t="s">
        <v>7</v>
      </c>
      <c r="E485" s="72" t="s">
        <v>2996</v>
      </c>
      <c r="F485" s="60" t="s">
        <v>98</v>
      </c>
      <c r="G485" s="49" t="s">
        <v>2</v>
      </c>
      <c r="H485" s="11"/>
      <c r="I485" t="str">
        <f>IFERROR(HYPERLINK("#Main!A"&amp;MATCH(A485,Main!A:A,0),"Open"),HYPERLINK("#Main!A1","Open"))</f>
        <v>Open</v>
      </c>
      <c r="J485" t="str">
        <f t="shared" ca="1" si="7"/>
        <v>Open</v>
      </c>
    </row>
    <row r="486" spans="1:11" ht="30" customHeight="1" x14ac:dyDescent="0.25">
      <c r="A486" s="59" t="s">
        <v>712</v>
      </c>
      <c r="B486" s="48" t="s">
        <v>883</v>
      </c>
      <c r="C486" s="64" t="s">
        <v>68</v>
      </c>
      <c r="D486" s="8" t="s">
        <v>7</v>
      </c>
      <c r="E486" s="71" t="s">
        <v>2997</v>
      </c>
      <c r="F486" s="60" t="s">
        <v>98</v>
      </c>
      <c r="G486" s="49" t="s">
        <v>2</v>
      </c>
      <c r="H486" s="8"/>
      <c r="I486" s="9" t="str">
        <f>IFERROR(HYPERLINK("#Main!A"&amp;MATCH(A486,Main!A:A,0),"Open"),HYPERLINK("#Main!A1","Open"))</f>
        <v>Open</v>
      </c>
      <c r="J486" s="9" t="str">
        <f t="shared" ca="1" si="7"/>
        <v>Open</v>
      </c>
      <c r="K486" s="9"/>
    </row>
    <row r="487" spans="1:11" ht="30" customHeight="1" x14ac:dyDescent="0.25">
      <c r="A487" s="58" t="s">
        <v>622</v>
      </c>
      <c r="B487" s="42" t="s">
        <v>853</v>
      </c>
      <c r="C487" s="61" t="s">
        <v>67</v>
      </c>
      <c r="D487" s="11" t="s">
        <v>7</v>
      </c>
      <c r="E487" s="72" t="s">
        <v>2998</v>
      </c>
      <c r="F487" s="60" t="s">
        <v>98</v>
      </c>
      <c r="G487" s="49" t="s">
        <v>2</v>
      </c>
      <c r="H487" s="11"/>
      <c r="I487" t="str">
        <f>IFERROR(HYPERLINK("#Main!A"&amp;MATCH(A487,Main!A:A,0),"Open"),HYPERLINK("#Main!A1","Open"))</f>
        <v>Open</v>
      </c>
      <c r="J487" t="str">
        <f t="shared" ca="1" si="7"/>
        <v>Open</v>
      </c>
    </row>
    <row r="488" spans="1:11" ht="30" customHeight="1" x14ac:dyDescent="0.25">
      <c r="A488" s="59" t="s">
        <v>622</v>
      </c>
      <c r="B488" s="48" t="s">
        <v>857</v>
      </c>
      <c r="C488" s="61" t="s">
        <v>67</v>
      </c>
      <c r="D488" s="8" t="s">
        <v>7</v>
      </c>
      <c r="E488" s="71" t="s">
        <v>2999</v>
      </c>
      <c r="F488" s="60" t="s">
        <v>98</v>
      </c>
      <c r="G488" s="49" t="s">
        <v>2</v>
      </c>
      <c r="H488" s="8"/>
      <c r="I488" s="9" t="str">
        <f>IFERROR(HYPERLINK("#Main!A"&amp;MATCH(A488,Main!A:A,0),"Open"),HYPERLINK("#Main!A1","Open"))</f>
        <v>Open</v>
      </c>
      <c r="J488" s="9" t="str">
        <f t="shared" ca="1" si="7"/>
        <v>Open</v>
      </c>
      <c r="K488" s="9"/>
    </row>
    <row r="489" spans="1:11" ht="30" customHeight="1" x14ac:dyDescent="0.25">
      <c r="A489" s="58" t="s">
        <v>622</v>
      </c>
      <c r="B489" s="42" t="s">
        <v>858</v>
      </c>
      <c r="C489" s="61" t="s">
        <v>67</v>
      </c>
      <c r="D489" s="11" t="s">
        <v>9</v>
      </c>
      <c r="E489" s="72" t="s">
        <v>3000</v>
      </c>
      <c r="F489" s="60" t="s">
        <v>98</v>
      </c>
      <c r="G489" s="49" t="s">
        <v>2</v>
      </c>
      <c r="H489" s="11"/>
      <c r="I489" t="str">
        <f>IFERROR(HYPERLINK("#Main!A"&amp;MATCH(A489,Main!A:A,0),"Open"),HYPERLINK("#Main!A1","Open"))</f>
        <v>Open</v>
      </c>
      <c r="J489" t="str">
        <f t="shared" ca="1" si="7"/>
        <v>Open</v>
      </c>
    </row>
    <row r="490" spans="1:11" ht="30" customHeight="1" x14ac:dyDescent="0.25">
      <c r="A490" s="59" t="s">
        <v>622</v>
      </c>
      <c r="B490" s="48" t="s">
        <v>102</v>
      </c>
      <c r="C490" s="64" t="s">
        <v>68</v>
      </c>
      <c r="D490" s="8" t="s">
        <v>7</v>
      </c>
      <c r="E490" s="71" t="s">
        <v>3001</v>
      </c>
      <c r="F490" s="57" t="s">
        <v>825</v>
      </c>
      <c r="G490" s="49" t="s">
        <v>2</v>
      </c>
      <c r="H490" s="8"/>
      <c r="I490" s="9" t="str">
        <f>IFERROR(HYPERLINK("#Main!A"&amp;MATCH(A490,Main!A:A,0),"Open"),HYPERLINK("#Main!A1","Open"))</f>
        <v>Open</v>
      </c>
      <c r="J490" s="9" t="str">
        <f t="shared" ca="1" si="7"/>
        <v>Open</v>
      </c>
      <c r="K490" s="9"/>
    </row>
    <row r="491" spans="1:11" ht="30" customHeight="1" x14ac:dyDescent="0.25">
      <c r="A491" s="58" t="s">
        <v>622</v>
      </c>
      <c r="B491" s="42" t="s">
        <v>872</v>
      </c>
      <c r="C491" s="64" t="s">
        <v>68</v>
      </c>
      <c r="D491" s="11" t="s">
        <v>7</v>
      </c>
      <c r="E491" s="72" t="s">
        <v>3002</v>
      </c>
      <c r="F491" s="57" t="s">
        <v>825</v>
      </c>
      <c r="G491" s="49" t="s">
        <v>2</v>
      </c>
      <c r="H491" s="11"/>
      <c r="I491" t="str">
        <f>IFERROR(HYPERLINK("#Main!A"&amp;MATCH(A491,Main!A:A,0),"Open"),HYPERLINK("#Main!A1","Open"))</f>
        <v>Open</v>
      </c>
      <c r="J491" t="str">
        <f t="shared" ca="1" si="7"/>
        <v>Open</v>
      </c>
    </row>
    <row r="492" spans="1:11" ht="30" customHeight="1" x14ac:dyDescent="0.25">
      <c r="A492" s="59" t="s">
        <v>622</v>
      </c>
      <c r="B492" s="48" t="s">
        <v>873</v>
      </c>
      <c r="C492" s="64" t="s">
        <v>68</v>
      </c>
      <c r="D492" s="8" t="s">
        <v>7</v>
      </c>
      <c r="E492" s="71" t="s">
        <v>3003</v>
      </c>
      <c r="F492" s="57" t="s">
        <v>825</v>
      </c>
      <c r="G492" s="49" t="s">
        <v>2</v>
      </c>
      <c r="H492" s="8"/>
      <c r="I492" s="9" t="str">
        <f>IFERROR(HYPERLINK("#Main!A"&amp;MATCH(A492,Main!A:A,0),"Open"),HYPERLINK("#Main!A1","Open"))</f>
        <v>Open</v>
      </c>
      <c r="J492" s="9" t="str">
        <f t="shared" ca="1" si="7"/>
        <v>Open</v>
      </c>
      <c r="K492" s="9"/>
    </row>
    <row r="493" spans="1:11" ht="30" customHeight="1" x14ac:dyDescent="0.25">
      <c r="A493" s="58" t="s">
        <v>622</v>
      </c>
      <c r="B493" s="42" t="s">
        <v>884</v>
      </c>
      <c r="C493" s="64" t="s">
        <v>68</v>
      </c>
      <c r="D493" s="11" t="s">
        <v>7</v>
      </c>
      <c r="E493" s="72" t="s">
        <v>3004</v>
      </c>
      <c r="F493" s="60" t="s">
        <v>98</v>
      </c>
      <c r="G493" s="49" t="s">
        <v>2</v>
      </c>
      <c r="H493" s="11"/>
      <c r="I493" t="str">
        <f>IFERROR(HYPERLINK("#Main!A"&amp;MATCH(A493,Main!A:A,0),"Open"),HYPERLINK("#Main!A1","Open"))</f>
        <v>Open</v>
      </c>
      <c r="J493" t="str">
        <f t="shared" ca="1" si="7"/>
        <v>Open</v>
      </c>
    </row>
    <row r="494" spans="1:11" ht="30" customHeight="1" x14ac:dyDescent="0.25">
      <c r="A494" s="59" t="s">
        <v>622</v>
      </c>
      <c r="B494" s="48" t="s">
        <v>874</v>
      </c>
      <c r="C494" s="64" t="s">
        <v>68</v>
      </c>
      <c r="D494" s="8" t="s">
        <v>9</v>
      </c>
      <c r="E494" s="71" t="s">
        <v>3005</v>
      </c>
      <c r="F494" s="60" t="s">
        <v>98</v>
      </c>
      <c r="G494" s="49" t="s">
        <v>2</v>
      </c>
      <c r="H494" s="8"/>
      <c r="I494" s="9" t="str">
        <f>IFERROR(HYPERLINK("#Main!A"&amp;MATCH(A494,Main!A:A,0),"Open"),HYPERLINK("#Main!A1","Open"))</f>
        <v>Open</v>
      </c>
      <c r="J494" s="9" t="str">
        <f t="shared" ca="1" si="7"/>
        <v>Open</v>
      </c>
      <c r="K494" s="9"/>
    </row>
    <row r="495" spans="1:11" ht="30" customHeight="1" x14ac:dyDescent="0.25">
      <c r="A495" s="58" t="s">
        <v>622</v>
      </c>
      <c r="B495" s="42" t="s">
        <v>877</v>
      </c>
      <c r="C495" s="64" t="s">
        <v>68</v>
      </c>
      <c r="D495" s="11" t="s">
        <v>7</v>
      </c>
      <c r="E495" s="72" t="s">
        <v>3006</v>
      </c>
      <c r="F495" s="60" t="s">
        <v>98</v>
      </c>
      <c r="G495" s="49" t="s">
        <v>2</v>
      </c>
      <c r="H495" s="11"/>
      <c r="I495" t="str">
        <f>IFERROR(HYPERLINK("#Main!A"&amp;MATCH(A495,Main!A:A,0),"Open"),HYPERLINK("#Main!A1","Open"))</f>
        <v>Open</v>
      </c>
      <c r="J495" t="str">
        <f t="shared" ca="1" si="7"/>
        <v>Open</v>
      </c>
    </row>
    <row r="496" spans="1:11" ht="30" customHeight="1" x14ac:dyDescent="0.25">
      <c r="A496" s="59" t="s">
        <v>622</v>
      </c>
      <c r="B496" s="48" t="s">
        <v>880</v>
      </c>
      <c r="C496" s="64" t="s">
        <v>68</v>
      </c>
      <c r="D496" s="8" t="s">
        <v>7</v>
      </c>
      <c r="E496" s="71" t="s">
        <v>3007</v>
      </c>
      <c r="F496" s="60" t="s">
        <v>98</v>
      </c>
      <c r="G496" s="49" t="s">
        <v>2</v>
      </c>
      <c r="H496" s="8"/>
      <c r="I496" s="9" t="str">
        <f>IFERROR(HYPERLINK("#Main!A"&amp;MATCH(A496,Main!A:A,0),"Open"),HYPERLINK("#Main!A1","Open"))</f>
        <v>Open</v>
      </c>
      <c r="J496" s="9" t="str">
        <f t="shared" ca="1" si="7"/>
        <v>Open</v>
      </c>
      <c r="K496" s="9"/>
    </row>
    <row r="497" spans="1:11" ht="30" customHeight="1" x14ac:dyDescent="0.25">
      <c r="A497" s="58" t="s">
        <v>622</v>
      </c>
      <c r="B497" s="42" t="s">
        <v>883</v>
      </c>
      <c r="C497" s="64" t="s">
        <v>68</v>
      </c>
      <c r="D497" s="11" t="s">
        <v>7</v>
      </c>
      <c r="E497" s="72" t="s">
        <v>3008</v>
      </c>
      <c r="F497" s="60" t="s">
        <v>98</v>
      </c>
      <c r="G497" s="49" t="s">
        <v>2</v>
      </c>
      <c r="H497" s="11"/>
      <c r="I497" t="str">
        <f>IFERROR(HYPERLINK("#Main!A"&amp;MATCH(A497,Main!A:A,0),"Open"),HYPERLINK("#Main!A1","Open"))</f>
        <v>Open</v>
      </c>
      <c r="J497" t="str">
        <f t="shared" ca="1" si="7"/>
        <v>Open</v>
      </c>
    </row>
    <row r="498" spans="1:11" ht="30" customHeight="1" x14ac:dyDescent="0.25">
      <c r="A498" s="59" t="s">
        <v>535</v>
      </c>
      <c r="B498" s="48" t="s">
        <v>858</v>
      </c>
      <c r="C498" s="61" t="s">
        <v>67</v>
      </c>
      <c r="D498" s="8" t="s">
        <v>9</v>
      </c>
      <c r="E498" s="71" t="s">
        <v>3009</v>
      </c>
      <c r="F498" s="60" t="s">
        <v>98</v>
      </c>
      <c r="G498" s="49" t="s">
        <v>2</v>
      </c>
      <c r="H498" s="8"/>
      <c r="I498" s="9" t="str">
        <f>IFERROR(HYPERLINK("#Main!A"&amp;MATCH(A498,Main!A:A,0),"Open"),HYPERLINK("#Main!A1","Open"))</f>
        <v>Open</v>
      </c>
      <c r="J498" s="9" t="str">
        <f t="shared" ca="1" si="7"/>
        <v>Open</v>
      </c>
      <c r="K498" s="9"/>
    </row>
    <row r="499" spans="1:11" ht="30" customHeight="1" x14ac:dyDescent="0.25">
      <c r="A499" s="58" t="s">
        <v>535</v>
      </c>
      <c r="B499" s="42" t="s">
        <v>102</v>
      </c>
      <c r="C499" s="64" t="s">
        <v>68</v>
      </c>
      <c r="D499" s="11" t="s">
        <v>7</v>
      </c>
      <c r="E499" s="72" t="s">
        <v>3010</v>
      </c>
      <c r="F499" s="57" t="s">
        <v>825</v>
      </c>
      <c r="G499" s="49" t="s">
        <v>2</v>
      </c>
      <c r="H499" s="11"/>
      <c r="I499" t="str">
        <f>IFERROR(HYPERLINK("#Main!A"&amp;MATCH(A499,Main!A:A,0),"Open"),HYPERLINK("#Main!A1","Open"))</f>
        <v>Open</v>
      </c>
      <c r="J499" t="str">
        <f t="shared" ca="1" si="7"/>
        <v>Open</v>
      </c>
    </row>
    <row r="500" spans="1:11" ht="30" customHeight="1" x14ac:dyDescent="0.25">
      <c r="A500" s="59" t="s">
        <v>535</v>
      </c>
      <c r="B500" s="48" t="s">
        <v>872</v>
      </c>
      <c r="C500" s="64" t="s">
        <v>68</v>
      </c>
      <c r="D500" s="8" t="s">
        <v>7</v>
      </c>
      <c r="E500" s="71" t="s">
        <v>3011</v>
      </c>
      <c r="F500" s="57" t="s">
        <v>825</v>
      </c>
      <c r="G500" s="49" t="s">
        <v>2</v>
      </c>
      <c r="H500" s="8"/>
      <c r="I500" s="9" t="str">
        <f>IFERROR(HYPERLINK("#Main!A"&amp;MATCH(A500,Main!A:A,0),"Open"),HYPERLINK("#Main!A1","Open"))</f>
        <v>Open</v>
      </c>
      <c r="J500" s="9" t="str">
        <f t="shared" ca="1" si="7"/>
        <v>Open</v>
      </c>
      <c r="K500" s="9"/>
    </row>
    <row r="501" spans="1:11" ht="30" customHeight="1" x14ac:dyDescent="0.25">
      <c r="A501" s="58" t="s">
        <v>535</v>
      </c>
      <c r="B501" s="42" t="s">
        <v>873</v>
      </c>
      <c r="C501" s="64" t="s">
        <v>68</v>
      </c>
      <c r="D501" s="11" t="s">
        <v>7</v>
      </c>
      <c r="E501" s="72" t="s">
        <v>3012</v>
      </c>
      <c r="F501" s="57" t="s">
        <v>825</v>
      </c>
      <c r="G501" s="49" t="s">
        <v>2</v>
      </c>
      <c r="H501" s="11"/>
      <c r="I501" t="str">
        <f>IFERROR(HYPERLINK("#Main!A"&amp;MATCH(A501,Main!A:A,0),"Open"),HYPERLINK("#Main!A1","Open"))</f>
        <v>Open</v>
      </c>
      <c r="J501" t="str">
        <f t="shared" ca="1" si="7"/>
        <v>Open</v>
      </c>
    </row>
    <row r="502" spans="1:11" ht="30" customHeight="1" x14ac:dyDescent="0.25">
      <c r="A502" s="59" t="s">
        <v>535</v>
      </c>
      <c r="B502" s="48" t="s">
        <v>884</v>
      </c>
      <c r="C502" s="64" t="s">
        <v>68</v>
      </c>
      <c r="D502" s="8" t="s">
        <v>7</v>
      </c>
      <c r="E502" s="71" t="s">
        <v>3013</v>
      </c>
      <c r="F502" s="60" t="s">
        <v>98</v>
      </c>
      <c r="G502" s="49" t="s">
        <v>2</v>
      </c>
      <c r="H502" s="8"/>
      <c r="I502" s="9" t="str">
        <f>IFERROR(HYPERLINK("#Main!A"&amp;MATCH(A502,Main!A:A,0),"Open"),HYPERLINK("#Main!A1","Open"))</f>
        <v>Open</v>
      </c>
      <c r="J502" s="9" t="str">
        <f t="shared" ca="1" si="7"/>
        <v>Open</v>
      </c>
      <c r="K502" s="9"/>
    </row>
    <row r="503" spans="1:11" ht="30" customHeight="1" x14ac:dyDescent="0.25">
      <c r="A503" s="58" t="s">
        <v>535</v>
      </c>
      <c r="B503" s="42" t="s">
        <v>874</v>
      </c>
      <c r="C503" s="64" t="s">
        <v>68</v>
      </c>
      <c r="D503" s="11" t="s">
        <v>9</v>
      </c>
      <c r="E503" s="72" t="s">
        <v>3014</v>
      </c>
      <c r="F503" s="60" t="s">
        <v>98</v>
      </c>
      <c r="G503" s="49" t="s">
        <v>2</v>
      </c>
      <c r="H503" s="11"/>
      <c r="I503" t="str">
        <f>IFERROR(HYPERLINK("#Main!A"&amp;MATCH(A503,Main!A:A,0),"Open"),HYPERLINK("#Main!A1","Open"))</f>
        <v>Open</v>
      </c>
      <c r="J503" t="str">
        <f t="shared" ca="1" si="7"/>
        <v>Open</v>
      </c>
    </row>
    <row r="504" spans="1:11" ht="30" customHeight="1" x14ac:dyDescent="0.25">
      <c r="A504" s="59" t="s">
        <v>535</v>
      </c>
      <c r="B504" s="48" t="s">
        <v>877</v>
      </c>
      <c r="C504" s="64" t="s">
        <v>68</v>
      </c>
      <c r="D504" s="8" t="s">
        <v>7</v>
      </c>
      <c r="E504" s="71" t="s">
        <v>3015</v>
      </c>
      <c r="F504" s="60" t="s">
        <v>98</v>
      </c>
      <c r="G504" s="49" t="s">
        <v>2</v>
      </c>
      <c r="H504" s="8"/>
      <c r="I504" s="9" t="str">
        <f>IFERROR(HYPERLINK("#Main!A"&amp;MATCH(A504,Main!A:A,0),"Open"),HYPERLINK("#Main!A1","Open"))</f>
        <v>Open</v>
      </c>
      <c r="J504" s="9" t="str">
        <f t="shared" ca="1" si="7"/>
        <v>Open</v>
      </c>
      <c r="K504" s="9"/>
    </row>
    <row r="505" spans="1:11" ht="30" customHeight="1" x14ac:dyDescent="0.25">
      <c r="A505" s="58" t="s">
        <v>535</v>
      </c>
      <c r="B505" s="42" t="s">
        <v>880</v>
      </c>
      <c r="C505" s="64" t="s">
        <v>68</v>
      </c>
      <c r="D505" s="11" t="s">
        <v>7</v>
      </c>
      <c r="E505" s="72" t="s">
        <v>3016</v>
      </c>
      <c r="F505" s="60" t="s">
        <v>98</v>
      </c>
      <c r="G505" s="49" t="s">
        <v>2</v>
      </c>
      <c r="H505" s="11"/>
      <c r="I505" t="str">
        <f>IFERROR(HYPERLINK("#Main!A"&amp;MATCH(A505,Main!A:A,0),"Open"),HYPERLINK("#Main!A1","Open"))</f>
        <v>Open</v>
      </c>
      <c r="J505" t="str">
        <f t="shared" ca="1" si="7"/>
        <v>Open</v>
      </c>
    </row>
    <row r="506" spans="1:11" ht="30" customHeight="1" x14ac:dyDescent="0.25">
      <c r="A506" s="59" t="s">
        <v>535</v>
      </c>
      <c r="B506" s="48" t="s">
        <v>883</v>
      </c>
      <c r="C506" s="64" t="s">
        <v>68</v>
      </c>
      <c r="D506" s="8" t="s">
        <v>7</v>
      </c>
      <c r="E506" s="71" t="s">
        <v>3017</v>
      </c>
      <c r="F506" s="60" t="s">
        <v>98</v>
      </c>
      <c r="G506" s="49" t="s">
        <v>2</v>
      </c>
      <c r="H506" s="8"/>
      <c r="I506" s="9" t="str">
        <f>IFERROR(HYPERLINK("#Main!A"&amp;MATCH(A506,Main!A:A,0),"Open"),HYPERLINK("#Main!A1","Open"))</f>
        <v>Open</v>
      </c>
      <c r="J506" s="9" t="str">
        <f t="shared" ca="1" si="7"/>
        <v>Open</v>
      </c>
      <c r="K506" s="9"/>
    </row>
    <row r="507" spans="1:11" ht="30" customHeight="1" x14ac:dyDescent="0.25">
      <c r="A507" s="58" t="s">
        <v>527</v>
      </c>
      <c r="B507" s="42" t="s">
        <v>858</v>
      </c>
      <c r="C507" s="61" t="s">
        <v>67</v>
      </c>
      <c r="D507" s="11" t="s">
        <v>9</v>
      </c>
      <c r="E507" s="72" t="s">
        <v>3018</v>
      </c>
      <c r="F507" s="60" t="s">
        <v>98</v>
      </c>
      <c r="G507" s="49" t="s">
        <v>2</v>
      </c>
      <c r="H507" s="11"/>
      <c r="I507" t="str">
        <f>IFERROR(HYPERLINK("#Main!A"&amp;MATCH(A507,Main!A:A,0),"Open"),HYPERLINK("#Main!A1","Open"))</f>
        <v>Open</v>
      </c>
      <c r="J507" t="str">
        <f t="shared" ca="1" si="7"/>
        <v>Open</v>
      </c>
    </row>
    <row r="508" spans="1:11" ht="30" customHeight="1" x14ac:dyDescent="0.25">
      <c r="A508" s="59" t="s">
        <v>527</v>
      </c>
      <c r="B508" s="48" t="s">
        <v>102</v>
      </c>
      <c r="C508" s="64" t="s">
        <v>68</v>
      </c>
      <c r="D508" s="8" t="s">
        <v>7</v>
      </c>
      <c r="E508" s="71" t="s">
        <v>3019</v>
      </c>
      <c r="F508" s="57" t="s">
        <v>825</v>
      </c>
      <c r="G508" s="49" t="s">
        <v>2</v>
      </c>
      <c r="H508" s="8"/>
      <c r="I508" s="9" t="str">
        <f>IFERROR(HYPERLINK("#Main!A"&amp;MATCH(A508,Main!A:A,0),"Open"),HYPERLINK("#Main!A1","Open"))</f>
        <v>Open</v>
      </c>
      <c r="J508" s="9" t="str">
        <f t="shared" ca="1" si="7"/>
        <v>Open</v>
      </c>
      <c r="K508" s="9"/>
    </row>
    <row r="509" spans="1:11" ht="30" customHeight="1" x14ac:dyDescent="0.25">
      <c r="A509" s="58" t="s">
        <v>527</v>
      </c>
      <c r="B509" s="42" t="s">
        <v>872</v>
      </c>
      <c r="C509" s="64" t="s">
        <v>68</v>
      </c>
      <c r="D509" s="11" t="s">
        <v>7</v>
      </c>
      <c r="E509" s="72" t="s">
        <v>3020</v>
      </c>
      <c r="F509" s="57" t="s">
        <v>825</v>
      </c>
      <c r="G509" s="49" t="s">
        <v>2</v>
      </c>
      <c r="H509" s="11"/>
      <c r="I509" t="str">
        <f>IFERROR(HYPERLINK("#Main!A"&amp;MATCH(A509,Main!A:A,0),"Open"),HYPERLINK("#Main!A1","Open"))</f>
        <v>Open</v>
      </c>
      <c r="J509" t="str">
        <f t="shared" ca="1" si="7"/>
        <v>Open</v>
      </c>
    </row>
    <row r="510" spans="1:11" ht="30" customHeight="1" x14ac:dyDescent="0.25">
      <c r="A510" s="59" t="s">
        <v>527</v>
      </c>
      <c r="B510" s="48" t="s">
        <v>873</v>
      </c>
      <c r="C510" s="64" t="s">
        <v>68</v>
      </c>
      <c r="D510" s="8" t="s">
        <v>7</v>
      </c>
      <c r="E510" s="71" t="s">
        <v>3021</v>
      </c>
      <c r="F510" s="57" t="s">
        <v>825</v>
      </c>
      <c r="G510" s="49" t="s">
        <v>2</v>
      </c>
      <c r="H510" s="8"/>
      <c r="I510" s="9" t="str">
        <f>IFERROR(HYPERLINK("#Main!A"&amp;MATCH(A510,Main!A:A,0),"Open"),HYPERLINK("#Main!A1","Open"))</f>
        <v>Open</v>
      </c>
      <c r="J510" s="9" t="str">
        <f t="shared" ca="1" si="7"/>
        <v>Open</v>
      </c>
      <c r="K510" s="9"/>
    </row>
    <row r="511" spans="1:11" ht="30" customHeight="1" x14ac:dyDescent="0.25">
      <c r="A511" s="58" t="s">
        <v>527</v>
      </c>
      <c r="B511" s="42" t="s">
        <v>884</v>
      </c>
      <c r="C511" s="64" t="s">
        <v>68</v>
      </c>
      <c r="D511" s="11" t="s">
        <v>7</v>
      </c>
      <c r="E511" s="72" t="s">
        <v>3022</v>
      </c>
      <c r="F511" s="60" t="s">
        <v>98</v>
      </c>
      <c r="G511" s="49" t="s">
        <v>2</v>
      </c>
      <c r="H511" s="11"/>
      <c r="I511" t="str">
        <f>IFERROR(HYPERLINK("#Main!A"&amp;MATCH(A511,Main!A:A,0),"Open"),HYPERLINK("#Main!A1","Open"))</f>
        <v>Open</v>
      </c>
      <c r="J511" t="str">
        <f t="shared" ca="1" si="7"/>
        <v>Open</v>
      </c>
    </row>
    <row r="512" spans="1:11" ht="30" customHeight="1" x14ac:dyDescent="0.25">
      <c r="A512" s="59" t="s">
        <v>527</v>
      </c>
      <c r="B512" s="48" t="s">
        <v>874</v>
      </c>
      <c r="C512" s="64" t="s">
        <v>68</v>
      </c>
      <c r="D512" s="8" t="s">
        <v>9</v>
      </c>
      <c r="E512" s="71" t="s">
        <v>3023</v>
      </c>
      <c r="F512" s="60" t="s">
        <v>98</v>
      </c>
      <c r="G512" s="49" t="s">
        <v>2</v>
      </c>
      <c r="H512" s="8"/>
      <c r="I512" s="9" t="str">
        <f>IFERROR(HYPERLINK("#Main!A"&amp;MATCH(A512,Main!A:A,0),"Open"),HYPERLINK("#Main!A1","Open"))</f>
        <v>Open</v>
      </c>
      <c r="J512" s="9" t="str">
        <f t="shared" ca="1" si="7"/>
        <v>Open</v>
      </c>
      <c r="K512" s="9"/>
    </row>
    <row r="513" spans="1:11" ht="30" customHeight="1" x14ac:dyDescent="0.25">
      <c r="A513" s="58" t="s">
        <v>527</v>
      </c>
      <c r="B513" s="42" t="s">
        <v>877</v>
      </c>
      <c r="C513" s="64" t="s">
        <v>68</v>
      </c>
      <c r="D513" s="11" t="s">
        <v>7</v>
      </c>
      <c r="E513" s="72" t="s">
        <v>3024</v>
      </c>
      <c r="F513" s="60" t="s">
        <v>98</v>
      </c>
      <c r="G513" s="49" t="s">
        <v>2</v>
      </c>
      <c r="H513" s="11"/>
      <c r="I513" t="str">
        <f>IFERROR(HYPERLINK("#Main!A"&amp;MATCH(A513,Main!A:A,0),"Open"),HYPERLINK("#Main!A1","Open"))</f>
        <v>Open</v>
      </c>
      <c r="J513" t="str">
        <f t="shared" ca="1" si="7"/>
        <v>Open</v>
      </c>
    </row>
    <row r="514" spans="1:11" ht="30" customHeight="1" x14ac:dyDescent="0.25">
      <c r="A514" s="59" t="s">
        <v>527</v>
      </c>
      <c r="B514" s="48" t="s">
        <v>880</v>
      </c>
      <c r="C514" s="64" t="s">
        <v>68</v>
      </c>
      <c r="D514" s="8" t="s">
        <v>7</v>
      </c>
      <c r="E514" s="71" t="s">
        <v>3025</v>
      </c>
      <c r="F514" s="60" t="s">
        <v>98</v>
      </c>
      <c r="G514" s="49" t="s">
        <v>2</v>
      </c>
      <c r="H514" s="8"/>
      <c r="I514" s="9" t="str">
        <f>IFERROR(HYPERLINK("#Main!A"&amp;MATCH(A514,Main!A:A,0),"Open"),HYPERLINK("#Main!A1","Open"))</f>
        <v>Open</v>
      </c>
      <c r="J514" s="9" t="str">
        <f t="shared" ref="J514:J577" ca="1" si="8">IFERROR(HYPERLINK("#"&amp;D514&amp;"!A"&amp;MATCH(A514,INDIRECT("'"&amp;D514&amp;"'!A:A"),0),"Open"),HYPERLINK("#"&amp;D514&amp;"!A1","Open"))</f>
        <v>Open</v>
      </c>
      <c r="K514" s="9"/>
    </row>
    <row r="515" spans="1:11" ht="30" customHeight="1" x14ac:dyDescent="0.25">
      <c r="A515" s="58" t="s">
        <v>527</v>
      </c>
      <c r="B515" s="42" t="s">
        <v>883</v>
      </c>
      <c r="C515" s="64" t="s">
        <v>68</v>
      </c>
      <c r="D515" s="11" t="s">
        <v>7</v>
      </c>
      <c r="E515" s="72" t="s">
        <v>3026</v>
      </c>
      <c r="F515" s="60" t="s">
        <v>98</v>
      </c>
      <c r="G515" s="49" t="s">
        <v>2</v>
      </c>
      <c r="H515" s="11"/>
      <c r="I515" t="str">
        <f>IFERROR(HYPERLINK("#Main!A"&amp;MATCH(A515,Main!A:A,0),"Open"),HYPERLINK("#Main!A1","Open"))</f>
        <v>Open</v>
      </c>
      <c r="J515" t="str">
        <f t="shared" ca="1" si="8"/>
        <v>Open</v>
      </c>
    </row>
    <row r="516" spans="1:11" ht="30" customHeight="1" x14ac:dyDescent="0.25">
      <c r="A516" s="59" t="s">
        <v>590</v>
      </c>
      <c r="B516" s="48" t="s">
        <v>857</v>
      </c>
      <c r="C516" s="61" t="s">
        <v>67</v>
      </c>
      <c r="D516" s="8" t="s">
        <v>7</v>
      </c>
      <c r="E516" s="71" t="s">
        <v>3027</v>
      </c>
      <c r="F516" s="60" t="s">
        <v>98</v>
      </c>
      <c r="G516" s="49" t="s">
        <v>2</v>
      </c>
      <c r="H516" s="8"/>
      <c r="I516" s="9" t="str">
        <f>IFERROR(HYPERLINK("#Main!A"&amp;MATCH(A516,Main!A:A,0),"Open"),HYPERLINK("#Main!A1","Open"))</f>
        <v>Open</v>
      </c>
      <c r="J516" s="9" t="str">
        <f t="shared" ca="1" si="8"/>
        <v>Open</v>
      </c>
      <c r="K516" s="9"/>
    </row>
    <row r="517" spans="1:11" ht="30" customHeight="1" x14ac:dyDescent="0.25">
      <c r="A517" s="58" t="s">
        <v>590</v>
      </c>
      <c r="B517" s="42" t="s">
        <v>858</v>
      </c>
      <c r="C517" s="61" t="s">
        <v>67</v>
      </c>
      <c r="D517" s="11" t="s">
        <v>9</v>
      </c>
      <c r="E517" s="72" t="s">
        <v>3028</v>
      </c>
      <c r="F517" s="60" t="s">
        <v>98</v>
      </c>
      <c r="G517" s="49" t="s">
        <v>2</v>
      </c>
      <c r="H517" s="11"/>
      <c r="I517" t="str">
        <f>IFERROR(HYPERLINK("#Main!A"&amp;MATCH(A517,Main!A:A,0),"Open"),HYPERLINK("#Main!A1","Open"))</f>
        <v>Open</v>
      </c>
      <c r="J517" t="str">
        <f t="shared" ca="1" si="8"/>
        <v>Open</v>
      </c>
    </row>
    <row r="518" spans="1:11" ht="30" customHeight="1" x14ac:dyDescent="0.25">
      <c r="A518" s="59" t="s">
        <v>590</v>
      </c>
      <c r="B518" s="48" t="s">
        <v>102</v>
      </c>
      <c r="C518" s="64" t="s">
        <v>68</v>
      </c>
      <c r="D518" s="8" t="s">
        <v>7</v>
      </c>
      <c r="E518" s="71" t="s">
        <v>3029</v>
      </c>
      <c r="F518" s="57" t="s">
        <v>825</v>
      </c>
      <c r="G518" s="49" t="s">
        <v>2</v>
      </c>
      <c r="H518" s="8"/>
      <c r="I518" s="9" t="str">
        <f>IFERROR(HYPERLINK("#Main!A"&amp;MATCH(A518,Main!A:A,0),"Open"),HYPERLINK("#Main!A1","Open"))</f>
        <v>Open</v>
      </c>
      <c r="J518" s="9" t="str">
        <f t="shared" ca="1" si="8"/>
        <v>Open</v>
      </c>
      <c r="K518" s="9"/>
    </row>
    <row r="519" spans="1:11" ht="30" customHeight="1" x14ac:dyDescent="0.25">
      <c r="A519" s="58" t="s">
        <v>590</v>
      </c>
      <c r="B519" s="42" t="s">
        <v>872</v>
      </c>
      <c r="C519" s="64" t="s">
        <v>68</v>
      </c>
      <c r="D519" s="11" t="s">
        <v>7</v>
      </c>
      <c r="E519" s="72" t="s">
        <v>3030</v>
      </c>
      <c r="F519" s="57" t="s">
        <v>825</v>
      </c>
      <c r="G519" s="49" t="s">
        <v>2</v>
      </c>
      <c r="H519" s="11"/>
      <c r="I519" t="str">
        <f>IFERROR(HYPERLINK("#Main!A"&amp;MATCH(A519,Main!A:A,0),"Open"),HYPERLINK("#Main!A1","Open"))</f>
        <v>Open</v>
      </c>
      <c r="J519" t="str">
        <f t="shared" ca="1" si="8"/>
        <v>Open</v>
      </c>
    </row>
    <row r="520" spans="1:11" ht="30" customHeight="1" x14ac:dyDescent="0.25">
      <c r="A520" s="59" t="s">
        <v>590</v>
      </c>
      <c r="B520" s="48" t="s">
        <v>873</v>
      </c>
      <c r="C520" s="64" t="s">
        <v>68</v>
      </c>
      <c r="D520" s="8" t="s">
        <v>7</v>
      </c>
      <c r="E520" s="71" t="s">
        <v>3031</v>
      </c>
      <c r="F520" s="57" t="s">
        <v>825</v>
      </c>
      <c r="G520" s="49" t="s">
        <v>2</v>
      </c>
      <c r="H520" s="8"/>
      <c r="I520" s="9" t="str">
        <f>IFERROR(HYPERLINK("#Main!A"&amp;MATCH(A520,Main!A:A,0),"Open"),HYPERLINK("#Main!A1","Open"))</f>
        <v>Open</v>
      </c>
      <c r="J520" s="9" t="str">
        <f t="shared" ca="1" si="8"/>
        <v>Open</v>
      </c>
      <c r="K520" s="9"/>
    </row>
    <row r="521" spans="1:11" ht="30" customHeight="1" x14ac:dyDescent="0.25">
      <c r="A521" s="58" t="s">
        <v>590</v>
      </c>
      <c r="B521" s="42" t="s">
        <v>884</v>
      </c>
      <c r="C521" s="64" t="s">
        <v>68</v>
      </c>
      <c r="D521" s="11" t="s">
        <v>7</v>
      </c>
      <c r="E521" s="72" t="s">
        <v>3032</v>
      </c>
      <c r="F521" s="60" t="s">
        <v>98</v>
      </c>
      <c r="G521" s="49" t="s">
        <v>2</v>
      </c>
      <c r="H521" s="11"/>
      <c r="I521" t="str">
        <f>IFERROR(HYPERLINK("#Main!A"&amp;MATCH(A521,Main!A:A,0),"Open"),HYPERLINK("#Main!A1","Open"))</f>
        <v>Open</v>
      </c>
      <c r="J521" t="str">
        <f t="shared" ca="1" si="8"/>
        <v>Open</v>
      </c>
    </row>
    <row r="522" spans="1:11" ht="30" customHeight="1" x14ac:dyDescent="0.25">
      <c r="A522" s="59" t="s">
        <v>590</v>
      </c>
      <c r="B522" s="48" t="s">
        <v>874</v>
      </c>
      <c r="C522" s="64" t="s">
        <v>68</v>
      </c>
      <c r="D522" s="8" t="s">
        <v>9</v>
      </c>
      <c r="E522" s="71" t="s">
        <v>3033</v>
      </c>
      <c r="F522" s="60" t="s">
        <v>98</v>
      </c>
      <c r="G522" s="49" t="s">
        <v>2</v>
      </c>
      <c r="H522" s="8"/>
      <c r="I522" s="9" t="str">
        <f>IFERROR(HYPERLINK("#Main!A"&amp;MATCH(A522,Main!A:A,0),"Open"),HYPERLINK("#Main!A1","Open"))</f>
        <v>Open</v>
      </c>
      <c r="J522" s="9" t="str">
        <f t="shared" ca="1" si="8"/>
        <v>Open</v>
      </c>
      <c r="K522" s="9"/>
    </row>
    <row r="523" spans="1:11" ht="30" customHeight="1" x14ac:dyDescent="0.25">
      <c r="A523" s="58" t="s">
        <v>590</v>
      </c>
      <c r="B523" s="42" t="s">
        <v>877</v>
      </c>
      <c r="C523" s="64" t="s">
        <v>68</v>
      </c>
      <c r="D523" s="11" t="s">
        <v>7</v>
      </c>
      <c r="E523" s="72" t="s">
        <v>3034</v>
      </c>
      <c r="F523" s="60" t="s">
        <v>98</v>
      </c>
      <c r="G523" s="49" t="s">
        <v>2</v>
      </c>
      <c r="H523" s="11"/>
      <c r="I523" t="str">
        <f>IFERROR(HYPERLINK("#Main!A"&amp;MATCH(A523,Main!A:A,0),"Open"),HYPERLINK("#Main!A1","Open"))</f>
        <v>Open</v>
      </c>
      <c r="J523" t="str">
        <f t="shared" ca="1" si="8"/>
        <v>Open</v>
      </c>
    </row>
    <row r="524" spans="1:11" ht="30" customHeight="1" x14ac:dyDescent="0.25">
      <c r="A524" s="59" t="s">
        <v>590</v>
      </c>
      <c r="B524" s="48" t="s">
        <v>880</v>
      </c>
      <c r="C524" s="64" t="s">
        <v>68</v>
      </c>
      <c r="D524" s="8" t="s">
        <v>7</v>
      </c>
      <c r="E524" s="71" t="s">
        <v>3035</v>
      </c>
      <c r="F524" s="60" t="s">
        <v>98</v>
      </c>
      <c r="G524" s="49" t="s">
        <v>2</v>
      </c>
      <c r="H524" s="8"/>
      <c r="I524" s="9" t="str">
        <f>IFERROR(HYPERLINK("#Main!A"&amp;MATCH(A524,Main!A:A,0),"Open"),HYPERLINK("#Main!A1","Open"))</f>
        <v>Open</v>
      </c>
      <c r="J524" s="9" t="str">
        <f t="shared" ca="1" si="8"/>
        <v>Open</v>
      </c>
      <c r="K524" s="9"/>
    </row>
    <row r="525" spans="1:11" ht="30" customHeight="1" x14ac:dyDescent="0.25">
      <c r="A525" s="58" t="s">
        <v>590</v>
      </c>
      <c r="B525" s="42" t="s">
        <v>883</v>
      </c>
      <c r="C525" s="64" t="s">
        <v>68</v>
      </c>
      <c r="D525" s="11" t="s">
        <v>7</v>
      </c>
      <c r="E525" s="72" t="s">
        <v>3036</v>
      </c>
      <c r="F525" s="60" t="s">
        <v>98</v>
      </c>
      <c r="G525" s="49" t="s">
        <v>2</v>
      </c>
      <c r="H525" s="11"/>
      <c r="I525" t="str">
        <f>IFERROR(HYPERLINK("#Main!A"&amp;MATCH(A525,Main!A:A,0),"Open"),HYPERLINK("#Main!A1","Open"))</f>
        <v>Open</v>
      </c>
      <c r="J525" t="str">
        <f t="shared" ca="1" si="8"/>
        <v>Open</v>
      </c>
    </row>
    <row r="526" spans="1:11" ht="30" customHeight="1" x14ac:dyDescent="0.25">
      <c r="A526" s="59" t="s">
        <v>758</v>
      </c>
      <c r="B526" s="48" t="s">
        <v>857</v>
      </c>
      <c r="C526" s="61" t="s">
        <v>67</v>
      </c>
      <c r="D526" s="8" t="s">
        <v>7</v>
      </c>
      <c r="E526" s="71" t="s">
        <v>3037</v>
      </c>
      <c r="F526" s="60" t="s">
        <v>98</v>
      </c>
      <c r="G526" s="49" t="s">
        <v>2</v>
      </c>
      <c r="H526" s="8"/>
      <c r="I526" s="9" t="str">
        <f>IFERROR(HYPERLINK("#Main!A"&amp;MATCH(A526,Main!A:A,0),"Open"),HYPERLINK("#Main!A1","Open"))</f>
        <v>Open</v>
      </c>
      <c r="J526" s="9" t="str">
        <f t="shared" ca="1" si="8"/>
        <v>Open</v>
      </c>
      <c r="K526" s="9"/>
    </row>
    <row r="527" spans="1:11" ht="30" customHeight="1" x14ac:dyDescent="0.25">
      <c r="A527" s="58" t="s">
        <v>758</v>
      </c>
      <c r="B527" s="42" t="s">
        <v>858</v>
      </c>
      <c r="C527" s="61" t="s">
        <v>67</v>
      </c>
      <c r="D527" s="11" t="s">
        <v>9</v>
      </c>
      <c r="E527" s="72" t="s">
        <v>3038</v>
      </c>
      <c r="F527" s="60" t="s">
        <v>98</v>
      </c>
      <c r="G527" s="49" t="s">
        <v>2</v>
      </c>
      <c r="H527" s="11"/>
      <c r="I527" t="str">
        <f>IFERROR(HYPERLINK("#Main!A"&amp;MATCH(A527,Main!A:A,0),"Open"),HYPERLINK("#Main!A1","Open"))</f>
        <v>Open</v>
      </c>
      <c r="J527" t="str">
        <f t="shared" ca="1" si="8"/>
        <v>Open</v>
      </c>
    </row>
    <row r="528" spans="1:11" ht="30" customHeight="1" x14ac:dyDescent="0.25">
      <c r="A528" s="59" t="s">
        <v>758</v>
      </c>
      <c r="B528" s="48" t="s">
        <v>102</v>
      </c>
      <c r="C528" s="64" t="s">
        <v>68</v>
      </c>
      <c r="D528" s="8" t="s">
        <v>7</v>
      </c>
      <c r="E528" s="71" t="s">
        <v>3039</v>
      </c>
      <c r="F528" s="57" t="s">
        <v>825</v>
      </c>
      <c r="G528" s="49" t="s">
        <v>2</v>
      </c>
      <c r="H528" s="8"/>
      <c r="I528" s="9" t="str">
        <f>IFERROR(HYPERLINK("#Main!A"&amp;MATCH(A528,Main!A:A,0),"Open"),HYPERLINK("#Main!A1","Open"))</f>
        <v>Open</v>
      </c>
      <c r="J528" s="9" t="str">
        <f t="shared" ca="1" si="8"/>
        <v>Open</v>
      </c>
      <c r="K528" s="9"/>
    </row>
    <row r="529" spans="1:11" ht="30" customHeight="1" x14ac:dyDescent="0.25">
      <c r="A529" s="58" t="s">
        <v>758</v>
      </c>
      <c r="B529" s="42" t="s">
        <v>872</v>
      </c>
      <c r="C529" s="64" t="s">
        <v>68</v>
      </c>
      <c r="D529" s="11" t="s">
        <v>7</v>
      </c>
      <c r="E529" s="72" t="s">
        <v>3040</v>
      </c>
      <c r="F529" s="57" t="s">
        <v>825</v>
      </c>
      <c r="G529" s="49" t="s">
        <v>2</v>
      </c>
      <c r="H529" s="11"/>
      <c r="I529" t="str">
        <f>IFERROR(HYPERLINK("#Main!A"&amp;MATCH(A529,Main!A:A,0),"Open"),HYPERLINK("#Main!A1","Open"))</f>
        <v>Open</v>
      </c>
      <c r="J529" t="str">
        <f t="shared" ca="1" si="8"/>
        <v>Open</v>
      </c>
    </row>
    <row r="530" spans="1:11" ht="30" customHeight="1" x14ac:dyDescent="0.25">
      <c r="A530" s="59" t="s">
        <v>758</v>
      </c>
      <c r="B530" s="48" t="s">
        <v>873</v>
      </c>
      <c r="C530" s="64" t="s">
        <v>68</v>
      </c>
      <c r="D530" s="8" t="s">
        <v>7</v>
      </c>
      <c r="E530" s="71" t="s">
        <v>3041</v>
      </c>
      <c r="F530" s="57" t="s">
        <v>825</v>
      </c>
      <c r="G530" s="49" t="s">
        <v>2</v>
      </c>
      <c r="H530" s="8"/>
      <c r="I530" s="9" t="str">
        <f>IFERROR(HYPERLINK("#Main!A"&amp;MATCH(A530,Main!A:A,0),"Open"),HYPERLINK("#Main!A1","Open"))</f>
        <v>Open</v>
      </c>
      <c r="J530" s="9" t="str">
        <f t="shared" ca="1" si="8"/>
        <v>Open</v>
      </c>
      <c r="K530" s="9"/>
    </row>
    <row r="531" spans="1:11" ht="30" customHeight="1" x14ac:dyDescent="0.25">
      <c r="A531" s="58" t="s">
        <v>758</v>
      </c>
      <c r="B531" s="42" t="s">
        <v>884</v>
      </c>
      <c r="C531" s="64" t="s">
        <v>68</v>
      </c>
      <c r="D531" s="11" t="s">
        <v>7</v>
      </c>
      <c r="E531" s="72" t="s">
        <v>3042</v>
      </c>
      <c r="F531" s="60" t="s">
        <v>98</v>
      </c>
      <c r="G531" s="49" t="s">
        <v>2</v>
      </c>
      <c r="H531" s="11"/>
      <c r="I531" t="str">
        <f>IFERROR(HYPERLINK("#Main!A"&amp;MATCH(A531,Main!A:A,0),"Open"),HYPERLINK("#Main!A1","Open"))</f>
        <v>Open</v>
      </c>
      <c r="J531" t="str">
        <f t="shared" ca="1" si="8"/>
        <v>Open</v>
      </c>
    </row>
    <row r="532" spans="1:11" ht="30" customHeight="1" x14ac:dyDescent="0.25">
      <c r="A532" s="59" t="s">
        <v>758</v>
      </c>
      <c r="B532" s="48" t="s">
        <v>874</v>
      </c>
      <c r="C532" s="64" t="s">
        <v>68</v>
      </c>
      <c r="D532" s="8" t="s">
        <v>9</v>
      </c>
      <c r="E532" s="71" t="s">
        <v>3043</v>
      </c>
      <c r="F532" s="60" t="s">
        <v>98</v>
      </c>
      <c r="G532" s="49" t="s">
        <v>2</v>
      </c>
      <c r="H532" s="8"/>
      <c r="I532" s="9" t="str">
        <f>IFERROR(HYPERLINK("#Main!A"&amp;MATCH(A532,Main!A:A,0),"Open"),HYPERLINK("#Main!A1","Open"))</f>
        <v>Open</v>
      </c>
      <c r="J532" s="9" t="str">
        <f t="shared" ca="1" si="8"/>
        <v>Open</v>
      </c>
      <c r="K532" s="9"/>
    </row>
    <row r="533" spans="1:11" ht="30" customHeight="1" x14ac:dyDescent="0.25">
      <c r="A533" s="58" t="s">
        <v>758</v>
      </c>
      <c r="B533" s="42" t="s">
        <v>877</v>
      </c>
      <c r="C533" s="64" t="s">
        <v>68</v>
      </c>
      <c r="D533" s="11" t="s">
        <v>7</v>
      </c>
      <c r="E533" s="72" t="s">
        <v>3044</v>
      </c>
      <c r="F533" s="60" t="s">
        <v>98</v>
      </c>
      <c r="G533" s="49" t="s">
        <v>2</v>
      </c>
      <c r="H533" s="11"/>
      <c r="I533" t="str">
        <f>IFERROR(HYPERLINK("#Main!A"&amp;MATCH(A533,Main!A:A,0),"Open"),HYPERLINK("#Main!A1","Open"))</f>
        <v>Open</v>
      </c>
      <c r="J533" t="str">
        <f t="shared" ca="1" si="8"/>
        <v>Open</v>
      </c>
    </row>
    <row r="534" spans="1:11" ht="30" customHeight="1" x14ac:dyDescent="0.25">
      <c r="A534" s="59" t="s">
        <v>758</v>
      </c>
      <c r="B534" s="48" t="s">
        <v>880</v>
      </c>
      <c r="C534" s="64" t="s">
        <v>68</v>
      </c>
      <c r="D534" s="8" t="s">
        <v>7</v>
      </c>
      <c r="E534" s="71" t="s">
        <v>3045</v>
      </c>
      <c r="F534" s="60" t="s">
        <v>98</v>
      </c>
      <c r="G534" s="49" t="s">
        <v>2</v>
      </c>
      <c r="H534" s="8"/>
      <c r="I534" s="9" t="str">
        <f>IFERROR(HYPERLINK("#Main!A"&amp;MATCH(A534,Main!A:A,0),"Open"),HYPERLINK("#Main!A1","Open"))</f>
        <v>Open</v>
      </c>
      <c r="J534" s="9" t="str">
        <f t="shared" ca="1" si="8"/>
        <v>Open</v>
      </c>
      <c r="K534" s="9"/>
    </row>
    <row r="535" spans="1:11" ht="30" customHeight="1" x14ac:dyDescent="0.25">
      <c r="A535" s="58" t="s">
        <v>758</v>
      </c>
      <c r="B535" s="42" t="s">
        <v>883</v>
      </c>
      <c r="C535" s="64" t="s">
        <v>68</v>
      </c>
      <c r="D535" s="11" t="s">
        <v>7</v>
      </c>
      <c r="E535" s="72" t="s">
        <v>3046</v>
      </c>
      <c r="F535" s="60" t="s">
        <v>98</v>
      </c>
      <c r="G535" s="49" t="s">
        <v>2</v>
      </c>
      <c r="H535" s="11"/>
      <c r="I535" t="str">
        <f>IFERROR(HYPERLINK("#Main!A"&amp;MATCH(A535,Main!A:A,0),"Open"),HYPERLINK("#Main!A1","Open"))</f>
        <v>Open</v>
      </c>
      <c r="J535" t="str">
        <f t="shared" ca="1" si="8"/>
        <v>Open</v>
      </c>
    </row>
    <row r="536" spans="1:11" ht="30" customHeight="1" x14ac:dyDescent="0.25">
      <c r="A536" s="59" t="s">
        <v>282</v>
      </c>
      <c r="B536" s="48" t="s">
        <v>858</v>
      </c>
      <c r="C536" s="61" t="s">
        <v>67</v>
      </c>
      <c r="D536" s="8" t="s">
        <v>9</v>
      </c>
      <c r="E536" s="71" t="s">
        <v>3047</v>
      </c>
      <c r="F536" s="60" t="s">
        <v>98</v>
      </c>
      <c r="G536" s="49" t="s">
        <v>2</v>
      </c>
      <c r="H536" s="8"/>
      <c r="I536" s="9" t="str">
        <f>IFERROR(HYPERLINK("#Main!A"&amp;MATCH(A536,Main!A:A,0),"Open"),HYPERLINK("#Main!A1","Open"))</f>
        <v>Open</v>
      </c>
      <c r="J536" s="9" t="str">
        <f t="shared" ca="1" si="8"/>
        <v>Open</v>
      </c>
      <c r="K536" s="9"/>
    </row>
    <row r="537" spans="1:11" ht="30" customHeight="1" x14ac:dyDescent="0.25">
      <c r="A537" s="58" t="s">
        <v>282</v>
      </c>
      <c r="B537" s="42" t="s">
        <v>102</v>
      </c>
      <c r="C537" s="64" t="s">
        <v>68</v>
      </c>
      <c r="D537" s="11" t="s">
        <v>7</v>
      </c>
      <c r="E537" s="72" t="s">
        <v>3048</v>
      </c>
      <c r="F537" s="57" t="s">
        <v>825</v>
      </c>
      <c r="G537" s="49" t="s">
        <v>2</v>
      </c>
      <c r="H537" s="11"/>
      <c r="I537" t="str">
        <f>IFERROR(HYPERLINK("#Main!A"&amp;MATCH(A537,Main!A:A,0),"Open"),HYPERLINK("#Main!A1","Open"))</f>
        <v>Open</v>
      </c>
      <c r="J537" t="str">
        <f t="shared" ca="1" si="8"/>
        <v>Open</v>
      </c>
    </row>
    <row r="538" spans="1:11" ht="30" customHeight="1" x14ac:dyDescent="0.25">
      <c r="A538" s="59" t="s">
        <v>282</v>
      </c>
      <c r="B538" s="48" t="s">
        <v>872</v>
      </c>
      <c r="C538" s="64" t="s">
        <v>68</v>
      </c>
      <c r="D538" s="8" t="s">
        <v>7</v>
      </c>
      <c r="E538" s="71" t="s">
        <v>3049</v>
      </c>
      <c r="F538" s="57" t="s">
        <v>825</v>
      </c>
      <c r="G538" s="49" t="s">
        <v>2</v>
      </c>
      <c r="H538" s="8"/>
      <c r="I538" s="9" t="str">
        <f>IFERROR(HYPERLINK("#Main!A"&amp;MATCH(A538,Main!A:A,0),"Open"),HYPERLINK("#Main!A1","Open"))</f>
        <v>Open</v>
      </c>
      <c r="J538" s="9" t="str">
        <f t="shared" ca="1" si="8"/>
        <v>Open</v>
      </c>
      <c r="K538" s="9"/>
    </row>
    <row r="539" spans="1:11" ht="30" customHeight="1" x14ac:dyDescent="0.25">
      <c r="A539" s="58" t="s">
        <v>282</v>
      </c>
      <c r="B539" s="42" t="s">
        <v>873</v>
      </c>
      <c r="C539" s="64" t="s">
        <v>68</v>
      </c>
      <c r="D539" s="11" t="s">
        <v>7</v>
      </c>
      <c r="E539" s="72" t="s">
        <v>3050</v>
      </c>
      <c r="F539" s="57" t="s">
        <v>825</v>
      </c>
      <c r="G539" s="49" t="s">
        <v>2</v>
      </c>
      <c r="H539" s="11"/>
      <c r="I539" t="str">
        <f>IFERROR(HYPERLINK("#Main!A"&amp;MATCH(A539,Main!A:A,0),"Open"),HYPERLINK("#Main!A1","Open"))</f>
        <v>Open</v>
      </c>
      <c r="J539" t="str">
        <f t="shared" ca="1" si="8"/>
        <v>Open</v>
      </c>
    </row>
    <row r="540" spans="1:11" ht="30" customHeight="1" x14ac:dyDescent="0.25">
      <c r="A540" s="59" t="s">
        <v>282</v>
      </c>
      <c r="B540" s="48" t="s">
        <v>884</v>
      </c>
      <c r="C540" s="64" t="s">
        <v>68</v>
      </c>
      <c r="D540" s="8" t="s">
        <v>7</v>
      </c>
      <c r="E540" s="71" t="s">
        <v>3051</v>
      </c>
      <c r="F540" s="60" t="s">
        <v>98</v>
      </c>
      <c r="G540" s="49" t="s">
        <v>2</v>
      </c>
      <c r="H540" s="8"/>
      <c r="I540" s="9" t="str">
        <f>IFERROR(HYPERLINK("#Main!A"&amp;MATCH(A540,Main!A:A,0),"Open"),HYPERLINK("#Main!A1","Open"))</f>
        <v>Open</v>
      </c>
      <c r="J540" s="9" t="str">
        <f t="shared" ca="1" si="8"/>
        <v>Open</v>
      </c>
      <c r="K540" s="9"/>
    </row>
    <row r="541" spans="1:11" ht="30" customHeight="1" x14ac:dyDescent="0.25">
      <c r="A541" s="58" t="s">
        <v>282</v>
      </c>
      <c r="B541" s="42" t="s">
        <v>874</v>
      </c>
      <c r="C541" s="64" t="s">
        <v>68</v>
      </c>
      <c r="D541" s="11" t="s">
        <v>9</v>
      </c>
      <c r="E541" s="72" t="s">
        <v>3052</v>
      </c>
      <c r="F541" s="60" t="s">
        <v>98</v>
      </c>
      <c r="G541" s="49" t="s">
        <v>2</v>
      </c>
      <c r="H541" s="11"/>
      <c r="I541" t="str">
        <f>IFERROR(HYPERLINK("#Main!A"&amp;MATCH(A541,Main!A:A,0),"Open"),HYPERLINK("#Main!A1","Open"))</f>
        <v>Open</v>
      </c>
      <c r="J541" t="str">
        <f t="shared" ca="1" si="8"/>
        <v>Open</v>
      </c>
    </row>
    <row r="542" spans="1:11" ht="30" customHeight="1" x14ac:dyDescent="0.25">
      <c r="A542" s="59" t="s">
        <v>282</v>
      </c>
      <c r="B542" s="48" t="s">
        <v>877</v>
      </c>
      <c r="C542" s="64" t="s">
        <v>68</v>
      </c>
      <c r="D542" s="8" t="s">
        <v>7</v>
      </c>
      <c r="E542" s="71" t="s">
        <v>3053</v>
      </c>
      <c r="F542" s="60" t="s">
        <v>98</v>
      </c>
      <c r="G542" s="49" t="s">
        <v>2</v>
      </c>
      <c r="H542" s="8"/>
      <c r="I542" s="9" t="str">
        <f>IFERROR(HYPERLINK("#Main!A"&amp;MATCH(A542,Main!A:A,0),"Open"),HYPERLINK("#Main!A1","Open"))</f>
        <v>Open</v>
      </c>
      <c r="J542" s="9" t="str">
        <f t="shared" ca="1" si="8"/>
        <v>Open</v>
      </c>
      <c r="K542" s="9"/>
    </row>
    <row r="543" spans="1:11" ht="30" customHeight="1" x14ac:dyDescent="0.25">
      <c r="A543" s="58" t="s">
        <v>282</v>
      </c>
      <c r="B543" s="42" t="s">
        <v>880</v>
      </c>
      <c r="C543" s="64" t="s">
        <v>68</v>
      </c>
      <c r="D543" s="11" t="s">
        <v>7</v>
      </c>
      <c r="E543" s="72" t="s">
        <v>3054</v>
      </c>
      <c r="F543" s="60" t="s">
        <v>98</v>
      </c>
      <c r="G543" s="49" t="s">
        <v>2</v>
      </c>
      <c r="H543" s="11"/>
      <c r="I543" t="str">
        <f>IFERROR(HYPERLINK("#Main!A"&amp;MATCH(A543,Main!A:A,0),"Open"),HYPERLINK("#Main!A1","Open"))</f>
        <v>Open</v>
      </c>
      <c r="J543" t="str">
        <f t="shared" ca="1" si="8"/>
        <v>Open</v>
      </c>
    </row>
    <row r="544" spans="1:11" ht="30" customHeight="1" x14ac:dyDescent="0.25">
      <c r="A544" s="59" t="s">
        <v>282</v>
      </c>
      <c r="B544" s="48" t="s">
        <v>883</v>
      </c>
      <c r="C544" s="64" t="s">
        <v>68</v>
      </c>
      <c r="D544" s="8" t="s">
        <v>7</v>
      </c>
      <c r="E544" s="71" t="s">
        <v>3055</v>
      </c>
      <c r="F544" s="60" t="s">
        <v>98</v>
      </c>
      <c r="G544" s="49" t="s">
        <v>2</v>
      </c>
      <c r="H544" s="8"/>
      <c r="I544" s="9" t="str">
        <f>IFERROR(HYPERLINK("#Main!A"&amp;MATCH(A544,Main!A:A,0),"Open"),HYPERLINK("#Main!A1","Open"))</f>
        <v>Open</v>
      </c>
      <c r="J544" s="9" t="str">
        <f t="shared" ca="1" si="8"/>
        <v>Open</v>
      </c>
      <c r="K544" s="9"/>
    </row>
    <row r="545" spans="1:11" ht="30" customHeight="1" x14ac:dyDescent="0.25">
      <c r="A545" s="58" t="s">
        <v>766</v>
      </c>
      <c r="B545" s="42" t="s">
        <v>857</v>
      </c>
      <c r="C545" s="61" t="s">
        <v>67</v>
      </c>
      <c r="D545" s="11" t="s">
        <v>7</v>
      </c>
      <c r="E545" s="72" t="s">
        <v>3056</v>
      </c>
      <c r="F545" s="60" t="s">
        <v>98</v>
      </c>
      <c r="G545" s="49" t="s">
        <v>2</v>
      </c>
      <c r="H545" s="11"/>
      <c r="I545" t="str">
        <f>IFERROR(HYPERLINK("#Main!A"&amp;MATCH(A545,Main!A:A,0),"Open"),HYPERLINK("#Main!A1","Open"))</f>
        <v>Open</v>
      </c>
      <c r="J545" t="str">
        <f t="shared" ca="1" si="8"/>
        <v>Open</v>
      </c>
    </row>
    <row r="546" spans="1:11" ht="30" customHeight="1" x14ac:dyDescent="0.25">
      <c r="A546" s="59" t="s">
        <v>766</v>
      </c>
      <c r="B546" s="48" t="s">
        <v>858</v>
      </c>
      <c r="C546" s="61" t="s">
        <v>67</v>
      </c>
      <c r="D546" s="8" t="s">
        <v>9</v>
      </c>
      <c r="E546" s="71" t="s">
        <v>3057</v>
      </c>
      <c r="F546" s="60" t="s">
        <v>98</v>
      </c>
      <c r="G546" s="49" t="s">
        <v>2</v>
      </c>
      <c r="H546" s="8"/>
      <c r="I546" s="9" t="str">
        <f>IFERROR(HYPERLINK("#Main!A"&amp;MATCH(A546,Main!A:A,0),"Open"),HYPERLINK("#Main!A1","Open"))</f>
        <v>Open</v>
      </c>
      <c r="J546" s="9" t="str">
        <f t="shared" ca="1" si="8"/>
        <v>Open</v>
      </c>
      <c r="K546" s="9"/>
    </row>
    <row r="547" spans="1:11" ht="30" customHeight="1" x14ac:dyDescent="0.25">
      <c r="A547" s="58" t="s">
        <v>766</v>
      </c>
      <c r="B547" s="42" t="s">
        <v>102</v>
      </c>
      <c r="C547" s="64" t="s">
        <v>68</v>
      </c>
      <c r="D547" s="11" t="s">
        <v>7</v>
      </c>
      <c r="E547" s="72" t="s">
        <v>3058</v>
      </c>
      <c r="F547" s="57" t="s">
        <v>825</v>
      </c>
      <c r="G547" s="49" t="s">
        <v>2</v>
      </c>
      <c r="H547" s="11"/>
      <c r="I547" t="str">
        <f>IFERROR(HYPERLINK("#Main!A"&amp;MATCH(A547,Main!A:A,0),"Open"),HYPERLINK("#Main!A1","Open"))</f>
        <v>Open</v>
      </c>
      <c r="J547" t="str">
        <f t="shared" ca="1" si="8"/>
        <v>Open</v>
      </c>
    </row>
    <row r="548" spans="1:11" ht="30" customHeight="1" x14ac:dyDescent="0.25">
      <c r="A548" s="59" t="s">
        <v>766</v>
      </c>
      <c r="B548" s="48" t="s">
        <v>872</v>
      </c>
      <c r="C548" s="64" t="s">
        <v>68</v>
      </c>
      <c r="D548" s="8" t="s">
        <v>7</v>
      </c>
      <c r="E548" s="71" t="s">
        <v>3059</v>
      </c>
      <c r="F548" s="57" t="s">
        <v>825</v>
      </c>
      <c r="G548" s="49" t="s">
        <v>2</v>
      </c>
      <c r="H548" s="8"/>
      <c r="I548" s="9" t="str">
        <f>IFERROR(HYPERLINK("#Main!A"&amp;MATCH(A548,Main!A:A,0),"Open"),HYPERLINK("#Main!A1","Open"))</f>
        <v>Open</v>
      </c>
      <c r="J548" s="9" t="str">
        <f t="shared" ca="1" si="8"/>
        <v>Open</v>
      </c>
      <c r="K548" s="9"/>
    </row>
    <row r="549" spans="1:11" ht="30" customHeight="1" x14ac:dyDescent="0.25">
      <c r="A549" s="58" t="s">
        <v>766</v>
      </c>
      <c r="B549" s="42" t="s">
        <v>873</v>
      </c>
      <c r="C549" s="64" t="s">
        <v>68</v>
      </c>
      <c r="D549" s="11" t="s">
        <v>7</v>
      </c>
      <c r="E549" s="72" t="s">
        <v>3060</v>
      </c>
      <c r="F549" s="57" t="s">
        <v>825</v>
      </c>
      <c r="G549" s="49" t="s">
        <v>2</v>
      </c>
      <c r="H549" s="11"/>
      <c r="I549" t="str">
        <f>IFERROR(HYPERLINK("#Main!A"&amp;MATCH(A549,Main!A:A,0),"Open"),HYPERLINK("#Main!A1","Open"))</f>
        <v>Open</v>
      </c>
      <c r="J549" t="str">
        <f t="shared" ca="1" si="8"/>
        <v>Open</v>
      </c>
    </row>
    <row r="550" spans="1:11" ht="30" customHeight="1" x14ac:dyDescent="0.25">
      <c r="A550" s="59" t="s">
        <v>766</v>
      </c>
      <c r="B550" s="48" t="s">
        <v>884</v>
      </c>
      <c r="C550" s="64" t="s">
        <v>68</v>
      </c>
      <c r="D550" s="8" t="s">
        <v>7</v>
      </c>
      <c r="E550" s="71" t="s">
        <v>3061</v>
      </c>
      <c r="F550" s="60" t="s">
        <v>98</v>
      </c>
      <c r="G550" s="49" t="s">
        <v>2</v>
      </c>
      <c r="H550" s="8"/>
      <c r="I550" s="9" t="str">
        <f>IFERROR(HYPERLINK("#Main!A"&amp;MATCH(A550,Main!A:A,0),"Open"),HYPERLINK("#Main!A1","Open"))</f>
        <v>Open</v>
      </c>
      <c r="J550" s="9" t="str">
        <f t="shared" ca="1" si="8"/>
        <v>Open</v>
      </c>
      <c r="K550" s="9"/>
    </row>
    <row r="551" spans="1:11" ht="30" customHeight="1" x14ac:dyDescent="0.25">
      <c r="A551" s="58" t="s">
        <v>766</v>
      </c>
      <c r="B551" s="42" t="s">
        <v>874</v>
      </c>
      <c r="C551" s="64" t="s">
        <v>68</v>
      </c>
      <c r="D551" s="11" t="s">
        <v>9</v>
      </c>
      <c r="E551" s="72" t="s">
        <v>3062</v>
      </c>
      <c r="F551" s="60" t="s">
        <v>98</v>
      </c>
      <c r="G551" s="49" t="s">
        <v>2</v>
      </c>
      <c r="H551" s="11"/>
      <c r="I551" t="str">
        <f>IFERROR(HYPERLINK("#Main!A"&amp;MATCH(A551,Main!A:A,0),"Open"),HYPERLINK("#Main!A1","Open"))</f>
        <v>Open</v>
      </c>
      <c r="J551" t="str">
        <f t="shared" ca="1" si="8"/>
        <v>Open</v>
      </c>
    </row>
    <row r="552" spans="1:11" ht="30" customHeight="1" x14ac:dyDescent="0.25">
      <c r="A552" s="59" t="s">
        <v>766</v>
      </c>
      <c r="B552" s="48" t="s">
        <v>877</v>
      </c>
      <c r="C552" s="64" t="s">
        <v>68</v>
      </c>
      <c r="D552" s="8" t="s">
        <v>7</v>
      </c>
      <c r="E552" s="71" t="s">
        <v>3063</v>
      </c>
      <c r="F552" s="60" t="s">
        <v>98</v>
      </c>
      <c r="G552" s="49" t="s">
        <v>2</v>
      </c>
      <c r="H552" s="8"/>
      <c r="I552" s="9" t="str">
        <f>IFERROR(HYPERLINK("#Main!A"&amp;MATCH(A552,Main!A:A,0),"Open"),HYPERLINK("#Main!A1","Open"))</f>
        <v>Open</v>
      </c>
      <c r="J552" s="9" t="str">
        <f t="shared" ca="1" si="8"/>
        <v>Open</v>
      </c>
      <c r="K552" s="9"/>
    </row>
    <row r="553" spans="1:11" ht="30" customHeight="1" x14ac:dyDescent="0.25">
      <c r="A553" s="58" t="s">
        <v>766</v>
      </c>
      <c r="B553" s="42" t="s">
        <v>880</v>
      </c>
      <c r="C553" s="64" t="s">
        <v>68</v>
      </c>
      <c r="D553" s="11" t="s">
        <v>7</v>
      </c>
      <c r="E553" s="72" t="s">
        <v>3064</v>
      </c>
      <c r="F553" s="60" t="s">
        <v>98</v>
      </c>
      <c r="G553" s="49" t="s">
        <v>2</v>
      </c>
      <c r="H553" s="11"/>
      <c r="I553" t="str">
        <f>IFERROR(HYPERLINK("#Main!A"&amp;MATCH(A553,Main!A:A,0),"Open"),HYPERLINK("#Main!A1","Open"))</f>
        <v>Open</v>
      </c>
      <c r="J553" t="str">
        <f t="shared" ca="1" si="8"/>
        <v>Open</v>
      </c>
    </row>
    <row r="554" spans="1:11" ht="30" customHeight="1" x14ac:dyDescent="0.25">
      <c r="A554" s="59" t="s">
        <v>766</v>
      </c>
      <c r="B554" s="48" t="s">
        <v>883</v>
      </c>
      <c r="C554" s="64" t="s">
        <v>68</v>
      </c>
      <c r="D554" s="8" t="s">
        <v>7</v>
      </c>
      <c r="E554" s="71" t="s">
        <v>3065</v>
      </c>
      <c r="F554" s="60" t="s">
        <v>98</v>
      </c>
      <c r="G554" s="49" t="s">
        <v>2</v>
      </c>
      <c r="H554" s="8"/>
      <c r="I554" s="9" t="str">
        <f>IFERROR(HYPERLINK("#Main!A"&amp;MATCH(A554,Main!A:A,0),"Open"),HYPERLINK("#Main!A1","Open"))</f>
        <v>Open</v>
      </c>
      <c r="J554" s="9" t="str">
        <f t="shared" ca="1" si="8"/>
        <v>Open</v>
      </c>
      <c r="K554" s="9"/>
    </row>
    <row r="555" spans="1:11" ht="30" customHeight="1" x14ac:dyDescent="0.25">
      <c r="A555" s="58" t="s">
        <v>614</v>
      </c>
      <c r="B555" s="42" t="s">
        <v>857</v>
      </c>
      <c r="C555" s="61" t="s">
        <v>67</v>
      </c>
      <c r="D555" s="11" t="s">
        <v>7</v>
      </c>
      <c r="E555" s="72" t="s">
        <v>3066</v>
      </c>
      <c r="F555" s="60" t="s">
        <v>98</v>
      </c>
      <c r="G555" s="49" t="s">
        <v>2</v>
      </c>
      <c r="H555" s="11"/>
      <c r="I555" t="str">
        <f>IFERROR(HYPERLINK("#Main!A"&amp;MATCH(A555,Main!A:A,0),"Open"),HYPERLINK("#Main!A1","Open"))</f>
        <v>Open</v>
      </c>
      <c r="J555" t="str">
        <f t="shared" ca="1" si="8"/>
        <v>Open</v>
      </c>
    </row>
    <row r="556" spans="1:11" ht="30" customHeight="1" x14ac:dyDescent="0.25">
      <c r="A556" s="59" t="s">
        <v>614</v>
      </c>
      <c r="B556" s="48" t="s">
        <v>858</v>
      </c>
      <c r="C556" s="61" t="s">
        <v>67</v>
      </c>
      <c r="D556" s="8" t="s">
        <v>9</v>
      </c>
      <c r="E556" s="71" t="s">
        <v>3067</v>
      </c>
      <c r="F556" s="60" t="s">
        <v>98</v>
      </c>
      <c r="G556" s="49" t="s">
        <v>2</v>
      </c>
      <c r="H556" s="8"/>
      <c r="I556" s="9" t="str">
        <f>IFERROR(HYPERLINK("#Main!A"&amp;MATCH(A556,Main!A:A,0),"Open"),HYPERLINK("#Main!A1","Open"))</f>
        <v>Open</v>
      </c>
      <c r="J556" s="9" t="str">
        <f t="shared" ca="1" si="8"/>
        <v>Open</v>
      </c>
      <c r="K556" s="9"/>
    </row>
    <row r="557" spans="1:11" ht="30" customHeight="1" x14ac:dyDescent="0.25">
      <c r="A557" s="58" t="s">
        <v>614</v>
      </c>
      <c r="B557" s="42" t="s">
        <v>102</v>
      </c>
      <c r="C557" s="64" t="s">
        <v>68</v>
      </c>
      <c r="D557" s="11" t="s">
        <v>7</v>
      </c>
      <c r="E557" s="72" t="s">
        <v>3068</v>
      </c>
      <c r="F557" s="57" t="s">
        <v>825</v>
      </c>
      <c r="G557" s="49" t="s">
        <v>2</v>
      </c>
      <c r="H557" s="11"/>
      <c r="I557" t="str">
        <f>IFERROR(HYPERLINK("#Main!A"&amp;MATCH(A557,Main!A:A,0),"Open"),HYPERLINK("#Main!A1","Open"))</f>
        <v>Open</v>
      </c>
      <c r="J557" t="str">
        <f t="shared" ca="1" si="8"/>
        <v>Open</v>
      </c>
    </row>
    <row r="558" spans="1:11" ht="30" customHeight="1" x14ac:dyDescent="0.25">
      <c r="A558" s="59" t="s">
        <v>614</v>
      </c>
      <c r="B558" s="48" t="s">
        <v>872</v>
      </c>
      <c r="C558" s="64" t="s">
        <v>68</v>
      </c>
      <c r="D558" s="8" t="s">
        <v>7</v>
      </c>
      <c r="E558" s="71" t="s">
        <v>3069</v>
      </c>
      <c r="F558" s="57" t="s">
        <v>825</v>
      </c>
      <c r="G558" s="49" t="s">
        <v>2</v>
      </c>
      <c r="H558" s="8"/>
      <c r="I558" s="9" t="str">
        <f>IFERROR(HYPERLINK("#Main!A"&amp;MATCH(A558,Main!A:A,0),"Open"),HYPERLINK("#Main!A1","Open"))</f>
        <v>Open</v>
      </c>
      <c r="J558" s="9" t="str">
        <f t="shared" ca="1" si="8"/>
        <v>Open</v>
      </c>
      <c r="K558" s="9"/>
    </row>
    <row r="559" spans="1:11" ht="30" customHeight="1" x14ac:dyDescent="0.25">
      <c r="A559" s="58" t="s">
        <v>614</v>
      </c>
      <c r="B559" s="42" t="s">
        <v>873</v>
      </c>
      <c r="C559" s="64" t="s">
        <v>68</v>
      </c>
      <c r="D559" s="11" t="s">
        <v>7</v>
      </c>
      <c r="E559" s="72" t="s">
        <v>3070</v>
      </c>
      <c r="F559" s="57" t="s">
        <v>825</v>
      </c>
      <c r="G559" s="49" t="s">
        <v>2</v>
      </c>
      <c r="H559" s="11"/>
      <c r="I559" t="str">
        <f>IFERROR(HYPERLINK("#Main!A"&amp;MATCH(A559,Main!A:A,0),"Open"),HYPERLINK("#Main!A1","Open"))</f>
        <v>Open</v>
      </c>
      <c r="J559" t="str">
        <f t="shared" ca="1" si="8"/>
        <v>Open</v>
      </c>
    </row>
    <row r="560" spans="1:11" ht="30" customHeight="1" x14ac:dyDescent="0.25">
      <c r="A560" s="59" t="s">
        <v>614</v>
      </c>
      <c r="B560" s="48" t="s">
        <v>884</v>
      </c>
      <c r="C560" s="64" t="s">
        <v>68</v>
      </c>
      <c r="D560" s="8" t="s">
        <v>7</v>
      </c>
      <c r="E560" s="71" t="s">
        <v>3071</v>
      </c>
      <c r="F560" s="60" t="s">
        <v>98</v>
      </c>
      <c r="G560" s="49" t="s">
        <v>2</v>
      </c>
      <c r="H560" s="8"/>
      <c r="I560" s="9" t="str">
        <f>IFERROR(HYPERLINK("#Main!A"&amp;MATCH(A560,Main!A:A,0),"Open"),HYPERLINK("#Main!A1","Open"))</f>
        <v>Open</v>
      </c>
      <c r="J560" s="9" t="str">
        <f t="shared" ca="1" si="8"/>
        <v>Open</v>
      </c>
      <c r="K560" s="9"/>
    </row>
    <row r="561" spans="1:11" ht="30" customHeight="1" x14ac:dyDescent="0.25">
      <c r="A561" s="58" t="s">
        <v>614</v>
      </c>
      <c r="B561" s="42" t="s">
        <v>874</v>
      </c>
      <c r="C561" s="64" t="s">
        <v>68</v>
      </c>
      <c r="D561" s="11" t="s">
        <v>9</v>
      </c>
      <c r="E561" s="72" t="s">
        <v>3072</v>
      </c>
      <c r="F561" s="60" t="s">
        <v>98</v>
      </c>
      <c r="G561" s="49" t="s">
        <v>2</v>
      </c>
      <c r="H561" s="11"/>
      <c r="I561" t="str">
        <f>IFERROR(HYPERLINK("#Main!A"&amp;MATCH(A561,Main!A:A,0),"Open"),HYPERLINK("#Main!A1","Open"))</f>
        <v>Open</v>
      </c>
      <c r="J561" t="str">
        <f t="shared" ca="1" si="8"/>
        <v>Open</v>
      </c>
    </row>
    <row r="562" spans="1:11" ht="30" customHeight="1" x14ac:dyDescent="0.25">
      <c r="A562" s="59" t="s">
        <v>614</v>
      </c>
      <c r="B562" s="48" t="s">
        <v>877</v>
      </c>
      <c r="C562" s="64" t="s">
        <v>68</v>
      </c>
      <c r="D562" s="8" t="s">
        <v>7</v>
      </c>
      <c r="E562" s="71" t="s">
        <v>3073</v>
      </c>
      <c r="F562" s="60" t="s">
        <v>98</v>
      </c>
      <c r="G562" s="49" t="s">
        <v>2</v>
      </c>
      <c r="H562" s="8"/>
      <c r="I562" s="9" t="str">
        <f>IFERROR(HYPERLINK("#Main!A"&amp;MATCH(A562,Main!A:A,0),"Open"),HYPERLINK("#Main!A1","Open"))</f>
        <v>Open</v>
      </c>
      <c r="J562" s="9" t="str">
        <f t="shared" ca="1" si="8"/>
        <v>Open</v>
      </c>
      <c r="K562" s="9"/>
    </row>
    <row r="563" spans="1:11" ht="30" customHeight="1" x14ac:dyDescent="0.25">
      <c r="A563" s="58" t="s">
        <v>614</v>
      </c>
      <c r="B563" s="42" t="s">
        <v>880</v>
      </c>
      <c r="C563" s="64" t="s">
        <v>68</v>
      </c>
      <c r="D563" s="11" t="s">
        <v>7</v>
      </c>
      <c r="E563" s="72" t="s">
        <v>3074</v>
      </c>
      <c r="F563" s="60" t="s">
        <v>98</v>
      </c>
      <c r="G563" s="49" t="s">
        <v>2</v>
      </c>
      <c r="H563" s="11"/>
      <c r="I563" t="str">
        <f>IFERROR(HYPERLINK("#Main!A"&amp;MATCH(A563,Main!A:A,0),"Open"),HYPERLINK("#Main!A1","Open"))</f>
        <v>Open</v>
      </c>
      <c r="J563" t="str">
        <f t="shared" ca="1" si="8"/>
        <v>Open</v>
      </c>
    </row>
    <row r="564" spans="1:11" ht="30" customHeight="1" x14ac:dyDescent="0.25">
      <c r="A564" s="59" t="s">
        <v>614</v>
      </c>
      <c r="B564" s="48" t="s">
        <v>883</v>
      </c>
      <c r="C564" s="64" t="s">
        <v>68</v>
      </c>
      <c r="D564" s="8" t="s">
        <v>7</v>
      </c>
      <c r="E564" s="71" t="s">
        <v>3075</v>
      </c>
      <c r="F564" s="60" t="s">
        <v>98</v>
      </c>
      <c r="G564" s="49" t="s">
        <v>2</v>
      </c>
      <c r="H564" s="8"/>
      <c r="I564" s="9" t="str">
        <f>IFERROR(HYPERLINK("#Main!A"&amp;MATCH(A564,Main!A:A,0),"Open"),HYPERLINK("#Main!A1","Open"))</f>
        <v>Open</v>
      </c>
      <c r="J564" s="9" t="str">
        <f t="shared" ca="1" si="8"/>
        <v>Open</v>
      </c>
      <c r="K564" s="9"/>
    </row>
    <row r="565" spans="1:11" ht="30" customHeight="1" x14ac:dyDescent="0.25">
      <c r="A565" s="58" t="s">
        <v>425</v>
      </c>
      <c r="B565" s="42" t="s">
        <v>858</v>
      </c>
      <c r="C565" s="61" t="s">
        <v>67</v>
      </c>
      <c r="D565" s="11" t="s">
        <v>9</v>
      </c>
      <c r="E565" s="72" t="s">
        <v>3076</v>
      </c>
      <c r="F565" s="60" t="s">
        <v>98</v>
      </c>
      <c r="G565" s="49" t="s">
        <v>2</v>
      </c>
      <c r="H565" s="11"/>
      <c r="I565" t="str">
        <f>IFERROR(HYPERLINK("#Main!A"&amp;MATCH(A565,Main!A:A,0),"Open"),HYPERLINK("#Main!A1","Open"))</f>
        <v>Open</v>
      </c>
      <c r="J565" t="str">
        <f t="shared" ca="1" si="8"/>
        <v>Open</v>
      </c>
    </row>
    <row r="566" spans="1:11" ht="30" customHeight="1" x14ac:dyDescent="0.25">
      <c r="A566" s="59" t="s">
        <v>425</v>
      </c>
      <c r="B566" s="48" t="s">
        <v>102</v>
      </c>
      <c r="C566" s="64" t="s">
        <v>68</v>
      </c>
      <c r="D566" s="8" t="s">
        <v>7</v>
      </c>
      <c r="E566" s="71" t="s">
        <v>3077</v>
      </c>
      <c r="F566" s="57" t="s">
        <v>825</v>
      </c>
      <c r="G566" s="49" t="s">
        <v>2</v>
      </c>
      <c r="H566" s="8"/>
      <c r="I566" s="9" t="str">
        <f>IFERROR(HYPERLINK("#Main!A"&amp;MATCH(A566,Main!A:A,0),"Open"),HYPERLINK("#Main!A1","Open"))</f>
        <v>Open</v>
      </c>
      <c r="J566" s="9" t="str">
        <f t="shared" ca="1" si="8"/>
        <v>Open</v>
      </c>
      <c r="K566" s="9"/>
    </row>
    <row r="567" spans="1:11" ht="30" customHeight="1" x14ac:dyDescent="0.25">
      <c r="A567" s="58" t="s">
        <v>425</v>
      </c>
      <c r="B567" s="42" t="s">
        <v>872</v>
      </c>
      <c r="C567" s="64" t="s">
        <v>68</v>
      </c>
      <c r="D567" s="11" t="s">
        <v>7</v>
      </c>
      <c r="E567" s="72" t="s">
        <v>3078</v>
      </c>
      <c r="F567" s="57" t="s">
        <v>825</v>
      </c>
      <c r="G567" s="49" t="s">
        <v>2</v>
      </c>
      <c r="H567" s="11"/>
      <c r="I567" t="str">
        <f>IFERROR(HYPERLINK("#Main!A"&amp;MATCH(A567,Main!A:A,0),"Open"),HYPERLINK("#Main!A1","Open"))</f>
        <v>Open</v>
      </c>
      <c r="J567" t="str">
        <f t="shared" ca="1" si="8"/>
        <v>Open</v>
      </c>
    </row>
    <row r="568" spans="1:11" ht="30" customHeight="1" x14ac:dyDescent="0.25">
      <c r="A568" s="59" t="s">
        <v>425</v>
      </c>
      <c r="B568" s="48" t="s">
        <v>873</v>
      </c>
      <c r="C568" s="64" t="s">
        <v>68</v>
      </c>
      <c r="D568" s="8" t="s">
        <v>7</v>
      </c>
      <c r="E568" s="71" t="s">
        <v>3079</v>
      </c>
      <c r="F568" s="57" t="s">
        <v>825</v>
      </c>
      <c r="G568" s="49" t="s">
        <v>2</v>
      </c>
      <c r="H568" s="8"/>
      <c r="I568" s="9" t="str">
        <f>IFERROR(HYPERLINK("#Main!A"&amp;MATCH(A568,Main!A:A,0),"Open"),HYPERLINK("#Main!A1","Open"))</f>
        <v>Open</v>
      </c>
      <c r="J568" s="9" t="str">
        <f t="shared" ca="1" si="8"/>
        <v>Open</v>
      </c>
      <c r="K568" s="9"/>
    </row>
    <row r="569" spans="1:11" ht="30" customHeight="1" x14ac:dyDescent="0.25">
      <c r="A569" s="58" t="s">
        <v>425</v>
      </c>
      <c r="B569" s="42" t="s">
        <v>874</v>
      </c>
      <c r="C569" s="64" t="s">
        <v>68</v>
      </c>
      <c r="D569" s="11" t="s">
        <v>9</v>
      </c>
      <c r="E569" s="72" t="s">
        <v>3080</v>
      </c>
      <c r="F569" s="60" t="s">
        <v>98</v>
      </c>
      <c r="G569" s="49" t="s">
        <v>2</v>
      </c>
      <c r="H569" s="11"/>
      <c r="I569" t="str">
        <f>IFERROR(HYPERLINK("#Main!A"&amp;MATCH(A569,Main!A:A,0),"Open"),HYPERLINK("#Main!A1","Open"))</f>
        <v>Open</v>
      </c>
      <c r="J569" t="str">
        <f t="shared" ca="1" si="8"/>
        <v>Open</v>
      </c>
    </row>
    <row r="570" spans="1:11" ht="30" customHeight="1" x14ac:dyDescent="0.25">
      <c r="A570" s="59" t="s">
        <v>425</v>
      </c>
      <c r="B570" s="48" t="s">
        <v>877</v>
      </c>
      <c r="C570" s="64" t="s">
        <v>68</v>
      </c>
      <c r="D570" s="8" t="s">
        <v>7</v>
      </c>
      <c r="E570" s="71" t="s">
        <v>3081</v>
      </c>
      <c r="F570" s="60" t="s">
        <v>98</v>
      </c>
      <c r="G570" s="49" t="s">
        <v>2</v>
      </c>
      <c r="H570" s="8"/>
      <c r="I570" s="9" t="str">
        <f>IFERROR(HYPERLINK("#Main!A"&amp;MATCH(A570,Main!A:A,0),"Open"),HYPERLINK("#Main!A1","Open"))</f>
        <v>Open</v>
      </c>
      <c r="J570" s="9" t="str">
        <f t="shared" ca="1" si="8"/>
        <v>Open</v>
      </c>
      <c r="K570" s="9"/>
    </row>
    <row r="571" spans="1:11" ht="30" customHeight="1" x14ac:dyDescent="0.25">
      <c r="A571" s="58" t="s">
        <v>425</v>
      </c>
      <c r="B571" s="42" t="s">
        <v>880</v>
      </c>
      <c r="C571" s="64" t="s">
        <v>68</v>
      </c>
      <c r="D571" s="11" t="s">
        <v>7</v>
      </c>
      <c r="E571" s="72" t="s">
        <v>3082</v>
      </c>
      <c r="F571" s="60" t="s">
        <v>98</v>
      </c>
      <c r="G571" s="49" t="s">
        <v>2</v>
      </c>
      <c r="H571" s="11"/>
      <c r="I571" t="str">
        <f>IFERROR(HYPERLINK("#Main!A"&amp;MATCH(A571,Main!A:A,0),"Open"),HYPERLINK("#Main!A1","Open"))</f>
        <v>Open</v>
      </c>
      <c r="J571" t="str">
        <f t="shared" ca="1" si="8"/>
        <v>Open</v>
      </c>
    </row>
    <row r="572" spans="1:11" ht="30" customHeight="1" x14ac:dyDescent="0.25">
      <c r="A572" s="59" t="s">
        <v>425</v>
      </c>
      <c r="B572" s="48" t="s">
        <v>883</v>
      </c>
      <c r="C572" s="64" t="s">
        <v>68</v>
      </c>
      <c r="D572" s="8" t="s">
        <v>7</v>
      </c>
      <c r="E572" s="71" t="s">
        <v>3083</v>
      </c>
      <c r="F572" s="60" t="s">
        <v>98</v>
      </c>
      <c r="G572" s="49" t="s">
        <v>2</v>
      </c>
      <c r="H572" s="8"/>
      <c r="I572" s="9" t="str">
        <f>IFERROR(HYPERLINK("#Main!A"&amp;MATCH(A572,Main!A:A,0),"Open"),HYPERLINK("#Main!A1","Open"))</f>
        <v>Open</v>
      </c>
      <c r="J572" s="9" t="str">
        <f t="shared" ca="1" si="8"/>
        <v>Open</v>
      </c>
      <c r="K572" s="9"/>
    </row>
    <row r="573" spans="1:11" ht="30" customHeight="1" x14ac:dyDescent="0.25">
      <c r="A573" s="58" t="s">
        <v>210</v>
      </c>
      <c r="B573" s="42" t="s">
        <v>858</v>
      </c>
      <c r="C573" s="61" t="s">
        <v>67</v>
      </c>
      <c r="D573" s="11" t="s">
        <v>9</v>
      </c>
      <c r="E573" s="72" t="s">
        <v>3084</v>
      </c>
      <c r="F573" s="60" t="s">
        <v>98</v>
      </c>
      <c r="G573" s="49" t="s">
        <v>2</v>
      </c>
      <c r="H573" s="11"/>
      <c r="I573" t="str">
        <f>IFERROR(HYPERLINK("#Main!A"&amp;MATCH(A573,Main!A:A,0),"Open"),HYPERLINK("#Main!A1","Open"))</f>
        <v>Open</v>
      </c>
      <c r="J573" t="str">
        <f t="shared" ca="1" si="8"/>
        <v>Open</v>
      </c>
    </row>
    <row r="574" spans="1:11" ht="30" customHeight="1" x14ac:dyDescent="0.25">
      <c r="A574" s="59" t="s">
        <v>210</v>
      </c>
      <c r="B574" s="48" t="s">
        <v>102</v>
      </c>
      <c r="C574" s="64" t="s">
        <v>68</v>
      </c>
      <c r="D574" s="8" t="s">
        <v>7</v>
      </c>
      <c r="E574" s="71" t="s">
        <v>3085</v>
      </c>
      <c r="F574" s="57" t="s">
        <v>825</v>
      </c>
      <c r="G574" s="49" t="s">
        <v>2</v>
      </c>
      <c r="H574" s="8"/>
      <c r="I574" s="9" t="str">
        <f>IFERROR(HYPERLINK("#Main!A"&amp;MATCH(A574,Main!A:A,0),"Open"),HYPERLINK("#Main!A1","Open"))</f>
        <v>Open</v>
      </c>
      <c r="J574" s="9" t="str">
        <f t="shared" ca="1" si="8"/>
        <v>Open</v>
      </c>
      <c r="K574" s="9"/>
    </row>
    <row r="575" spans="1:11" ht="30" customHeight="1" x14ac:dyDescent="0.25">
      <c r="A575" s="58" t="s">
        <v>210</v>
      </c>
      <c r="B575" s="42" t="s">
        <v>872</v>
      </c>
      <c r="C575" s="64" t="s">
        <v>68</v>
      </c>
      <c r="D575" s="11" t="s">
        <v>7</v>
      </c>
      <c r="E575" s="72" t="s">
        <v>3086</v>
      </c>
      <c r="F575" s="57" t="s">
        <v>825</v>
      </c>
      <c r="G575" s="49" t="s">
        <v>2</v>
      </c>
      <c r="H575" s="11"/>
      <c r="I575" t="str">
        <f>IFERROR(HYPERLINK("#Main!A"&amp;MATCH(A575,Main!A:A,0),"Open"),HYPERLINK("#Main!A1","Open"))</f>
        <v>Open</v>
      </c>
      <c r="J575" t="str">
        <f t="shared" ca="1" si="8"/>
        <v>Open</v>
      </c>
    </row>
    <row r="576" spans="1:11" ht="30" customHeight="1" x14ac:dyDescent="0.25">
      <c r="A576" s="59" t="s">
        <v>210</v>
      </c>
      <c r="B576" s="48" t="s">
        <v>873</v>
      </c>
      <c r="C576" s="64" t="s">
        <v>68</v>
      </c>
      <c r="D576" s="8" t="s">
        <v>7</v>
      </c>
      <c r="E576" s="71" t="s">
        <v>3087</v>
      </c>
      <c r="F576" s="57" t="s">
        <v>825</v>
      </c>
      <c r="G576" s="49" t="s">
        <v>2</v>
      </c>
      <c r="H576" s="8"/>
      <c r="I576" s="9" t="str">
        <f>IFERROR(HYPERLINK("#Main!A"&amp;MATCH(A576,Main!A:A,0),"Open"),HYPERLINK("#Main!A1","Open"))</f>
        <v>Open</v>
      </c>
      <c r="J576" s="9" t="str">
        <f t="shared" ca="1" si="8"/>
        <v>Open</v>
      </c>
      <c r="K576" s="9"/>
    </row>
    <row r="577" spans="1:11" ht="30" customHeight="1" x14ac:dyDescent="0.25">
      <c r="A577" s="58" t="s">
        <v>210</v>
      </c>
      <c r="B577" s="42" t="s">
        <v>874</v>
      </c>
      <c r="C577" s="64" t="s">
        <v>68</v>
      </c>
      <c r="D577" s="11" t="s">
        <v>9</v>
      </c>
      <c r="E577" s="72" t="s">
        <v>3088</v>
      </c>
      <c r="F577" s="60" t="s">
        <v>98</v>
      </c>
      <c r="G577" s="49" t="s">
        <v>2</v>
      </c>
      <c r="H577" s="11"/>
      <c r="I577" t="str">
        <f>IFERROR(HYPERLINK("#Main!A"&amp;MATCH(A577,Main!A:A,0),"Open"),HYPERLINK("#Main!A1","Open"))</f>
        <v>Open</v>
      </c>
      <c r="J577" t="str">
        <f t="shared" ca="1" si="8"/>
        <v>Open</v>
      </c>
    </row>
    <row r="578" spans="1:11" ht="30" customHeight="1" x14ac:dyDescent="0.25">
      <c r="A578" s="59" t="s">
        <v>210</v>
      </c>
      <c r="B578" s="48" t="s">
        <v>877</v>
      </c>
      <c r="C578" s="64" t="s">
        <v>68</v>
      </c>
      <c r="D578" s="8" t="s">
        <v>7</v>
      </c>
      <c r="E578" s="71" t="s">
        <v>3089</v>
      </c>
      <c r="F578" s="60" t="s">
        <v>98</v>
      </c>
      <c r="G578" s="49" t="s">
        <v>2</v>
      </c>
      <c r="H578" s="8"/>
      <c r="I578" s="9" t="str">
        <f>IFERROR(HYPERLINK("#Main!A"&amp;MATCH(A578,Main!A:A,0),"Open"),HYPERLINK("#Main!A1","Open"))</f>
        <v>Open</v>
      </c>
      <c r="J578" s="9" t="str">
        <f t="shared" ref="J578:J641" ca="1" si="9">IFERROR(HYPERLINK("#"&amp;D578&amp;"!A"&amp;MATCH(A578,INDIRECT("'"&amp;D578&amp;"'!A:A"),0),"Open"),HYPERLINK("#"&amp;D578&amp;"!A1","Open"))</f>
        <v>Open</v>
      </c>
      <c r="K578" s="9"/>
    </row>
    <row r="579" spans="1:11" ht="30" customHeight="1" x14ac:dyDescent="0.25">
      <c r="A579" s="58" t="s">
        <v>210</v>
      </c>
      <c r="B579" s="42" t="s">
        <v>880</v>
      </c>
      <c r="C579" s="64" t="s">
        <v>68</v>
      </c>
      <c r="D579" s="11" t="s">
        <v>7</v>
      </c>
      <c r="E579" s="72" t="s">
        <v>3090</v>
      </c>
      <c r="F579" s="60" t="s">
        <v>98</v>
      </c>
      <c r="G579" s="49" t="s">
        <v>2</v>
      </c>
      <c r="H579" s="11"/>
      <c r="I579" t="str">
        <f>IFERROR(HYPERLINK("#Main!A"&amp;MATCH(A579,Main!A:A,0),"Open"),HYPERLINK("#Main!A1","Open"))</f>
        <v>Open</v>
      </c>
      <c r="J579" t="str">
        <f t="shared" ca="1" si="9"/>
        <v>Open</v>
      </c>
    </row>
    <row r="580" spans="1:11" ht="30" customHeight="1" x14ac:dyDescent="0.25">
      <c r="A580" s="59" t="s">
        <v>210</v>
      </c>
      <c r="B580" s="48" t="s">
        <v>883</v>
      </c>
      <c r="C580" s="64" t="s">
        <v>68</v>
      </c>
      <c r="D580" s="8" t="s">
        <v>7</v>
      </c>
      <c r="E580" s="71" t="s">
        <v>3091</v>
      </c>
      <c r="F580" s="60" t="s">
        <v>98</v>
      </c>
      <c r="G580" s="49" t="s">
        <v>2</v>
      </c>
      <c r="H580" s="8"/>
      <c r="I580" s="9" t="str">
        <f>IFERROR(HYPERLINK("#Main!A"&amp;MATCH(A580,Main!A:A,0),"Open"),HYPERLINK("#Main!A1","Open"))</f>
        <v>Open</v>
      </c>
      <c r="J580" s="9" t="str">
        <f t="shared" ca="1" si="9"/>
        <v>Open</v>
      </c>
      <c r="K580" s="9"/>
    </row>
    <row r="581" spans="1:11" ht="30" customHeight="1" x14ac:dyDescent="0.25">
      <c r="A581" s="58" t="s">
        <v>258</v>
      </c>
      <c r="B581" s="42" t="s">
        <v>858</v>
      </c>
      <c r="C581" s="61" t="s">
        <v>67</v>
      </c>
      <c r="D581" s="11" t="s">
        <v>9</v>
      </c>
      <c r="E581" s="72" t="s">
        <v>3092</v>
      </c>
      <c r="F581" s="60" t="s">
        <v>98</v>
      </c>
      <c r="G581" s="49" t="s">
        <v>2</v>
      </c>
      <c r="H581" s="11"/>
      <c r="I581" t="str">
        <f>IFERROR(HYPERLINK("#Main!A"&amp;MATCH(A581,Main!A:A,0),"Open"),HYPERLINK("#Main!A1","Open"))</f>
        <v>Open</v>
      </c>
      <c r="J581" t="str">
        <f t="shared" ca="1" si="9"/>
        <v>Open</v>
      </c>
    </row>
    <row r="582" spans="1:11" ht="30" customHeight="1" x14ac:dyDescent="0.25">
      <c r="A582" s="59" t="s">
        <v>258</v>
      </c>
      <c r="B582" s="48" t="s">
        <v>102</v>
      </c>
      <c r="C582" s="64" t="s">
        <v>68</v>
      </c>
      <c r="D582" s="8" t="s">
        <v>7</v>
      </c>
      <c r="E582" s="71" t="s">
        <v>3093</v>
      </c>
      <c r="F582" s="57" t="s">
        <v>825</v>
      </c>
      <c r="G582" s="49" t="s">
        <v>2</v>
      </c>
      <c r="H582" s="8"/>
      <c r="I582" s="9" t="str">
        <f>IFERROR(HYPERLINK("#Main!A"&amp;MATCH(A582,Main!A:A,0),"Open"),HYPERLINK("#Main!A1","Open"))</f>
        <v>Open</v>
      </c>
      <c r="J582" s="9" t="str">
        <f t="shared" ca="1" si="9"/>
        <v>Open</v>
      </c>
      <c r="K582" s="9"/>
    </row>
    <row r="583" spans="1:11" ht="30" customHeight="1" x14ac:dyDescent="0.25">
      <c r="A583" s="58" t="s">
        <v>258</v>
      </c>
      <c r="B583" s="42" t="s">
        <v>872</v>
      </c>
      <c r="C583" s="64" t="s">
        <v>68</v>
      </c>
      <c r="D583" s="11" t="s">
        <v>7</v>
      </c>
      <c r="E583" s="72" t="s">
        <v>3094</v>
      </c>
      <c r="F583" s="57" t="s">
        <v>825</v>
      </c>
      <c r="G583" s="49" t="s">
        <v>2</v>
      </c>
      <c r="H583" s="11"/>
      <c r="I583" t="str">
        <f>IFERROR(HYPERLINK("#Main!A"&amp;MATCH(A583,Main!A:A,0),"Open"),HYPERLINK("#Main!A1","Open"))</f>
        <v>Open</v>
      </c>
      <c r="J583" t="str">
        <f t="shared" ca="1" si="9"/>
        <v>Open</v>
      </c>
    </row>
    <row r="584" spans="1:11" ht="30" customHeight="1" x14ac:dyDescent="0.25">
      <c r="A584" s="59" t="s">
        <v>258</v>
      </c>
      <c r="B584" s="48" t="s">
        <v>873</v>
      </c>
      <c r="C584" s="64" t="s">
        <v>68</v>
      </c>
      <c r="D584" s="8" t="s">
        <v>7</v>
      </c>
      <c r="E584" s="71" t="s">
        <v>3095</v>
      </c>
      <c r="F584" s="57" t="s">
        <v>825</v>
      </c>
      <c r="G584" s="49" t="s">
        <v>2</v>
      </c>
      <c r="H584" s="8"/>
      <c r="I584" s="9" t="str">
        <f>IFERROR(HYPERLINK("#Main!A"&amp;MATCH(A584,Main!A:A,0),"Open"),HYPERLINK("#Main!A1","Open"))</f>
        <v>Open</v>
      </c>
      <c r="J584" s="9" t="str">
        <f t="shared" ca="1" si="9"/>
        <v>Open</v>
      </c>
      <c r="K584" s="9"/>
    </row>
    <row r="585" spans="1:11" ht="30" customHeight="1" x14ac:dyDescent="0.25">
      <c r="A585" s="58" t="s">
        <v>258</v>
      </c>
      <c r="B585" s="42" t="s">
        <v>874</v>
      </c>
      <c r="C585" s="64" t="s">
        <v>68</v>
      </c>
      <c r="D585" s="11" t="s">
        <v>9</v>
      </c>
      <c r="E585" s="72" t="s">
        <v>3096</v>
      </c>
      <c r="F585" s="60" t="s">
        <v>98</v>
      </c>
      <c r="G585" s="49" t="s">
        <v>2</v>
      </c>
      <c r="H585" s="11"/>
      <c r="I585" t="str">
        <f>IFERROR(HYPERLINK("#Main!A"&amp;MATCH(A585,Main!A:A,0),"Open"),HYPERLINK("#Main!A1","Open"))</f>
        <v>Open</v>
      </c>
      <c r="J585" t="str">
        <f t="shared" ca="1" si="9"/>
        <v>Open</v>
      </c>
    </row>
    <row r="586" spans="1:11" ht="30" customHeight="1" x14ac:dyDescent="0.25">
      <c r="A586" s="59" t="s">
        <v>258</v>
      </c>
      <c r="B586" s="48" t="s">
        <v>877</v>
      </c>
      <c r="C586" s="64" t="s">
        <v>68</v>
      </c>
      <c r="D586" s="8" t="s">
        <v>7</v>
      </c>
      <c r="E586" s="71" t="s">
        <v>3097</v>
      </c>
      <c r="F586" s="60" t="s">
        <v>98</v>
      </c>
      <c r="G586" s="49" t="s">
        <v>2</v>
      </c>
      <c r="H586" s="8"/>
      <c r="I586" s="9" t="str">
        <f>IFERROR(HYPERLINK("#Main!A"&amp;MATCH(A586,Main!A:A,0),"Open"),HYPERLINK("#Main!A1","Open"))</f>
        <v>Open</v>
      </c>
      <c r="J586" s="9" t="str">
        <f t="shared" ca="1" si="9"/>
        <v>Open</v>
      </c>
      <c r="K586" s="9"/>
    </row>
    <row r="587" spans="1:11" ht="30" customHeight="1" x14ac:dyDescent="0.25">
      <c r="A587" s="58" t="s">
        <v>258</v>
      </c>
      <c r="B587" s="42" t="s">
        <v>880</v>
      </c>
      <c r="C587" s="64" t="s">
        <v>68</v>
      </c>
      <c r="D587" s="11" t="s">
        <v>7</v>
      </c>
      <c r="E587" s="72" t="s">
        <v>3098</v>
      </c>
      <c r="F587" s="60" t="s">
        <v>98</v>
      </c>
      <c r="G587" s="49" t="s">
        <v>2</v>
      </c>
      <c r="H587" s="11"/>
      <c r="I587" t="str">
        <f>IFERROR(HYPERLINK("#Main!A"&amp;MATCH(A587,Main!A:A,0),"Open"),HYPERLINK("#Main!A1","Open"))</f>
        <v>Open</v>
      </c>
      <c r="J587" t="str">
        <f t="shared" ca="1" si="9"/>
        <v>Open</v>
      </c>
    </row>
    <row r="588" spans="1:11" ht="30" customHeight="1" x14ac:dyDescent="0.25">
      <c r="A588" s="59" t="s">
        <v>258</v>
      </c>
      <c r="B588" s="48" t="s">
        <v>883</v>
      </c>
      <c r="C588" s="64" t="s">
        <v>68</v>
      </c>
      <c r="D588" s="8" t="s">
        <v>7</v>
      </c>
      <c r="E588" s="71" t="s">
        <v>3099</v>
      </c>
      <c r="F588" s="60" t="s">
        <v>98</v>
      </c>
      <c r="G588" s="49" t="s">
        <v>2</v>
      </c>
      <c r="H588" s="8"/>
      <c r="I588" s="9" t="str">
        <f>IFERROR(HYPERLINK("#Main!A"&amp;MATCH(A588,Main!A:A,0),"Open"),HYPERLINK("#Main!A1","Open"))</f>
        <v>Open</v>
      </c>
      <c r="J588" s="9" t="str">
        <f t="shared" ca="1" si="9"/>
        <v>Open</v>
      </c>
      <c r="K588" s="9"/>
    </row>
    <row r="589" spans="1:11" ht="30" customHeight="1" x14ac:dyDescent="0.25">
      <c r="A589" s="58" t="s">
        <v>250</v>
      </c>
      <c r="B589" s="42" t="s">
        <v>858</v>
      </c>
      <c r="C589" s="61" t="s">
        <v>67</v>
      </c>
      <c r="D589" s="11" t="s">
        <v>9</v>
      </c>
      <c r="E589" s="72" t="s">
        <v>3100</v>
      </c>
      <c r="F589" s="60" t="s">
        <v>98</v>
      </c>
      <c r="G589" s="49" t="s">
        <v>2</v>
      </c>
      <c r="H589" s="11"/>
      <c r="I589" t="str">
        <f>IFERROR(HYPERLINK("#Main!A"&amp;MATCH(A589,Main!A:A,0),"Open"),HYPERLINK("#Main!A1","Open"))</f>
        <v>Open</v>
      </c>
      <c r="J589" t="str">
        <f t="shared" ca="1" si="9"/>
        <v>Open</v>
      </c>
    </row>
    <row r="590" spans="1:11" ht="30" customHeight="1" x14ac:dyDescent="0.25">
      <c r="A590" s="59" t="s">
        <v>250</v>
      </c>
      <c r="B590" s="48" t="s">
        <v>102</v>
      </c>
      <c r="C590" s="64" t="s">
        <v>68</v>
      </c>
      <c r="D590" s="8" t="s">
        <v>7</v>
      </c>
      <c r="E590" s="71" t="s">
        <v>3101</v>
      </c>
      <c r="F590" s="57" t="s">
        <v>825</v>
      </c>
      <c r="G590" s="49" t="s">
        <v>2</v>
      </c>
      <c r="H590" s="8"/>
      <c r="I590" s="9" t="str">
        <f>IFERROR(HYPERLINK("#Main!A"&amp;MATCH(A590,Main!A:A,0),"Open"),HYPERLINK("#Main!A1","Open"))</f>
        <v>Open</v>
      </c>
      <c r="J590" s="9" t="str">
        <f t="shared" ca="1" si="9"/>
        <v>Open</v>
      </c>
      <c r="K590" s="9"/>
    </row>
    <row r="591" spans="1:11" ht="30" customHeight="1" x14ac:dyDescent="0.25">
      <c r="A591" s="58" t="s">
        <v>250</v>
      </c>
      <c r="B591" s="42" t="s">
        <v>872</v>
      </c>
      <c r="C591" s="64" t="s">
        <v>68</v>
      </c>
      <c r="D591" s="11" t="s">
        <v>7</v>
      </c>
      <c r="E591" s="72" t="s">
        <v>3102</v>
      </c>
      <c r="F591" s="57" t="s">
        <v>825</v>
      </c>
      <c r="G591" s="49" t="s">
        <v>2</v>
      </c>
      <c r="H591" s="11"/>
      <c r="I591" t="str">
        <f>IFERROR(HYPERLINK("#Main!A"&amp;MATCH(A591,Main!A:A,0),"Open"),HYPERLINK("#Main!A1","Open"))</f>
        <v>Open</v>
      </c>
      <c r="J591" t="str">
        <f t="shared" ca="1" si="9"/>
        <v>Open</v>
      </c>
    </row>
    <row r="592" spans="1:11" ht="30" customHeight="1" x14ac:dyDescent="0.25">
      <c r="A592" s="59" t="s">
        <v>250</v>
      </c>
      <c r="B592" s="48" t="s">
        <v>873</v>
      </c>
      <c r="C592" s="64" t="s">
        <v>68</v>
      </c>
      <c r="D592" s="8" t="s">
        <v>7</v>
      </c>
      <c r="E592" s="71" t="s">
        <v>3103</v>
      </c>
      <c r="F592" s="57" t="s">
        <v>825</v>
      </c>
      <c r="G592" s="49" t="s">
        <v>2</v>
      </c>
      <c r="H592" s="8"/>
      <c r="I592" s="9" t="str">
        <f>IFERROR(HYPERLINK("#Main!A"&amp;MATCH(A592,Main!A:A,0),"Open"),HYPERLINK("#Main!A1","Open"))</f>
        <v>Open</v>
      </c>
      <c r="J592" s="9" t="str">
        <f t="shared" ca="1" si="9"/>
        <v>Open</v>
      </c>
      <c r="K592" s="9"/>
    </row>
    <row r="593" spans="1:11" ht="30" customHeight="1" x14ac:dyDescent="0.25">
      <c r="A593" s="58" t="s">
        <v>250</v>
      </c>
      <c r="B593" s="42" t="s">
        <v>884</v>
      </c>
      <c r="C593" s="64" t="s">
        <v>68</v>
      </c>
      <c r="D593" s="11" t="s">
        <v>7</v>
      </c>
      <c r="E593" s="72" t="s">
        <v>3104</v>
      </c>
      <c r="F593" s="60" t="s">
        <v>98</v>
      </c>
      <c r="G593" s="49" t="s">
        <v>2</v>
      </c>
      <c r="H593" s="11"/>
      <c r="I593" t="str">
        <f>IFERROR(HYPERLINK("#Main!A"&amp;MATCH(A593,Main!A:A,0),"Open"),HYPERLINK("#Main!A1","Open"))</f>
        <v>Open</v>
      </c>
      <c r="J593" t="str">
        <f t="shared" ca="1" si="9"/>
        <v>Open</v>
      </c>
    </row>
    <row r="594" spans="1:11" ht="30" customHeight="1" x14ac:dyDescent="0.25">
      <c r="A594" s="59" t="s">
        <v>250</v>
      </c>
      <c r="B594" s="48" t="s">
        <v>874</v>
      </c>
      <c r="C594" s="64" t="s">
        <v>68</v>
      </c>
      <c r="D594" s="8" t="s">
        <v>9</v>
      </c>
      <c r="E594" s="71" t="s">
        <v>3105</v>
      </c>
      <c r="F594" s="60" t="s">
        <v>98</v>
      </c>
      <c r="G594" s="49" t="s">
        <v>2</v>
      </c>
      <c r="H594" s="8"/>
      <c r="I594" s="9" t="str">
        <f>IFERROR(HYPERLINK("#Main!A"&amp;MATCH(A594,Main!A:A,0),"Open"),HYPERLINK("#Main!A1","Open"))</f>
        <v>Open</v>
      </c>
      <c r="J594" s="9" t="str">
        <f t="shared" ca="1" si="9"/>
        <v>Open</v>
      </c>
      <c r="K594" s="9"/>
    </row>
    <row r="595" spans="1:11" ht="30" customHeight="1" x14ac:dyDescent="0.25">
      <c r="A595" s="58" t="s">
        <v>250</v>
      </c>
      <c r="B595" s="42" t="s">
        <v>877</v>
      </c>
      <c r="C595" s="64" t="s">
        <v>68</v>
      </c>
      <c r="D595" s="11" t="s">
        <v>7</v>
      </c>
      <c r="E595" s="72" t="s">
        <v>3106</v>
      </c>
      <c r="F595" s="60" t="s">
        <v>98</v>
      </c>
      <c r="G595" s="49" t="s">
        <v>2</v>
      </c>
      <c r="H595" s="11"/>
      <c r="I595" t="str">
        <f>IFERROR(HYPERLINK("#Main!A"&amp;MATCH(A595,Main!A:A,0),"Open"),HYPERLINK("#Main!A1","Open"))</f>
        <v>Open</v>
      </c>
      <c r="J595" t="str">
        <f t="shared" ca="1" si="9"/>
        <v>Open</v>
      </c>
    </row>
    <row r="596" spans="1:11" ht="30" customHeight="1" x14ac:dyDescent="0.25">
      <c r="A596" s="59" t="s">
        <v>250</v>
      </c>
      <c r="B596" s="48" t="s">
        <v>880</v>
      </c>
      <c r="C596" s="64" t="s">
        <v>68</v>
      </c>
      <c r="D596" s="8" t="s">
        <v>7</v>
      </c>
      <c r="E596" s="71" t="s">
        <v>3107</v>
      </c>
      <c r="F596" s="60" t="s">
        <v>98</v>
      </c>
      <c r="G596" s="49" t="s">
        <v>2</v>
      </c>
      <c r="H596" s="8"/>
      <c r="I596" s="9" t="str">
        <f>IFERROR(HYPERLINK("#Main!A"&amp;MATCH(A596,Main!A:A,0),"Open"),HYPERLINK("#Main!A1","Open"))</f>
        <v>Open</v>
      </c>
      <c r="J596" s="9" t="str">
        <f t="shared" ca="1" si="9"/>
        <v>Open</v>
      </c>
      <c r="K596" s="9"/>
    </row>
    <row r="597" spans="1:11" ht="30" customHeight="1" x14ac:dyDescent="0.25">
      <c r="A597" s="58" t="s">
        <v>250</v>
      </c>
      <c r="B597" s="42" t="s">
        <v>883</v>
      </c>
      <c r="C597" s="64" t="s">
        <v>68</v>
      </c>
      <c r="D597" s="11" t="s">
        <v>7</v>
      </c>
      <c r="E597" s="72" t="s">
        <v>3108</v>
      </c>
      <c r="F597" s="60" t="s">
        <v>98</v>
      </c>
      <c r="G597" s="49" t="s">
        <v>2</v>
      </c>
      <c r="H597" s="11"/>
      <c r="I597" t="str">
        <f>IFERROR(HYPERLINK("#Main!A"&amp;MATCH(A597,Main!A:A,0),"Open"),HYPERLINK("#Main!A1","Open"))</f>
        <v>Open</v>
      </c>
      <c r="J597" t="str">
        <f t="shared" ca="1" si="9"/>
        <v>Open</v>
      </c>
    </row>
    <row r="598" spans="1:11" ht="30" customHeight="1" x14ac:dyDescent="0.25">
      <c r="A598" s="59" t="s">
        <v>266</v>
      </c>
      <c r="B598" s="48" t="s">
        <v>858</v>
      </c>
      <c r="C598" s="61" t="s">
        <v>67</v>
      </c>
      <c r="D598" s="8" t="s">
        <v>9</v>
      </c>
      <c r="E598" s="71" t="s">
        <v>3109</v>
      </c>
      <c r="F598" s="60" t="s">
        <v>98</v>
      </c>
      <c r="G598" s="49" t="s">
        <v>2</v>
      </c>
      <c r="H598" s="8"/>
      <c r="I598" s="9" t="str">
        <f>IFERROR(HYPERLINK("#Main!A"&amp;MATCH(A598,Main!A:A,0),"Open"),HYPERLINK("#Main!A1","Open"))</f>
        <v>Open</v>
      </c>
      <c r="J598" s="9" t="str">
        <f t="shared" ca="1" si="9"/>
        <v>Open</v>
      </c>
      <c r="K598" s="9"/>
    </row>
    <row r="599" spans="1:11" ht="30" customHeight="1" x14ac:dyDescent="0.25">
      <c r="A599" s="58" t="s">
        <v>266</v>
      </c>
      <c r="B599" s="42" t="s">
        <v>102</v>
      </c>
      <c r="C599" s="64" t="s">
        <v>68</v>
      </c>
      <c r="D599" s="11" t="s">
        <v>7</v>
      </c>
      <c r="E599" s="72" t="s">
        <v>3110</v>
      </c>
      <c r="F599" s="57" t="s">
        <v>825</v>
      </c>
      <c r="G599" s="49" t="s">
        <v>2</v>
      </c>
      <c r="H599" s="11"/>
      <c r="I599" t="str">
        <f>IFERROR(HYPERLINK("#Main!A"&amp;MATCH(A599,Main!A:A,0),"Open"),HYPERLINK("#Main!A1","Open"))</f>
        <v>Open</v>
      </c>
      <c r="J599" t="str">
        <f t="shared" ca="1" si="9"/>
        <v>Open</v>
      </c>
    </row>
    <row r="600" spans="1:11" ht="30" customHeight="1" x14ac:dyDescent="0.25">
      <c r="A600" s="59" t="s">
        <v>266</v>
      </c>
      <c r="B600" s="48" t="s">
        <v>872</v>
      </c>
      <c r="C600" s="64" t="s">
        <v>68</v>
      </c>
      <c r="D600" s="8" t="s">
        <v>7</v>
      </c>
      <c r="E600" s="71" t="s">
        <v>3111</v>
      </c>
      <c r="F600" s="57" t="s">
        <v>825</v>
      </c>
      <c r="G600" s="49" t="s">
        <v>2</v>
      </c>
      <c r="H600" s="8"/>
      <c r="I600" s="9" t="str">
        <f>IFERROR(HYPERLINK("#Main!A"&amp;MATCH(A600,Main!A:A,0),"Open"),HYPERLINK("#Main!A1","Open"))</f>
        <v>Open</v>
      </c>
      <c r="J600" s="9" t="str">
        <f t="shared" ca="1" si="9"/>
        <v>Open</v>
      </c>
      <c r="K600" s="9"/>
    </row>
    <row r="601" spans="1:11" ht="30" customHeight="1" x14ac:dyDescent="0.25">
      <c r="A601" s="58" t="s">
        <v>266</v>
      </c>
      <c r="B601" s="42" t="s">
        <v>873</v>
      </c>
      <c r="C601" s="64" t="s">
        <v>68</v>
      </c>
      <c r="D601" s="11" t="s">
        <v>7</v>
      </c>
      <c r="E601" s="72" t="s">
        <v>3112</v>
      </c>
      <c r="F601" s="57" t="s">
        <v>825</v>
      </c>
      <c r="G601" s="49" t="s">
        <v>2</v>
      </c>
      <c r="H601" s="11"/>
      <c r="I601" t="str">
        <f>IFERROR(HYPERLINK("#Main!A"&amp;MATCH(A601,Main!A:A,0),"Open"),HYPERLINK("#Main!A1","Open"))</f>
        <v>Open</v>
      </c>
      <c r="J601" t="str">
        <f t="shared" ca="1" si="9"/>
        <v>Open</v>
      </c>
    </row>
    <row r="602" spans="1:11" ht="30" customHeight="1" x14ac:dyDescent="0.25">
      <c r="A602" s="59" t="s">
        <v>266</v>
      </c>
      <c r="B602" s="48" t="s">
        <v>874</v>
      </c>
      <c r="C602" s="64" t="s">
        <v>68</v>
      </c>
      <c r="D602" s="8" t="s">
        <v>9</v>
      </c>
      <c r="E602" s="71" t="s">
        <v>3113</v>
      </c>
      <c r="F602" s="60" t="s">
        <v>98</v>
      </c>
      <c r="G602" s="49" t="s">
        <v>2</v>
      </c>
      <c r="H602" s="8"/>
      <c r="I602" s="9" t="str">
        <f>IFERROR(HYPERLINK("#Main!A"&amp;MATCH(A602,Main!A:A,0),"Open"),HYPERLINK("#Main!A1","Open"))</f>
        <v>Open</v>
      </c>
      <c r="J602" s="9" t="str">
        <f t="shared" ca="1" si="9"/>
        <v>Open</v>
      </c>
      <c r="K602" s="9"/>
    </row>
    <row r="603" spans="1:11" ht="30" customHeight="1" x14ac:dyDescent="0.25">
      <c r="A603" s="58" t="s">
        <v>266</v>
      </c>
      <c r="B603" s="42" t="s">
        <v>877</v>
      </c>
      <c r="C603" s="64" t="s">
        <v>68</v>
      </c>
      <c r="D603" s="11" t="s">
        <v>7</v>
      </c>
      <c r="E603" s="72" t="s">
        <v>3114</v>
      </c>
      <c r="F603" s="60" t="s">
        <v>98</v>
      </c>
      <c r="G603" s="49" t="s">
        <v>2</v>
      </c>
      <c r="H603" s="11"/>
      <c r="I603" t="str">
        <f>IFERROR(HYPERLINK("#Main!A"&amp;MATCH(A603,Main!A:A,0),"Open"),HYPERLINK("#Main!A1","Open"))</f>
        <v>Open</v>
      </c>
      <c r="J603" t="str">
        <f t="shared" ca="1" si="9"/>
        <v>Open</v>
      </c>
    </row>
    <row r="604" spans="1:11" ht="30" customHeight="1" x14ac:dyDescent="0.25">
      <c r="A604" s="59" t="s">
        <v>266</v>
      </c>
      <c r="B604" s="48" t="s">
        <v>880</v>
      </c>
      <c r="C604" s="64" t="s">
        <v>68</v>
      </c>
      <c r="D604" s="8" t="s">
        <v>7</v>
      </c>
      <c r="E604" s="71" t="s">
        <v>3115</v>
      </c>
      <c r="F604" s="60" t="s">
        <v>98</v>
      </c>
      <c r="G604" s="49" t="s">
        <v>2</v>
      </c>
      <c r="H604" s="8"/>
      <c r="I604" s="9" t="str">
        <f>IFERROR(HYPERLINK("#Main!A"&amp;MATCH(A604,Main!A:A,0),"Open"),HYPERLINK("#Main!A1","Open"))</f>
        <v>Open</v>
      </c>
      <c r="J604" s="9" t="str">
        <f t="shared" ca="1" si="9"/>
        <v>Open</v>
      </c>
      <c r="K604" s="9"/>
    </row>
    <row r="605" spans="1:11" ht="30" customHeight="1" x14ac:dyDescent="0.25">
      <c r="A605" s="58" t="s">
        <v>266</v>
      </c>
      <c r="B605" s="42" t="s">
        <v>883</v>
      </c>
      <c r="C605" s="64" t="s">
        <v>68</v>
      </c>
      <c r="D605" s="11" t="s">
        <v>7</v>
      </c>
      <c r="E605" s="72" t="s">
        <v>3116</v>
      </c>
      <c r="F605" s="60" t="s">
        <v>98</v>
      </c>
      <c r="G605" s="49" t="s">
        <v>2</v>
      </c>
      <c r="H605" s="11"/>
      <c r="I605" t="str">
        <f>IFERROR(HYPERLINK("#Main!A"&amp;MATCH(A605,Main!A:A,0),"Open"),HYPERLINK("#Main!A1","Open"))</f>
        <v>Open</v>
      </c>
      <c r="J605" t="str">
        <f t="shared" ca="1" si="9"/>
        <v>Open</v>
      </c>
    </row>
    <row r="606" spans="1:11" ht="30" customHeight="1" x14ac:dyDescent="0.25">
      <c r="A606" s="59" t="s">
        <v>543</v>
      </c>
      <c r="B606" s="48" t="s">
        <v>857</v>
      </c>
      <c r="C606" s="61" t="s">
        <v>67</v>
      </c>
      <c r="D606" s="8" t="s">
        <v>7</v>
      </c>
      <c r="E606" s="71" t="s">
        <v>3117</v>
      </c>
      <c r="F606" s="60" t="s">
        <v>98</v>
      </c>
      <c r="G606" s="49" t="s">
        <v>2</v>
      </c>
      <c r="H606" s="8"/>
      <c r="I606" s="9" t="str">
        <f>IFERROR(HYPERLINK("#Main!A"&amp;MATCH(A606,Main!A:A,0),"Open"),HYPERLINK("#Main!A1","Open"))</f>
        <v>Open</v>
      </c>
      <c r="J606" s="9" t="str">
        <f t="shared" ca="1" si="9"/>
        <v>Open</v>
      </c>
      <c r="K606" s="9"/>
    </row>
    <row r="607" spans="1:11" ht="30" customHeight="1" x14ac:dyDescent="0.25">
      <c r="A607" s="58" t="s">
        <v>543</v>
      </c>
      <c r="B607" s="42" t="s">
        <v>858</v>
      </c>
      <c r="C607" s="61" t="s">
        <v>67</v>
      </c>
      <c r="D607" s="11" t="s">
        <v>9</v>
      </c>
      <c r="E607" s="72" t="s">
        <v>3118</v>
      </c>
      <c r="F607" s="60" t="s">
        <v>98</v>
      </c>
      <c r="G607" s="49" t="s">
        <v>2</v>
      </c>
      <c r="H607" s="11"/>
      <c r="I607" t="str">
        <f>IFERROR(HYPERLINK("#Main!A"&amp;MATCH(A607,Main!A:A,0),"Open"),HYPERLINK("#Main!A1","Open"))</f>
        <v>Open</v>
      </c>
      <c r="J607" t="str">
        <f t="shared" ca="1" si="9"/>
        <v>Open</v>
      </c>
    </row>
    <row r="608" spans="1:11" ht="30" customHeight="1" x14ac:dyDescent="0.25">
      <c r="A608" s="59" t="s">
        <v>543</v>
      </c>
      <c r="B608" s="48" t="s">
        <v>102</v>
      </c>
      <c r="C608" s="64" t="s">
        <v>68</v>
      </c>
      <c r="D608" s="8" t="s">
        <v>7</v>
      </c>
      <c r="E608" s="71" t="s">
        <v>3119</v>
      </c>
      <c r="F608" s="57" t="s">
        <v>825</v>
      </c>
      <c r="G608" s="49" t="s">
        <v>2</v>
      </c>
      <c r="H608" s="8"/>
      <c r="I608" s="9" t="str">
        <f>IFERROR(HYPERLINK("#Main!A"&amp;MATCH(A608,Main!A:A,0),"Open"),HYPERLINK("#Main!A1","Open"))</f>
        <v>Open</v>
      </c>
      <c r="J608" s="9" t="str">
        <f t="shared" ca="1" si="9"/>
        <v>Open</v>
      </c>
      <c r="K608" s="9"/>
    </row>
    <row r="609" spans="1:11" ht="30" customHeight="1" x14ac:dyDescent="0.25">
      <c r="A609" s="58" t="s">
        <v>543</v>
      </c>
      <c r="B609" s="42" t="s">
        <v>872</v>
      </c>
      <c r="C609" s="64" t="s">
        <v>68</v>
      </c>
      <c r="D609" s="11" t="s">
        <v>7</v>
      </c>
      <c r="E609" s="72" t="s">
        <v>3120</v>
      </c>
      <c r="F609" s="57" t="s">
        <v>825</v>
      </c>
      <c r="G609" s="49" t="s">
        <v>2</v>
      </c>
      <c r="H609" s="11"/>
      <c r="I609" t="str">
        <f>IFERROR(HYPERLINK("#Main!A"&amp;MATCH(A609,Main!A:A,0),"Open"),HYPERLINK("#Main!A1","Open"))</f>
        <v>Open</v>
      </c>
      <c r="J609" t="str">
        <f t="shared" ca="1" si="9"/>
        <v>Open</v>
      </c>
    </row>
    <row r="610" spans="1:11" ht="30" customHeight="1" x14ac:dyDescent="0.25">
      <c r="A610" s="59" t="s">
        <v>543</v>
      </c>
      <c r="B610" s="48" t="s">
        <v>873</v>
      </c>
      <c r="C610" s="64" t="s">
        <v>68</v>
      </c>
      <c r="D610" s="8" t="s">
        <v>7</v>
      </c>
      <c r="E610" s="71" t="s">
        <v>3121</v>
      </c>
      <c r="F610" s="57" t="s">
        <v>825</v>
      </c>
      <c r="G610" s="49" t="s">
        <v>2</v>
      </c>
      <c r="H610" s="8"/>
      <c r="I610" s="9" t="str">
        <f>IFERROR(HYPERLINK("#Main!A"&amp;MATCH(A610,Main!A:A,0),"Open"),HYPERLINK("#Main!A1","Open"))</f>
        <v>Open</v>
      </c>
      <c r="J610" s="9" t="str">
        <f t="shared" ca="1" si="9"/>
        <v>Open</v>
      </c>
      <c r="K610" s="9"/>
    </row>
    <row r="611" spans="1:11" ht="30" customHeight="1" x14ac:dyDescent="0.25">
      <c r="A611" s="58" t="s">
        <v>543</v>
      </c>
      <c r="B611" s="42" t="s">
        <v>884</v>
      </c>
      <c r="C611" s="64" t="s">
        <v>68</v>
      </c>
      <c r="D611" s="11" t="s">
        <v>7</v>
      </c>
      <c r="E611" s="72" t="s">
        <v>3122</v>
      </c>
      <c r="F611" s="60" t="s">
        <v>98</v>
      </c>
      <c r="G611" s="49" t="s">
        <v>2</v>
      </c>
      <c r="H611" s="11"/>
      <c r="I611" t="str">
        <f>IFERROR(HYPERLINK("#Main!A"&amp;MATCH(A611,Main!A:A,0),"Open"),HYPERLINK("#Main!A1","Open"))</f>
        <v>Open</v>
      </c>
      <c r="J611" t="str">
        <f t="shared" ca="1" si="9"/>
        <v>Open</v>
      </c>
    </row>
    <row r="612" spans="1:11" ht="30" customHeight="1" x14ac:dyDescent="0.25">
      <c r="A612" s="59" t="s">
        <v>543</v>
      </c>
      <c r="B612" s="48" t="s">
        <v>874</v>
      </c>
      <c r="C612" s="64" t="s">
        <v>68</v>
      </c>
      <c r="D612" s="8" t="s">
        <v>9</v>
      </c>
      <c r="E612" s="71" t="s">
        <v>3123</v>
      </c>
      <c r="F612" s="60" t="s">
        <v>98</v>
      </c>
      <c r="G612" s="49" t="s">
        <v>2</v>
      </c>
      <c r="H612" s="8"/>
      <c r="I612" s="9" t="str">
        <f>IFERROR(HYPERLINK("#Main!A"&amp;MATCH(A612,Main!A:A,0),"Open"),HYPERLINK("#Main!A1","Open"))</f>
        <v>Open</v>
      </c>
      <c r="J612" s="9" t="str">
        <f t="shared" ca="1" si="9"/>
        <v>Open</v>
      </c>
      <c r="K612" s="9"/>
    </row>
    <row r="613" spans="1:11" ht="30" customHeight="1" x14ac:dyDescent="0.25">
      <c r="A613" s="58" t="s">
        <v>543</v>
      </c>
      <c r="B613" s="42" t="s">
        <v>877</v>
      </c>
      <c r="C613" s="64" t="s">
        <v>68</v>
      </c>
      <c r="D613" s="11" t="s">
        <v>7</v>
      </c>
      <c r="E613" s="72" t="s">
        <v>3124</v>
      </c>
      <c r="F613" s="60" t="s">
        <v>98</v>
      </c>
      <c r="G613" s="49" t="s">
        <v>2</v>
      </c>
      <c r="H613" s="11"/>
      <c r="I613" t="str">
        <f>IFERROR(HYPERLINK("#Main!A"&amp;MATCH(A613,Main!A:A,0),"Open"),HYPERLINK("#Main!A1","Open"))</f>
        <v>Open</v>
      </c>
      <c r="J613" t="str">
        <f t="shared" ca="1" si="9"/>
        <v>Open</v>
      </c>
    </row>
    <row r="614" spans="1:11" ht="30" customHeight="1" x14ac:dyDescent="0.25">
      <c r="A614" s="59" t="s">
        <v>543</v>
      </c>
      <c r="B614" s="48" t="s">
        <v>880</v>
      </c>
      <c r="C614" s="64" t="s">
        <v>68</v>
      </c>
      <c r="D614" s="8" t="s">
        <v>7</v>
      </c>
      <c r="E614" s="71" t="s">
        <v>3125</v>
      </c>
      <c r="F614" s="60" t="s">
        <v>98</v>
      </c>
      <c r="G614" s="49" t="s">
        <v>2</v>
      </c>
      <c r="H614" s="8"/>
      <c r="I614" s="9" t="str">
        <f>IFERROR(HYPERLINK("#Main!A"&amp;MATCH(A614,Main!A:A,0),"Open"),HYPERLINK("#Main!A1","Open"))</f>
        <v>Open</v>
      </c>
      <c r="J614" s="9" t="str">
        <f t="shared" ca="1" si="9"/>
        <v>Open</v>
      </c>
      <c r="K614" s="9"/>
    </row>
    <row r="615" spans="1:11" ht="30" customHeight="1" x14ac:dyDescent="0.25">
      <c r="A615" s="58" t="s">
        <v>543</v>
      </c>
      <c r="B615" s="42" t="s">
        <v>883</v>
      </c>
      <c r="C615" s="64" t="s">
        <v>68</v>
      </c>
      <c r="D615" s="11" t="s">
        <v>7</v>
      </c>
      <c r="E615" s="72" t="s">
        <v>3126</v>
      </c>
      <c r="F615" s="60" t="s">
        <v>98</v>
      </c>
      <c r="G615" s="49" t="s">
        <v>2</v>
      </c>
      <c r="H615" s="11"/>
      <c r="I615" t="str">
        <f>IFERROR(HYPERLINK("#Main!A"&amp;MATCH(A615,Main!A:A,0),"Open"),HYPERLINK("#Main!A1","Open"))</f>
        <v>Open</v>
      </c>
      <c r="J615" t="str">
        <f t="shared" ca="1" si="9"/>
        <v>Open</v>
      </c>
    </row>
    <row r="616" spans="1:11" ht="30" customHeight="1" x14ac:dyDescent="0.25">
      <c r="A616" s="59" t="s">
        <v>99</v>
      </c>
      <c r="B616" s="48" t="s">
        <v>853</v>
      </c>
      <c r="C616" s="61" t="s">
        <v>67</v>
      </c>
      <c r="D616" s="8" t="s">
        <v>7</v>
      </c>
      <c r="E616" s="71" t="s">
        <v>3127</v>
      </c>
      <c r="F616" s="60" t="s">
        <v>98</v>
      </c>
      <c r="G616" s="49" t="s">
        <v>2</v>
      </c>
      <c r="H616" s="8"/>
      <c r="I616" s="9" t="str">
        <f>IFERROR(HYPERLINK("#Main!A"&amp;MATCH(A616,Main!A:A,0),"Open"),HYPERLINK("#Main!A1","Open"))</f>
        <v>Open</v>
      </c>
      <c r="J616" s="9" t="str">
        <f t="shared" ca="1" si="9"/>
        <v>Open</v>
      </c>
      <c r="K616" s="9"/>
    </row>
    <row r="617" spans="1:11" ht="30" customHeight="1" x14ac:dyDescent="0.25">
      <c r="A617" s="58" t="s">
        <v>99</v>
      </c>
      <c r="B617" s="42" t="s">
        <v>857</v>
      </c>
      <c r="C617" s="61" t="s">
        <v>67</v>
      </c>
      <c r="D617" s="11" t="s">
        <v>7</v>
      </c>
      <c r="E617" s="72" t="s">
        <v>3128</v>
      </c>
      <c r="F617" s="60" t="s">
        <v>98</v>
      </c>
      <c r="G617" s="49" t="s">
        <v>2</v>
      </c>
      <c r="H617" s="11"/>
      <c r="I617" t="str">
        <f>IFERROR(HYPERLINK("#Main!A"&amp;MATCH(A617,Main!A:A,0),"Open"),HYPERLINK("#Main!A1","Open"))</f>
        <v>Open</v>
      </c>
      <c r="J617" t="str">
        <f t="shared" ca="1" si="9"/>
        <v>Open</v>
      </c>
    </row>
    <row r="618" spans="1:11" ht="30" customHeight="1" x14ac:dyDescent="0.25">
      <c r="A618" s="59" t="s">
        <v>99</v>
      </c>
      <c r="B618" s="48" t="s">
        <v>858</v>
      </c>
      <c r="C618" s="61" t="s">
        <v>67</v>
      </c>
      <c r="D618" s="8" t="s">
        <v>9</v>
      </c>
      <c r="E618" s="71" t="s">
        <v>3129</v>
      </c>
      <c r="F618" s="60" t="s">
        <v>98</v>
      </c>
      <c r="G618" s="49" t="s">
        <v>2</v>
      </c>
      <c r="H618" s="8"/>
      <c r="I618" s="9" t="str">
        <f>IFERROR(HYPERLINK("#Main!A"&amp;MATCH(A618,Main!A:A,0),"Open"),HYPERLINK("#Main!A1","Open"))</f>
        <v>Open</v>
      </c>
      <c r="J618" s="9" t="str">
        <f t="shared" ca="1" si="9"/>
        <v>Open</v>
      </c>
      <c r="K618" s="9"/>
    </row>
    <row r="619" spans="1:11" ht="30" customHeight="1" x14ac:dyDescent="0.25">
      <c r="A619" s="58" t="s">
        <v>99</v>
      </c>
      <c r="B619" s="42" t="s">
        <v>102</v>
      </c>
      <c r="C619" s="64" t="s">
        <v>68</v>
      </c>
      <c r="D619" s="11" t="s">
        <v>7</v>
      </c>
      <c r="E619" s="72" t="s">
        <v>3130</v>
      </c>
      <c r="F619" s="57" t="s">
        <v>825</v>
      </c>
      <c r="G619" s="49" t="s">
        <v>2</v>
      </c>
      <c r="H619" s="11"/>
      <c r="I619" t="str">
        <f>IFERROR(HYPERLINK("#Main!A"&amp;MATCH(A619,Main!A:A,0),"Open"),HYPERLINK("#Main!A1","Open"))</f>
        <v>Open</v>
      </c>
      <c r="J619" t="str">
        <f t="shared" ca="1" si="9"/>
        <v>Open</v>
      </c>
    </row>
    <row r="620" spans="1:11" ht="30" customHeight="1" x14ac:dyDescent="0.25">
      <c r="A620" s="59" t="s">
        <v>99</v>
      </c>
      <c r="B620" s="48" t="s">
        <v>872</v>
      </c>
      <c r="C620" s="64" t="s">
        <v>68</v>
      </c>
      <c r="D620" s="8" t="s">
        <v>7</v>
      </c>
      <c r="E620" s="71" t="s">
        <v>3131</v>
      </c>
      <c r="F620" s="57" t="s">
        <v>825</v>
      </c>
      <c r="G620" s="49" t="s">
        <v>2</v>
      </c>
      <c r="H620" s="8"/>
      <c r="I620" s="9" t="str">
        <f>IFERROR(HYPERLINK("#Main!A"&amp;MATCH(A620,Main!A:A,0),"Open"),HYPERLINK("#Main!A1","Open"))</f>
        <v>Open</v>
      </c>
      <c r="J620" s="9" t="str">
        <f t="shared" ca="1" si="9"/>
        <v>Open</v>
      </c>
      <c r="K620" s="9"/>
    </row>
    <row r="621" spans="1:11" ht="30" customHeight="1" x14ac:dyDescent="0.25">
      <c r="A621" s="58" t="s">
        <v>99</v>
      </c>
      <c r="B621" s="42" t="s">
        <v>873</v>
      </c>
      <c r="C621" s="64" t="s">
        <v>68</v>
      </c>
      <c r="D621" s="11" t="s">
        <v>7</v>
      </c>
      <c r="E621" s="72" t="s">
        <v>3132</v>
      </c>
      <c r="F621" s="57" t="s">
        <v>825</v>
      </c>
      <c r="G621" s="49" t="s">
        <v>2</v>
      </c>
      <c r="H621" s="11"/>
      <c r="I621" t="str">
        <f>IFERROR(HYPERLINK("#Main!A"&amp;MATCH(A621,Main!A:A,0),"Open"),HYPERLINK("#Main!A1","Open"))</f>
        <v>Open</v>
      </c>
      <c r="J621" t="str">
        <f t="shared" ca="1" si="9"/>
        <v>Open</v>
      </c>
    </row>
    <row r="622" spans="1:11" ht="30" customHeight="1" x14ac:dyDescent="0.25">
      <c r="A622" s="59" t="s">
        <v>99</v>
      </c>
      <c r="B622" s="48" t="s">
        <v>884</v>
      </c>
      <c r="C622" s="64" t="s">
        <v>68</v>
      </c>
      <c r="D622" s="8" t="s">
        <v>7</v>
      </c>
      <c r="E622" s="71" t="s">
        <v>3133</v>
      </c>
      <c r="F622" s="60" t="s">
        <v>98</v>
      </c>
      <c r="G622" s="49" t="s">
        <v>2</v>
      </c>
      <c r="H622" s="8"/>
      <c r="I622" s="9" t="str">
        <f>IFERROR(HYPERLINK("#Main!A"&amp;MATCH(A622,Main!A:A,0),"Open"),HYPERLINK("#Main!A1","Open"))</f>
        <v>Open</v>
      </c>
      <c r="J622" s="9" t="str">
        <f t="shared" ca="1" si="9"/>
        <v>Open</v>
      </c>
      <c r="K622" s="9"/>
    </row>
    <row r="623" spans="1:11" ht="30" customHeight="1" x14ac:dyDescent="0.25">
      <c r="A623" s="58" t="s">
        <v>99</v>
      </c>
      <c r="B623" s="42" t="s">
        <v>874</v>
      </c>
      <c r="C623" s="64" t="s">
        <v>68</v>
      </c>
      <c r="D623" s="11" t="s">
        <v>9</v>
      </c>
      <c r="E623" s="72" t="s">
        <v>3134</v>
      </c>
      <c r="F623" s="60" t="s">
        <v>98</v>
      </c>
      <c r="G623" s="49" t="s">
        <v>2</v>
      </c>
      <c r="H623" s="11"/>
      <c r="I623" t="str">
        <f>IFERROR(HYPERLINK("#Main!A"&amp;MATCH(A623,Main!A:A,0),"Open"),HYPERLINK("#Main!A1","Open"))</f>
        <v>Open</v>
      </c>
      <c r="J623" t="str">
        <f t="shared" ca="1" si="9"/>
        <v>Open</v>
      </c>
    </row>
    <row r="624" spans="1:11" ht="30" customHeight="1" x14ac:dyDescent="0.25">
      <c r="A624" s="59" t="s">
        <v>99</v>
      </c>
      <c r="B624" s="48" t="s">
        <v>877</v>
      </c>
      <c r="C624" s="64" t="s">
        <v>68</v>
      </c>
      <c r="D624" s="8" t="s">
        <v>7</v>
      </c>
      <c r="E624" s="71" t="s">
        <v>3135</v>
      </c>
      <c r="F624" s="60" t="s">
        <v>98</v>
      </c>
      <c r="G624" s="49" t="s">
        <v>2</v>
      </c>
      <c r="H624" s="8"/>
      <c r="I624" s="9" t="str">
        <f>IFERROR(HYPERLINK("#Main!A"&amp;MATCH(A624,Main!A:A,0),"Open"),HYPERLINK("#Main!A1","Open"))</f>
        <v>Open</v>
      </c>
      <c r="J624" s="9" t="str">
        <f t="shared" ca="1" si="9"/>
        <v>Open</v>
      </c>
      <c r="K624" s="9"/>
    </row>
    <row r="625" spans="1:11" ht="30" customHeight="1" x14ac:dyDescent="0.25">
      <c r="A625" s="58" t="s">
        <v>99</v>
      </c>
      <c r="B625" s="42" t="s">
        <v>880</v>
      </c>
      <c r="C625" s="64" t="s">
        <v>68</v>
      </c>
      <c r="D625" s="11" t="s">
        <v>7</v>
      </c>
      <c r="E625" s="72" t="s">
        <v>3136</v>
      </c>
      <c r="F625" s="60" t="s">
        <v>98</v>
      </c>
      <c r="G625" s="49" t="s">
        <v>2</v>
      </c>
      <c r="H625" s="11"/>
      <c r="I625" t="str">
        <f>IFERROR(HYPERLINK("#Main!A"&amp;MATCH(A625,Main!A:A,0),"Open"),HYPERLINK("#Main!A1","Open"))</f>
        <v>Open</v>
      </c>
      <c r="J625" t="str">
        <f t="shared" ca="1" si="9"/>
        <v>Open</v>
      </c>
    </row>
    <row r="626" spans="1:11" ht="30" customHeight="1" x14ac:dyDescent="0.25">
      <c r="A626" s="59" t="s">
        <v>99</v>
      </c>
      <c r="B626" s="48" t="s">
        <v>883</v>
      </c>
      <c r="C626" s="64" t="s">
        <v>68</v>
      </c>
      <c r="D626" s="8" t="s">
        <v>7</v>
      </c>
      <c r="E626" s="71" t="s">
        <v>3137</v>
      </c>
      <c r="F626" s="60" t="s">
        <v>98</v>
      </c>
      <c r="G626" s="49" t="s">
        <v>2</v>
      </c>
      <c r="H626" s="8"/>
      <c r="I626" s="9" t="str">
        <f>IFERROR(HYPERLINK("#Main!A"&amp;MATCH(A626,Main!A:A,0),"Open"),HYPERLINK("#Main!A1","Open"))</f>
        <v>Open</v>
      </c>
      <c r="J626" s="9" t="str">
        <f t="shared" ca="1" si="9"/>
        <v>Open</v>
      </c>
      <c r="K626" s="9"/>
    </row>
    <row r="627" spans="1:11" ht="30" customHeight="1" x14ac:dyDescent="0.25">
      <c r="A627" s="58" t="s">
        <v>226</v>
      </c>
      <c r="B627" s="42" t="s">
        <v>858</v>
      </c>
      <c r="C627" s="61" t="s">
        <v>67</v>
      </c>
      <c r="D627" s="11" t="s">
        <v>9</v>
      </c>
      <c r="E627" s="72" t="s">
        <v>3138</v>
      </c>
      <c r="F627" s="60" t="s">
        <v>98</v>
      </c>
      <c r="G627" s="49" t="s">
        <v>2</v>
      </c>
      <c r="H627" s="11"/>
      <c r="I627" t="str">
        <f>IFERROR(HYPERLINK("#Main!A"&amp;MATCH(A627,Main!A:A,0),"Open"),HYPERLINK("#Main!A1","Open"))</f>
        <v>Open</v>
      </c>
      <c r="J627" t="str">
        <f t="shared" ca="1" si="9"/>
        <v>Open</v>
      </c>
    </row>
    <row r="628" spans="1:11" ht="30" customHeight="1" x14ac:dyDescent="0.25">
      <c r="A628" s="59" t="s">
        <v>226</v>
      </c>
      <c r="B628" s="48" t="s">
        <v>102</v>
      </c>
      <c r="C628" s="64" t="s">
        <v>68</v>
      </c>
      <c r="D628" s="8" t="s">
        <v>7</v>
      </c>
      <c r="E628" s="71" t="s">
        <v>3139</v>
      </c>
      <c r="F628" s="57" t="s">
        <v>825</v>
      </c>
      <c r="G628" s="49" t="s">
        <v>2</v>
      </c>
      <c r="H628" s="8"/>
      <c r="I628" s="9" t="str">
        <f>IFERROR(HYPERLINK("#Main!A"&amp;MATCH(A628,Main!A:A,0),"Open"),HYPERLINK("#Main!A1","Open"))</f>
        <v>Open</v>
      </c>
      <c r="J628" s="9" t="str">
        <f t="shared" ca="1" si="9"/>
        <v>Open</v>
      </c>
      <c r="K628" s="9"/>
    </row>
    <row r="629" spans="1:11" ht="30" customHeight="1" x14ac:dyDescent="0.25">
      <c r="A629" s="58" t="s">
        <v>226</v>
      </c>
      <c r="B629" s="42" t="s">
        <v>872</v>
      </c>
      <c r="C629" s="64" t="s">
        <v>68</v>
      </c>
      <c r="D629" s="11" t="s">
        <v>7</v>
      </c>
      <c r="E629" s="72" t="s">
        <v>3140</v>
      </c>
      <c r="F629" s="57" t="s">
        <v>825</v>
      </c>
      <c r="G629" s="49" t="s">
        <v>2</v>
      </c>
      <c r="H629" s="11"/>
      <c r="I629" t="str">
        <f>IFERROR(HYPERLINK("#Main!A"&amp;MATCH(A629,Main!A:A,0),"Open"),HYPERLINK("#Main!A1","Open"))</f>
        <v>Open</v>
      </c>
      <c r="J629" t="str">
        <f t="shared" ca="1" si="9"/>
        <v>Open</v>
      </c>
    </row>
    <row r="630" spans="1:11" ht="30" customHeight="1" x14ac:dyDescent="0.25">
      <c r="A630" s="59" t="s">
        <v>226</v>
      </c>
      <c r="B630" s="48" t="s">
        <v>873</v>
      </c>
      <c r="C630" s="64" t="s">
        <v>68</v>
      </c>
      <c r="D630" s="8" t="s">
        <v>7</v>
      </c>
      <c r="E630" s="71" t="s">
        <v>3141</v>
      </c>
      <c r="F630" s="57" t="s">
        <v>825</v>
      </c>
      <c r="G630" s="49" t="s">
        <v>2</v>
      </c>
      <c r="H630" s="8"/>
      <c r="I630" s="9" t="str">
        <f>IFERROR(HYPERLINK("#Main!A"&amp;MATCH(A630,Main!A:A,0),"Open"),HYPERLINK("#Main!A1","Open"))</f>
        <v>Open</v>
      </c>
      <c r="J630" s="9" t="str">
        <f t="shared" ca="1" si="9"/>
        <v>Open</v>
      </c>
      <c r="K630" s="9"/>
    </row>
    <row r="631" spans="1:11" ht="30" customHeight="1" x14ac:dyDescent="0.25">
      <c r="A631" s="58" t="s">
        <v>226</v>
      </c>
      <c r="B631" s="42" t="s">
        <v>884</v>
      </c>
      <c r="C631" s="64" t="s">
        <v>68</v>
      </c>
      <c r="D631" s="11" t="s">
        <v>7</v>
      </c>
      <c r="E631" s="72" t="s">
        <v>3142</v>
      </c>
      <c r="F631" s="60" t="s">
        <v>98</v>
      </c>
      <c r="G631" s="49" t="s">
        <v>2</v>
      </c>
      <c r="H631" s="11"/>
      <c r="I631" t="str">
        <f>IFERROR(HYPERLINK("#Main!A"&amp;MATCH(A631,Main!A:A,0),"Open"),HYPERLINK("#Main!A1","Open"))</f>
        <v>Open</v>
      </c>
      <c r="J631" t="str">
        <f t="shared" ca="1" si="9"/>
        <v>Open</v>
      </c>
    </row>
    <row r="632" spans="1:11" ht="30" customHeight="1" x14ac:dyDescent="0.25">
      <c r="A632" s="59" t="s">
        <v>226</v>
      </c>
      <c r="B632" s="48" t="s">
        <v>874</v>
      </c>
      <c r="C632" s="64" t="s">
        <v>68</v>
      </c>
      <c r="D632" s="8" t="s">
        <v>9</v>
      </c>
      <c r="E632" s="71" t="s">
        <v>3143</v>
      </c>
      <c r="F632" s="60" t="s">
        <v>98</v>
      </c>
      <c r="G632" s="49" t="s">
        <v>2</v>
      </c>
      <c r="H632" s="8"/>
      <c r="I632" s="9" t="str">
        <f>IFERROR(HYPERLINK("#Main!A"&amp;MATCH(A632,Main!A:A,0),"Open"),HYPERLINK("#Main!A1","Open"))</f>
        <v>Open</v>
      </c>
      <c r="J632" s="9" t="str">
        <f t="shared" ca="1" si="9"/>
        <v>Open</v>
      </c>
      <c r="K632" s="9"/>
    </row>
    <row r="633" spans="1:11" ht="30" customHeight="1" x14ac:dyDescent="0.25">
      <c r="A633" s="58" t="s">
        <v>226</v>
      </c>
      <c r="B633" s="42" t="s">
        <v>877</v>
      </c>
      <c r="C633" s="64" t="s">
        <v>68</v>
      </c>
      <c r="D633" s="11" t="s">
        <v>7</v>
      </c>
      <c r="E633" s="72" t="s">
        <v>3144</v>
      </c>
      <c r="F633" s="60" t="s">
        <v>98</v>
      </c>
      <c r="G633" s="49" t="s">
        <v>2</v>
      </c>
      <c r="H633" s="11"/>
      <c r="I633" t="str">
        <f>IFERROR(HYPERLINK("#Main!A"&amp;MATCH(A633,Main!A:A,0),"Open"),HYPERLINK("#Main!A1","Open"))</f>
        <v>Open</v>
      </c>
      <c r="J633" t="str">
        <f t="shared" ca="1" si="9"/>
        <v>Open</v>
      </c>
    </row>
    <row r="634" spans="1:11" ht="30" customHeight="1" x14ac:dyDescent="0.25">
      <c r="A634" s="59" t="s">
        <v>226</v>
      </c>
      <c r="B634" s="48" t="s">
        <v>880</v>
      </c>
      <c r="C634" s="64" t="s">
        <v>68</v>
      </c>
      <c r="D634" s="8" t="s">
        <v>7</v>
      </c>
      <c r="E634" s="71" t="s">
        <v>3145</v>
      </c>
      <c r="F634" s="60" t="s">
        <v>98</v>
      </c>
      <c r="G634" s="49" t="s">
        <v>2</v>
      </c>
      <c r="H634" s="8"/>
      <c r="I634" s="9" t="str">
        <f>IFERROR(HYPERLINK("#Main!A"&amp;MATCH(A634,Main!A:A,0),"Open"),HYPERLINK("#Main!A1","Open"))</f>
        <v>Open</v>
      </c>
      <c r="J634" s="9" t="str">
        <f t="shared" ca="1" si="9"/>
        <v>Open</v>
      </c>
      <c r="K634" s="9"/>
    </row>
    <row r="635" spans="1:11" ht="30" customHeight="1" x14ac:dyDescent="0.25">
      <c r="A635" s="58" t="s">
        <v>226</v>
      </c>
      <c r="B635" s="42" t="s">
        <v>883</v>
      </c>
      <c r="C635" s="64" t="s">
        <v>68</v>
      </c>
      <c r="D635" s="11" t="s">
        <v>7</v>
      </c>
      <c r="E635" s="72" t="s">
        <v>3146</v>
      </c>
      <c r="F635" s="60" t="s">
        <v>98</v>
      </c>
      <c r="G635" s="49" t="s">
        <v>2</v>
      </c>
      <c r="H635" s="11"/>
      <c r="I635" t="str">
        <f>IFERROR(HYPERLINK("#Main!A"&amp;MATCH(A635,Main!A:A,0),"Open"),HYPERLINK("#Main!A1","Open"))</f>
        <v>Open</v>
      </c>
      <c r="J635" t="str">
        <f t="shared" ca="1" si="9"/>
        <v>Open</v>
      </c>
    </row>
    <row r="636" spans="1:11" ht="30" customHeight="1" x14ac:dyDescent="0.25">
      <c r="A636" s="59" t="s">
        <v>234</v>
      </c>
      <c r="B636" s="48" t="s">
        <v>858</v>
      </c>
      <c r="C636" s="61" t="s">
        <v>67</v>
      </c>
      <c r="D636" s="8" t="s">
        <v>9</v>
      </c>
      <c r="E636" s="71" t="s">
        <v>3147</v>
      </c>
      <c r="F636" s="60" t="s">
        <v>98</v>
      </c>
      <c r="G636" s="49" t="s">
        <v>2</v>
      </c>
      <c r="H636" s="8"/>
      <c r="I636" s="9" t="str">
        <f>IFERROR(HYPERLINK("#Main!A"&amp;MATCH(A636,Main!A:A,0),"Open"),HYPERLINK("#Main!A1","Open"))</f>
        <v>Open</v>
      </c>
      <c r="J636" s="9" t="str">
        <f t="shared" ca="1" si="9"/>
        <v>Open</v>
      </c>
      <c r="K636" s="9"/>
    </row>
    <row r="637" spans="1:11" ht="30" customHeight="1" x14ac:dyDescent="0.25">
      <c r="A637" s="58" t="s">
        <v>234</v>
      </c>
      <c r="B637" s="42" t="s">
        <v>102</v>
      </c>
      <c r="C637" s="64" t="s">
        <v>68</v>
      </c>
      <c r="D637" s="11" t="s">
        <v>7</v>
      </c>
      <c r="E637" s="72" t="s">
        <v>3148</v>
      </c>
      <c r="F637" s="57" t="s">
        <v>825</v>
      </c>
      <c r="G637" s="49" t="s">
        <v>2</v>
      </c>
      <c r="H637" s="11"/>
      <c r="I637" t="str">
        <f>IFERROR(HYPERLINK("#Main!A"&amp;MATCH(A637,Main!A:A,0),"Open"),HYPERLINK("#Main!A1","Open"))</f>
        <v>Open</v>
      </c>
      <c r="J637" t="str">
        <f t="shared" ca="1" si="9"/>
        <v>Open</v>
      </c>
    </row>
    <row r="638" spans="1:11" ht="30" customHeight="1" x14ac:dyDescent="0.25">
      <c r="A638" s="59" t="s">
        <v>234</v>
      </c>
      <c r="B638" s="48" t="s">
        <v>872</v>
      </c>
      <c r="C638" s="64" t="s">
        <v>68</v>
      </c>
      <c r="D638" s="8" t="s">
        <v>7</v>
      </c>
      <c r="E638" s="71" t="s">
        <v>3149</v>
      </c>
      <c r="F638" s="57" t="s">
        <v>825</v>
      </c>
      <c r="G638" s="49" t="s">
        <v>2</v>
      </c>
      <c r="H638" s="8"/>
      <c r="I638" s="9" t="str">
        <f>IFERROR(HYPERLINK("#Main!A"&amp;MATCH(A638,Main!A:A,0),"Open"),HYPERLINK("#Main!A1","Open"))</f>
        <v>Open</v>
      </c>
      <c r="J638" s="9" t="str">
        <f t="shared" ca="1" si="9"/>
        <v>Open</v>
      </c>
      <c r="K638" s="9"/>
    </row>
    <row r="639" spans="1:11" ht="30" customHeight="1" x14ac:dyDescent="0.25">
      <c r="A639" s="58" t="s">
        <v>234</v>
      </c>
      <c r="B639" s="42" t="s">
        <v>873</v>
      </c>
      <c r="C639" s="64" t="s">
        <v>68</v>
      </c>
      <c r="D639" s="11" t="s">
        <v>7</v>
      </c>
      <c r="E639" s="72" t="s">
        <v>3150</v>
      </c>
      <c r="F639" s="57" t="s">
        <v>825</v>
      </c>
      <c r="G639" s="49" t="s">
        <v>2</v>
      </c>
      <c r="H639" s="11"/>
      <c r="I639" t="str">
        <f>IFERROR(HYPERLINK("#Main!A"&amp;MATCH(A639,Main!A:A,0),"Open"),HYPERLINK("#Main!A1","Open"))</f>
        <v>Open</v>
      </c>
      <c r="J639" t="str">
        <f t="shared" ca="1" si="9"/>
        <v>Open</v>
      </c>
    </row>
    <row r="640" spans="1:11" ht="30" customHeight="1" x14ac:dyDescent="0.25">
      <c r="A640" s="59" t="s">
        <v>234</v>
      </c>
      <c r="B640" s="48" t="s">
        <v>884</v>
      </c>
      <c r="C640" s="64" t="s">
        <v>68</v>
      </c>
      <c r="D640" s="8" t="s">
        <v>7</v>
      </c>
      <c r="E640" s="71" t="s">
        <v>3151</v>
      </c>
      <c r="F640" s="60" t="s">
        <v>98</v>
      </c>
      <c r="G640" s="49" t="s">
        <v>2</v>
      </c>
      <c r="H640" s="8"/>
      <c r="I640" s="9" t="str">
        <f>IFERROR(HYPERLINK("#Main!A"&amp;MATCH(A640,Main!A:A,0),"Open"),HYPERLINK("#Main!A1","Open"))</f>
        <v>Open</v>
      </c>
      <c r="J640" s="9" t="str">
        <f t="shared" ca="1" si="9"/>
        <v>Open</v>
      </c>
      <c r="K640" s="9"/>
    </row>
    <row r="641" spans="1:11" ht="30" customHeight="1" x14ac:dyDescent="0.25">
      <c r="A641" s="58" t="s">
        <v>234</v>
      </c>
      <c r="B641" s="42" t="s">
        <v>874</v>
      </c>
      <c r="C641" s="64" t="s">
        <v>68</v>
      </c>
      <c r="D641" s="11" t="s">
        <v>9</v>
      </c>
      <c r="E641" s="72" t="s">
        <v>3152</v>
      </c>
      <c r="F641" s="60" t="s">
        <v>98</v>
      </c>
      <c r="G641" s="49" t="s">
        <v>2</v>
      </c>
      <c r="H641" s="11"/>
      <c r="I641" t="str">
        <f>IFERROR(HYPERLINK("#Main!A"&amp;MATCH(A641,Main!A:A,0),"Open"),HYPERLINK("#Main!A1","Open"))</f>
        <v>Open</v>
      </c>
      <c r="J641" t="str">
        <f t="shared" ca="1" si="9"/>
        <v>Open</v>
      </c>
    </row>
    <row r="642" spans="1:11" ht="30" customHeight="1" x14ac:dyDescent="0.25">
      <c r="A642" s="59" t="s">
        <v>234</v>
      </c>
      <c r="B642" s="48" t="s">
        <v>877</v>
      </c>
      <c r="C642" s="64" t="s">
        <v>68</v>
      </c>
      <c r="D642" s="8" t="s">
        <v>7</v>
      </c>
      <c r="E642" s="71" t="s">
        <v>3153</v>
      </c>
      <c r="F642" s="60" t="s">
        <v>98</v>
      </c>
      <c r="G642" s="49" t="s">
        <v>2</v>
      </c>
      <c r="H642" s="8"/>
      <c r="I642" s="9" t="str">
        <f>IFERROR(HYPERLINK("#Main!A"&amp;MATCH(A642,Main!A:A,0),"Open"),HYPERLINK("#Main!A1","Open"))</f>
        <v>Open</v>
      </c>
      <c r="J642" s="9" t="str">
        <f t="shared" ref="J642:J705" ca="1" si="10">IFERROR(HYPERLINK("#"&amp;D642&amp;"!A"&amp;MATCH(A642,INDIRECT("'"&amp;D642&amp;"'!A:A"),0),"Open"),HYPERLINK("#"&amp;D642&amp;"!A1","Open"))</f>
        <v>Open</v>
      </c>
      <c r="K642" s="9"/>
    </row>
    <row r="643" spans="1:11" ht="30" customHeight="1" x14ac:dyDescent="0.25">
      <c r="A643" s="58" t="s">
        <v>234</v>
      </c>
      <c r="B643" s="42" t="s">
        <v>880</v>
      </c>
      <c r="C643" s="64" t="s">
        <v>68</v>
      </c>
      <c r="D643" s="11" t="s">
        <v>7</v>
      </c>
      <c r="E643" s="72" t="s">
        <v>3154</v>
      </c>
      <c r="F643" s="60" t="s">
        <v>98</v>
      </c>
      <c r="G643" s="49" t="s">
        <v>2</v>
      </c>
      <c r="H643" s="11"/>
      <c r="I643" t="str">
        <f>IFERROR(HYPERLINK("#Main!A"&amp;MATCH(A643,Main!A:A,0),"Open"),HYPERLINK("#Main!A1","Open"))</f>
        <v>Open</v>
      </c>
      <c r="J643" t="str">
        <f t="shared" ca="1" si="10"/>
        <v>Open</v>
      </c>
    </row>
    <row r="644" spans="1:11" ht="30" customHeight="1" x14ac:dyDescent="0.25">
      <c r="A644" s="59" t="s">
        <v>234</v>
      </c>
      <c r="B644" s="48" t="s">
        <v>883</v>
      </c>
      <c r="C644" s="64" t="s">
        <v>68</v>
      </c>
      <c r="D644" s="8" t="s">
        <v>7</v>
      </c>
      <c r="E644" s="71" t="s">
        <v>3155</v>
      </c>
      <c r="F644" s="60" t="s">
        <v>98</v>
      </c>
      <c r="G644" s="49" t="s">
        <v>2</v>
      </c>
      <c r="H644" s="8"/>
      <c r="I644" s="9" t="str">
        <f>IFERROR(HYPERLINK("#Main!A"&amp;MATCH(A644,Main!A:A,0),"Open"),HYPERLINK("#Main!A1","Open"))</f>
        <v>Open</v>
      </c>
      <c r="J644" s="9" t="str">
        <f t="shared" ca="1" si="10"/>
        <v>Open</v>
      </c>
      <c r="K644" s="9"/>
    </row>
    <row r="645" spans="1:11" ht="30" customHeight="1" x14ac:dyDescent="0.25">
      <c r="A645" s="58" t="s">
        <v>218</v>
      </c>
      <c r="B645" s="42" t="s">
        <v>857</v>
      </c>
      <c r="C645" s="61" t="s">
        <v>67</v>
      </c>
      <c r="D645" s="11" t="s">
        <v>7</v>
      </c>
      <c r="E645" s="72" t="s">
        <v>3156</v>
      </c>
      <c r="F645" s="60" t="s">
        <v>98</v>
      </c>
      <c r="G645" s="49" t="s">
        <v>2</v>
      </c>
      <c r="H645" s="11"/>
      <c r="I645" t="str">
        <f>IFERROR(HYPERLINK("#Main!A"&amp;MATCH(A645,Main!A:A,0),"Open"),HYPERLINK("#Main!A1","Open"))</f>
        <v>Open</v>
      </c>
      <c r="J645" t="str">
        <f t="shared" ca="1" si="10"/>
        <v>Open</v>
      </c>
    </row>
    <row r="646" spans="1:11" ht="30" customHeight="1" x14ac:dyDescent="0.25">
      <c r="A646" s="59" t="s">
        <v>218</v>
      </c>
      <c r="B646" s="48" t="s">
        <v>858</v>
      </c>
      <c r="C646" s="61" t="s">
        <v>67</v>
      </c>
      <c r="D646" s="8" t="s">
        <v>9</v>
      </c>
      <c r="E646" s="71" t="s">
        <v>3157</v>
      </c>
      <c r="F646" s="60" t="s">
        <v>98</v>
      </c>
      <c r="G646" s="49" t="s">
        <v>2</v>
      </c>
      <c r="H646" s="8"/>
      <c r="I646" s="9" t="str">
        <f>IFERROR(HYPERLINK("#Main!A"&amp;MATCH(A646,Main!A:A,0),"Open"),HYPERLINK("#Main!A1","Open"))</f>
        <v>Open</v>
      </c>
      <c r="J646" s="9" t="str">
        <f t="shared" ca="1" si="10"/>
        <v>Open</v>
      </c>
      <c r="K646" s="9"/>
    </row>
    <row r="647" spans="1:11" ht="30" customHeight="1" x14ac:dyDescent="0.25">
      <c r="A647" s="58" t="s">
        <v>218</v>
      </c>
      <c r="B647" s="42" t="s">
        <v>102</v>
      </c>
      <c r="C647" s="64" t="s">
        <v>68</v>
      </c>
      <c r="D647" s="11" t="s">
        <v>7</v>
      </c>
      <c r="E647" s="72" t="s">
        <v>3158</v>
      </c>
      <c r="F647" s="57" t="s">
        <v>825</v>
      </c>
      <c r="G647" s="49" t="s">
        <v>2</v>
      </c>
      <c r="H647" s="11"/>
      <c r="I647" t="str">
        <f>IFERROR(HYPERLINK("#Main!A"&amp;MATCH(A647,Main!A:A,0),"Open"),HYPERLINK("#Main!A1","Open"))</f>
        <v>Open</v>
      </c>
      <c r="J647" t="str">
        <f t="shared" ca="1" si="10"/>
        <v>Open</v>
      </c>
    </row>
    <row r="648" spans="1:11" ht="30" customHeight="1" x14ac:dyDescent="0.25">
      <c r="A648" s="59" t="s">
        <v>218</v>
      </c>
      <c r="B648" s="48" t="s">
        <v>872</v>
      </c>
      <c r="C648" s="64" t="s">
        <v>68</v>
      </c>
      <c r="D648" s="8" t="s">
        <v>7</v>
      </c>
      <c r="E648" s="71" t="s">
        <v>3159</v>
      </c>
      <c r="F648" s="57" t="s">
        <v>825</v>
      </c>
      <c r="G648" s="49" t="s">
        <v>2</v>
      </c>
      <c r="H648" s="8"/>
      <c r="I648" s="9" t="str">
        <f>IFERROR(HYPERLINK("#Main!A"&amp;MATCH(A648,Main!A:A,0),"Open"),HYPERLINK("#Main!A1","Open"))</f>
        <v>Open</v>
      </c>
      <c r="J648" s="9" t="str">
        <f t="shared" ca="1" si="10"/>
        <v>Open</v>
      </c>
      <c r="K648" s="9"/>
    </row>
    <row r="649" spans="1:11" ht="30" customHeight="1" x14ac:dyDescent="0.25">
      <c r="A649" s="58" t="s">
        <v>218</v>
      </c>
      <c r="B649" s="42" t="s">
        <v>873</v>
      </c>
      <c r="C649" s="64" t="s">
        <v>68</v>
      </c>
      <c r="D649" s="11" t="s">
        <v>7</v>
      </c>
      <c r="E649" s="72" t="s">
        <v>3160</v>
      </c>
      <c r="F649" s="57" t="s">
        <v>825</v>
      </c>
      <c r="G649" s="49" t="s">
        <v>2</v>
      </c>
      <c r="H649" s="11"/>
      <c r="I649" t="str">
        <f>IFERROR(HYPERLINK("#Main!A"&amp;MATCH(A649,Main!A:A,0),"Open"),HYPERLINK("#Main!A1","Open"))</f>
        <v>Open</v>
      </c>
      <c r="J649" t="str">
        <f t="shared" ca="1" si="10"/>
        <v>Open</v>
      </c>
    </row>
    <row r="650" spans="1:11" ht="30" customHeight="1" x14ac:dyDescent="0.25">
      <c r="A650" s="59" t="s">
        <v>218</v>
      </c>
      <c r="B650" s="48" t="s">
        <v>884</v>
      </c>
      <c r="C650" s="64" t="s">
        <v>68</v>
      </c>
      <c r="D650" s="8" t="s">
        <v>7</v>
      </c>
      <c r="E650" s="71" t="s">
        <v>3161</v>
      </c>
      <c r="F650" s="60" t="s">
        <v>98</v>
      </c>
      <c r="G650" s="49" t="s">
        <v>2</v>
      </c>
      <c r="H650" s="8"/>
      <c r="I650" s="9" t="str">
        <f>IFERROR(HYPERLINK("#Main!A"&amp;MATCH(A650,Main!A:A,0),"Open"),HYPERLINK("#Main!A1","Open"))</f>
        <v>Open</v>
      </c>
      <c r="J650" s="9" t="str">
        <f t="shared" ca="1" si="10"/>
        <v>Open</v>
      </c>
      <c r="K650" s="9"/>
    </row>
    <row r="651" spans="1:11" ht="30" customHeight="1" x14ac:dyDescent="0.25">
      <c r="A651" s="58" t="s">
        <v>218</v>
      </c>
      <c r="B651" s="42" t="s">
        <v>874</v>
      </c>
      <c r="C651" s="64" t="s">
        <v>68</v>
      </c>
      <c r="D651" s="11" t="s">
        <v>9</v>
      </c>
      <c r="E651" s="72" t="s">
        <v>3162</v>
      </c>
      <c r="F651" s="60" t="s">
        <v>98</v>
      </c>
      <c r="G651" s="49" t="s">
        <v>2</v>
      </c>
      <c r="H651" s="11"/>
      <c r="I651" t="str">
        <f>IFERROR(HYPERLINK("#Main!A"&amp;MATCH(A651,Main!A:A,0),"Open"),HYPERLINK("#Main!A1","Open"))</f>
        <v>Open</v>
      </c>
      <c r="J651" t="str">
        <f t="shared" ca="1" si="10"/>
        <v>Open</v>
      </c>
    </row>
    <row r="652" spans="1:11" ht="30" customHeight="1" x14ac:dyDescent="0.25">
      <c r="A652" s="59" t="s">
        <v>218</v>
      </c>
      <c r="B652" s="48" t="s">
        <v>877</v>
      </c>
      <c r="C652" s="64" t="s">
        <v>68</v>
      </c>
      <c r="D652" s="8" t="s">
        <v>7</v>
      </c>
      <c r="E652" s="71" t="s">
        <v>3163</v>
      </c>
      <c r="F652" s="60" t="s">
        <v>98</v>
      </c>
      <c r="G652" s="49" t="s">
        <v>2</v>
      </c>
      <c r="H652" s="8"/>
      <c r="I652" s="9" t="str">
        <f>IFERROR(HYPERLINK("#Main!A"&amp;MATCH(A652,Main!A:A,0),"Open"),HYPERLINK("#Main!A1","Open"))</f>
        <v>Open</v>
      </c>
      <c r="J652" s="9" t="str">
        <f t="shared" ca="1" si="10"/>
        <v>Open</v>
      </c>
      <c r="K652" s="9"/>
    </row>
    <row r="653" spans="1:11" ht="30" customHeight="1" x14ac:dyDescent="0.25">
      <c r="A653" s="58" t="s">
        <v>218</v>
      </c>
      <c r="B653" s="42" t="s">
        <v>880</v>
      </c>
      <c r="C653" s="64" t="s">
        <v>68</v>
      </c>
      <c r="D653" s="11" t="s">
        <v>7</v>
      </c>
      <c r="E653" s="72" t="s">
        <v>3164</v>
      </c>
      <c r="F653" s="60" t="s">
        <v>98</v>
      </c>
      <c r="G653" s="49" t="s">
        <v>2</v>
      </c>
      <c r="H653" s="11"/>
      <c r="I653" t="str">
        <f>IFERROR(HYPERLINK("#Main!A"&amp;MATCH(A653,Main!A:A,0),"Open"),HYPERLINK("#Main!A1","Open"))</f>
        <v>Open</v>
      </c>
      <c r="J653" t="str">
        <f t="shared" ca="1" si="10"/>
        <v>Open</v>
      </c>
    </row>
    <row r="654" spans="1:11" ht="30" customHeight="1" x14ac:dyDescent="0.25">
      <c r="A654" s="59" t="s">
        <v>218</v>
      </c>
      <c r="B654" s="48" t="s">
        <v>883</v>
      </c>
      <c r="C654" s="64" t="s">
        <v>68</v>
      </c>
      <c r="D654" s="8" t="s">
        <v>7</v>
      </c>
      <c r="E654" s="71" t="s">
        <v>3165</v>
      </c>
      <c r="F654" s="60" t="s">
        <v>98</v>
      </c>
      <c r="G654" s="49" t="s">
        <v>2</v>
      </c>
      <c r="H654" s="8"/>
      <c r="I654" s="9" t="str">
        <f>IFERROR(HYPERLINK("#Main!A"&amp;MATCH(A654,Main!A:A,0),"Open"),HYPERLINK("#Main!A1","Open"))</f>
        <v>Open</v>
      </c>
      <c r="J654" s="9" t="str">
        <f t="shared" ca="1" si="10"/>
        <v>Open</v>
      </c>
      <c r="K654" s="9"/>
    </row>
    <row r="655" spans="1:11" ht="30" customHeight="1" x14ac:dyDescent="0.25">
      <c r="A655" s="58" t="s">
        <v>342</v>
      </c>
      <c r="B655" s="42" t="s">
        <v>858</v>
      </c>
      <c r="C655" s="61" t="s">
        <v>67</v>
      </c>
      <c r="D655" s="11" t="s">
        <v>9</v>
      </c>
      <c r="E655" s="72" t="s">
        <v>3166</v>
      </c>
      <c r="F655" s="60" t="s">
        <v>98</v>
      </c>
      <c r="G655" s="49" t="s">
        <v>2</v>
      </c>
      <c r="H655" s="11"/>
      <c r="I655" t="str">
        <f>IFERROR(HYPERLINK("#Main!A"&amp;MATCH(A655,Main!A:A,0),"Open"),HYPERLINK("#Main!A1","Open"))</f>
        <v>Open</v>
      </c>
      <c r="J655" t="str">
        <f t="shared" ca="1" si="10"/>
        <v>Open</v>
      </c>
    </row>
    <row r="656" spans="1:11" ht="30" customHeight="1" x14ac:dyDescent="0.25">
      <c r="A656" s="59" t="s">
        <v>342</v>
      </c>
      <c r="B656" s="48" t="s">
        <v>102</v>
      </c>
      <c r="C656" s="64" t="s">
        <v>68</v>
      </c>
      <c r="D656" s="8" t="s">
        <v>7</v>
      </c>
      <c r="E656" s="71" t="s">
        <v>3167</v>
      </c>
      <c r="F656" s="57" t="s">
        <v>825</v>
      </c>
      <c r="G656" s="49" t="s">
        <v>2</v>
      </c>
      <c r="H656" s="8"/>
      <c r="I656" s="9" t="str">
        <f>IFERROR(HYPERLINK("#Main!A"&amp;MATCH(A656,Main!A:A,0),"Open"),HYPERLINK("#Main!A1","Open"))</f>
        <v>Open</v>
      </c>
      <c r="J656" s="9" t="str">
        <f t="shared" ca="1" si="10"/>
        <v>Open</v>
      </c>
      <c r="K656" s="9"/>
    </row>
    <row r="657" spans="1:11" ht="30" customHeight="1" x14ac:dyDescent="0.25">
      <c r="A657" s="58" t="s">
        <v>342</v>
      </c>
      <c r="B657" s="42" t="s">
        <v>872</v>
      </c>
      <c r="C657" s="64" t="s">
        <v>68</v>
      </c>
      <c r="D657" s="11" t="s">
        <v>7</v>
      </c>
      <c r="E657" s="72" t="s">
        <v>3168</v>
      </c>
      <c r="F657" s="57" t="s">
        <v>825</v>
      </c>
      <c r="G657" s="49" t="s">
        <v>2</v>
      </c>
      <c r="H657" s="11"/>
      <c r="I657" t="str">
        <f>IFERROR(HYPERLINK("#Main!A"&amp;MATCH(A657,Main!A:A,0),"Open"),HYPERLINK("#Main!A1","Open"))</f>
        <v>Open</v>
      </c>
      <c r="J657" t="str">
        <f t="shared" ca="1" si="10"/>
        <v>Open</v>
      </c>
    </row>
    <row r="658" spans="1:11" ht="30" customHeight="1" x14ac:dyDescent="0.25">
      <c r="A658" s="59" t="s">
        <v>342</v>
      </c>
      <c r="B658" s="48" t="s">
        <v>873</v>
      </c>
      <c r="C658" s="64" t="s">
        <v>68</v>
      </c>
      <c r="D658" s="8" t="s">
        <v>7</v>
      </c>
      <c r="E658" s="71" t="s">
        <v>3169</v>
      </c>
      <c r="F658" s="57" t="s">
        <v>825</v>
      </c>
      <c r="G658" s="49" t="s">
        <v>2</v>
      </c>
      <c r="H658" s="8"/>
      <c r="I658" s="9" t="str">
        <f>IFERROR(HYPERLINK("#Main!A"&amp;MATCH(A658,Main!A:A,0),"Open"),HYPERLINK("#Main!A1","Open"))</f>
        <v>Open</v>
      </c>
      <c r="J658" s="9" t="str">
        <f t="shared" ca="1" si="10"/>
        <v>Open</v>
      </c>
      <c r="K658" s="9"/>
    </row>
    <row r="659" spans="1:11" ht="30" customHeight="1" x14ac:dyDescent="0.25">
      <c r="A659" s="58" t="s">
        <v>342</v>
      </c>
      <c r="B659" s="42" t="s">
        <v>874</v>
      </c>
      <c r="C659" s="64" t="s">
        <v>68</v>
      </c>
      <c r="D659" s="11" t="s">
        <v>9</v>
      </c>
      <c r="E659" s="72" t="s">
        <v>3170</v>
      </c>
      <c r="F659" s="60" t="s">
        <v>98</v>
      </c>
      <c r="G659" s="49" t="s">
        <v>2</v>
      </c>
      <c r="H659" s="11"/>
      <c r="I659" t="str">
        <f>IFERROR(HYPERLINK("#Main!A"&amp;MATCH(A659,Main!A:A,0),"Open"),HYPERLINK("#Main!A1","Open"))</f>
        <v>Open</v>
      </c>
      <c r="J659" t="str">
        <f t="shared" ca="1" si="10"/>
        <v>Open</v>
      </c>
    </row>
    <row r="660" spans="1:11" ht="30" customHeight="1" x14ac:dyDescent="0.25">
      <c r="A660" s="59" t="s">
        <v>342</v>
      </c>
      <c r="B660" s="48" t="s">
        <v>877</v>
      </c>
      <c r="C660" s="64" t="s">
        <v>68</v>
      </c>
      <c r="D660" s="8" t="s">
        <v>7</v>
      </c>
      <c r="E660" s="71" t="s">
        <v>3171</v>
      </c>
      <c r="F660" s="60" t="s">
        <v>98</v>
      </c>
      <c r="G660" s="49" t="s">
        <v>2</v>
      </c>
      <c r="H660" s="8"/>
      <c r="I660" s="9" t="str">
        <f>IFERROR(HYPERLINK("#Main!A"&amp;MATCH(A660,Main!A:A,0),"Open"),HYPERLINK("#Main!A1","Open"))</f>
        <v>Open</v>
      </c>
      <c r="J660" s="9" t="str">
        <f t="shared" ca="1" si="10"/>
        <v>Open</v>
      </c>
      <c r="K660" s="9"/>
    </row>
    <row r="661" spans="1:11" ht="30" customHeight="1" x14ac:dyDescent="0.25">
      <c r="A661" s="58" t="s">
        <v>342</v>
      </c>
      <c r="B661" s="42" t="s">
        <v>880</v>
      </c>
      <c r="C661" s="64" t="s">
        <v>68</v>
      </c>
      <c r="D661" s="11" t="s">
        <v>7</v>
      </c>
      <c r="E661" s="72" t="s">
        <v>3172</v>
      </c>
      <c r="F661" s="60" t="s">
        <v>98</v>
      </c>
      <c r="G661" s="49" t="s">
        <v>2</v>
      </c>
      <c r="H661" s="11"/>
      <c r="I661" t="str">
        <f>IFERROR(HYPERLINK("#Main!A"&amp;MATCH(A661,Main!A:A,0),"Open"),HYPERLINK("#Main!A1","Open"))</f>
        <v>Open</v>
      </c>
      <c r="J661" t="str">
        <f t="shared" ca="1" si="10"/>
        <v>Open</v>
      </c>
    </row>
    <row r="662" spans="1:11" ht="30" customHeight="1" x14ac:dyDescent="0.25">
      <c r="A662" s="59" t="s">
        <v>342</v>
      </c>
      <c r="B662" s="48" t="s">
        <v>883</v>
      </c>
      <c r="C662" s="64" t="s">
        <v>68</v>
      </c>
      <c r="D662" s="8" t="s">
        <v>7</v>
      </c>
      <c r="E662" s="71" t="s">
        <v>3173</v>
      </c>
      <c r="F662" s="60" t="s">
        <v>98</v>
      </c>
      <c r="G662" s="49" t="s">
        <v>2</v>
      </c>
      <c r="H662" s="8"/>
      <c r="I662" s="9" t="str">
        <f>IFERROR(HYPERLINK("#Main!A"&amp;MATCH(A662,Main!A:A,0),"Open"),HYPERLINK("#Main!A1","Open"))</f>
        <v>Open</v>
      </c>
      <c r="J662" s="9" t="str">
        <f t="shared" ca="1" si="10"/>
        <v>Open</v>
      </c>
      <c r="K662" s="9"/>
    </row>
    <row r="663" spans="1:11" ht="30" customHeight="1" x14ac:dyDescent="0.25">
      <c r="A663" s="58" t="s">
        <v>774</v>
      </c>
      <c r="B663" s="42" t="s">
        <v>857</v>
      </c>
      <c r="C663" s="61" t="s">
        <v>67</v>
      </c>
      <c r="D663" s="11" t="s">
        <v>7</v>
      </c>
      <c r="E663" s="72" t="s">
        <v>3174</v>
      </c>
      <c r="F663" s="60" t="s">
        <v>98</v>
      </c>
      <c r="G663" s="49" t="s">
        <v>2</v>
      </c>
      <c r="H663" s="11"/>
      <c r="I663" t="str">
        <f>IFERROR(HYPERLINK("#Main!A"&amp;MATCH(A663,Main!A:A,0),"Open"),HYPERLINK("#Main!A1","Open"))</f>
        <v>Open</v>
      </c>
      <c r="J663" t="str">
        <f t="shared" ca="1" si="10"/>
        <v>Open</v>
      </c>
    </row>
    <row r="664" spans="1:11" ht="30" customHeight="1" x14ac:dyDescent="0.25">
      <c r="A664" s="59" t="s">
        <v>774</v>
      </c>
      <c r="B664" s="48" t="s">
        <v>858</v>
      </c>
      <c r="C664" s="61" t="s">
        <v>67</v>
      </c>
      <c r="D664" s="8" t="s">
        <v>9</v>
      </c>
      <c r="E664" s="71" t="s">
        <v>3175</v>
      </c>
      <c r="F664" s="60" t="s">
        <v>98</v>
      </c>
      <c r="G664" s="49" t="s">
        <v>2</v>
      </c>
      <c r="H664" s="8"/>
      <c r="I664" s="9" t="str">
        <f>IFERROR(HYPERLINK("#Main!A"&amp;MATCH(A664,Main!A:A,0),"Open"),HYPERLINK("#Main!A1","Open"))</f>
        <v>Open</v>
      </c>
      <c r="J664" s="9" t="str">
        <f t="shared" ca="1" si="10"/>
        <v>Open</v>
      </c>
      <c r="K664" s="9"/>
    </row>
    <row r="665" spans="1:11" ht="30" customHeight="1" x14ac:dyDescent="0.25">
      <c r="A665" s="58" t="s">
        <v>774</v>
      </c>
      <c r="B665" s="42" t="s">
        <v>102</v>
      </c>
      <c r="C665" s="64" t="s">
        <v>68</v>
      </c>
      <c r="D665" s="11" t="s">
        <v>7</v>
      </c>
      <c r="E665" s="72" t="s">
        <v>3176</v>
      </c>
      <c r="F665" s="57" t="s">
        <v>825</v>
      </c>
      <c r="G665" s="49" t="s">
        <v>2</v>
      </c>
      <c r="H665" s="11"/>
      <c r="I665" t="str">
        <f>IFERROR(HYPERLINK("#Main!A"&amp;MATCH(A665,Main!A:A,0),"Open"),HYPERLINK("#Main!A1","Open"))</f>
        <v>Open</v>
      </c>
      <c r="J665" t="str">
        <f t="shared" ca="1" si="10"/>
        <v>Open</v>
      </c>
    </row>
    <row r="666" spans="1:11" ht="30" customHeight="1" x14ac:dyDescent="0.25">
      <c r="A666" s="59" t="s">
        <v>774</v>
      </c>
      <c r="B666" s="48" t="s">
        <v>872</v>
      </c>
      <c r="C666" s="64" t="s">
        <v>68</v>
      </c>
      <c r="D666" s="8" t="s">
        <v>7</v>
      </c>
      <c r="E666" s="71" t="s">
        <v>3177</v>
      </c>
      <c r="F666" s="57" t="s">
        <v>825</v>
      </c>
      <c r="G666" s="49" t="s">
        <v>2</v>
      </c>
      <c r="H666" s="8"/>
      <c r="I666" s="9" t="str">
        <f>IFERROR(HYPERLINK("#Main!A"&amp;MATCH(A666,Main!A:A,0),"Open"),HYPERLINK("#Main!A1","Open"))</f>
        <v>Open</v>
      </c>
      <c r="J666" s="9" t="str">
        <f t="shared" ca="1" si="10"/>
        <v>Open</v>
      </c>
      <c r="K666" s="9"/>
    </row>
    <row r="667" spans="1:11" ht="30" customHeight="1" x14ac:dyDescent="0.25">
      <c r="A667" s="58" t="s">
        <v>774</v>
      </c>
      <c r="B667" s="42" t="s">
        <v>873</v>
      </c>
      <c r="C667" s="64" t="s">
        <v>68</v>
      </c>
      <c r="D667" s="11" t="s">
        <v>7</v>
      </c>
      <c r="E667" s="72" t="s">
        <v>3178</v>
      </c>
      <c r="F667" s="57" t="s">
        <v>825</v>
      </c>
      <c r="G667" s="49" t="s">
        <v>2</v>
      </c>
      <c r="H667" s="11"/>
      <c r="I667" t="str">
        <f>IFERROR(HYPERLINK("#Main!A"&amp;MATCH(A667,Main!A:A,0),"Open"),HYPERLINK("#Main!A1","Open"))</f>
        <v>Open</v>
      </c>
      <c r="J667" t="str">
        <f t="shared" ca="1" si="10"/>
        <v>Open</v>
      </c>
    </row>
    <row r="668" spans="1:11" ht="30" customHeight="1" x14ac:dyDescent="0.25">
      <c r="A668" s="59" t="s">
        <v>774</v>
      </c>
      <c r="B668" s="48" t="s">
        <v>884</v>
      </c>
      <c r="C668" s="64" t="s">
        <v>68</v>
      </c>
      <c r="D668" s="8" t="s">
        <v>7</v>
      </c>
      <c r="E668" s="71" t="s">
        <v>3179</v>
      </c>
      <c r="F668" s="60" t="s">
        <v>98</v>
      </c>
      <c r="G668" s="49" t="s">
        <v>2</v>
      </c>
      <c r="H668" s="8"/>
      <c r="I668" s="9" t="str">
        <f>IFERROR(HYPERLINK("#Main!A"&amp;MATCH(A668,Main!A:A,0),"Open"),HYPERLINK("#Main!A1","Open"))</f>
        <v>Open</v>
      </c>
      <c r="J668" s="9" t="str">
        <f t="shared" ca="1" si="10"/>
        <v>Open</v>
      </c>
      <c r="K668" s="9"/>
    </row>
    <row r="669" spans="1:11" ht="30" customHeight="1" x14ac:dyDescent="0.25">
      <c r="A669" s="58" t="s">
        <v>774</v>
      </c>
      <c r="B669" s="42" t="s">
        <v>874</v>
      </c>
      <c r="C669" s="64" t="s">
        <v>68</v>
      </c>
      <c r="D669" s="11" t="s">
        <v>9</v>
      </c>
      <c r="E669" s="72" t="s">
        <v>3180</v>
      </c>
      <c r="F669" s="60" t="s">
        <v>98</v>
      </c>
      <c r="G669" s="49" t="s">
        <v>2</v>
      </c>
      <c r="H669" s="11"/>
      <c r="I669" t="str">
        <f>IFERROR(HYPERLINK("#Main!A"&amp;MATCH(A669,Main!A:A,0),"Open"),HYPERLINK("#Main!A1","Open"))</f>
        <v>Open</v>
      </c>
      <c r="J669" t="str">
        <f t="shared" ca="1" si="10"/>
        <v>Open</v>
      </c>
    </row>
    <row r="670" spans="1:11" ht="30" customHeight="1" x14ac:dyDescent="0.25">
      <c r="A670" s="59" t="s">
        <v>774</v>
      </c>
      <c r="B670" s="48" t="s">
        <v>877</v>
      </c>
      <c r="C670" s="64" t="s">
        <v>68</v>
      </c>
      <c r="D670" s="8" t="s">
        <v>7</v>
      </c>
      <c r="E670" s="71" t="s">
        <v>3181</v>
      </c>
      <c r="F670" s="60" t="s">
        <v>98</v>
      </c>
      <c r="G670" s="49" t="s">
        <v>2</v>
      </c>
      <c r="H670" s="8"/>
      <c r="I670" s="9" t="str">
        <f>IFERROR(HYPERLINK("#Main!A"&amp;MATCH(A670,Main!A:A,0),"Open"),HYPERLINK("#Main!A1","Open"))</f>
        <v>Open</v>
      </c>
      <c r="J670" s="9" t="str">
        <f t="shared" ca="1" si="10"/>
        <v>Open</v>
      </c>
      <c r="K670" s="9"/>
    </row>
    <row r="671" spans="1:11" ht="30" customHeight="1" x14ac:dyDescent="0.25">
      <c r="A671" s="58" t="s">
        <v>774</v>
      </c>
      <c r="B671" s="42" t="s">
        <v>880</v>
      </c>
      <c r="C671" s="64" t="s">
        <v>68</v>
      </c>
      <c r="D671" s="11" t="s">
        <v>7</v>
      </c>
      <c r="E671" s="72" t="s">
        <v>3182</v>
      </c>
      <c r="F671" s="60" t="s">
        <v>98</v>
      </c>
      <c r="G671" s="49" t="s">
        <v>2</v>
      </c>
      <c r="H671" s="11"/>
      <c r="I671" t="str">
        <f>IFERROR(HYPERLINK("#Main!A"&amp;MATCH(A671,Main!A:A,0),"Open"),HYPERLINK("#Main!A1","Open"))</f>
        <v>Open</v>
      </c>
      <c r="J671" t="str">
        <f t="shared" ca="1" si="10"/>
        <v>Open</v>
      </c>
    </row>
    <row r="672" spans="1:11" ht="30" customHeight="1" x14ac:dyDescent="0.25">
      <c r="A672" s="59" t="s">
        <v>774</v>
      </c>
      <c r="B672" s="48" t="s">
        <v>883</v>
      </c>
      <c r="C672" s="64" t="s">
        <v>68</v>
      </c>
      <c r="D672" s="8" t="s">
        <v>7</v>
      </c>
      <c r="E672" s="71" t="s">
        <v>3183</v>
      </c>
      <c r="F672" s="60" t="s">
        <v>98</v>
      </c>
      <c r="G672" s="49" t="s">
        <v>2</v>
      </c>
      <c r="H672" s="8"/>
      <c r="I672" s="9" t="str">
        <f>IFERROR(HYPERLINK("#Main!A"&amp;MATCH(A672,Main!A:A,0),"Open"),HYPERLINK("#Main!A1","Open"))</f>
        <v>Open</v>
      </c>
      <c r="J672" s="9" t="str">
        <f t="shared" ca="1" si="10"/>
        <v>Open</v>
      </c>
      <c r="K672" s="9"/>
    </row>
    <row r="673" spans="1:11" ht="30" customHeight="1" x14ac:dyDescent="0.25">
      <c r="A673" s="58" t="s">
        <v>750</v>
      </c>
      <c r="B673" s="42" t="s">
        <v>857</v>
      </c>
      <c r="C673" s="61" t="s">
        <v>67</v>
      </c>
      <c r="D673" s="11" t="s">
        <v>7</v>
      </c>
      <c r="E673" s="72" t="s">
        <v>3184</v>
      </c>
      <c r="F673" s="60" t="s">
        <v>98</v>
      </c>
      <c r="G673" s="49" t="s">
        <v>2</v>
      </c>
      <c r="H673" s="11"/>
      <c r="I673" t="str">
        <f>IFERROR(HYPERLINK("#Main!A"&amp;MATCH(A673,Main!A:A,0),"Open"),HYPERLINK("#Main!A1","Open"))</f>
        <v>Open</v>
      </c>
      <c r="J673" t="str">
        <f t="shared" ca="1" si="10"/>
        <v>Open</v>
      </c>
    </row>
    <row r="674" spans="1:11" ht="30" customHeight="1" x14ac:dyDescent="0.25">
      <c r="A674" s="59" t="s">
        <v>750</v>
      </c>
      <c r="B674" s="48" t="s">
        <v>858</v>
      </c>
      <c r="C674" s="61" t="s">
        <v>67</v>
      </c>
      <c r="D674" s="8" t="s">
        <v>9</v>
      </c>
      <c r="E674" s="71" t="s">
        <v>3185</v>
      </c>
      <c r="F674" s="60" t="s">
        <v>98</v>
      </c>
      <c r="G674" s="49" t="s">
        <v>2</v>
      </c>
      <c r="H674" s="8"/>
      <c r="I674" s="9" t="str">
        <f>IFERROR(HYPERLINK("#Main!A"&amp;MATCH(A674,Main!A:A,0),"Open"),HYPERLINK("#Main!A1","Open"))</f>
        <v>Open</v>
      </c>
      <c r="J674" s="9" t="str">
        <f t="shared" ca="1" si="10"/>
        <v>Open</v>
      </c>
      <c r="K674" s="9"/>
    </row>
    <row r="675" spans="1:11" ht="30" customHeight="1" x14ac:dyDescent="0.25">
      <c r="A675" s="58" t="s">
        <v>750</v>
      </c>
      <c r="B675" s="42" t="s">
        <v>102</v>
      </c>
      <c r="C675" s="64" t="s">
        <v>68</v>
      </c>
      <c r="D675" s="11" t="s">
        <v>7</v>
      </c>
      <c r="E675" s="72" t="s">
        <v>3186</v>
      </c>
      <c r="F675" s="57" t="s">
        <v>825</v>
      </c>
      <c r="G675" s="49" t="s">
        <v>2</v>
      </c>
      <c r="H675" s="11"/>
      <c r="I675" t="str">
        <f>IFERROR(HYPERLINK("#Main!A"&amp;MATCH(A675,Main!A:A,0),"Open"),HYPERLINK("#Main!A1","Open"))</f>
        <v>Open</v>
      </c>
      <c r="J675" t="str">
        <f t="shared" ca="1" si="10"/>
        <v>Open</v>
      </c>
    </row>
    <row r="676" spans="1:11" ht="30" customHeight="1" x14ac:dyDescent="0.25">
      <c r="A676" s="59" t="s">
        <v>750</v>
      </c>
      <c r="B676" s="48" t="s">
        <v>872</v>
      </c>
      <c r="C676" s="64" t="s">
        <v>68</v>
      </c>
      <c r="D676" s="8" t="s">
        <v>7</v>
      </c>
      <c r="E676" s="71" t="s">
        <v>3187</v>
      </c>
      <c r="F676" s="57" t="s">
        <v>825</v>
      </c>
      <c r="G676" s="49" t="s">
        <v>2</v>
      </c>
      <c r="H676" s="8"/>
      <c r="I676" s="9" t="str">
        <f>IFERROR(HYPERLINK("#Main!A"&amp;MATCH(A676,Main!A:A,0),"Open"),HYPERLINK("#Main!A1","Open"))</f>
        <v>Open</v>
      </c>
      <c r="J676" s="9" t="str">
        <f t="shared" ca="1" si="10"/>
        <v>Open</v>
      </c>
      <c r="K676" s="9"/>
    </row>
    <row r="677" spans="1:11" ht="30" customHeight="1" x14ac:dyDescent="0.25">
      <c r="A677" s="58" t="s">
        <v>750</v>
      </c>
      <c r="B677" s="42" t="s">
        <v>873</v>
      </c>
      <c r="C677" s="64" t="s">
        <v>68</v>
      </c>
      <c r="D677" s="11" t="s">
        <v>7</v>
      </c>
      <c r="E677" s="72" t="s">
        <v>3188</v>
      </c>
      <c r="F677" s="57" t="s">
        <v>825</v>
      </c>
      <c r="G677" s="49" t="s">
        <v>2</v>
      </c>
      <c r="H677" s="11"/>
      <c r="I677" t="str">
        <f>IFERROR(HYPERLINK("#Main!A"&amp;MATCH(A677,Main!A:A,0),"Open"),HYPERLINK("#Main!A1","Open"))</f>
        <v>Open</v>
      </c>
      <c r="J677" t="str">
        <f t="shared" ca="1" si="10"/>
        <v>Open</v>
      </c>
    </row>
    <row r="678" spans="1:11" ht="30" customHeight="1" x14ac:dyDescent="0.25">
      <c r="A678" s="59" t="s">
        <v>750</v>
      </c>
      <c r="B678" s="48" t="s">
        <v>884</v>
      </c>
      <c r="C678" s="64" t="s">
        <v>68</v>
      </c>
      <c r="D678" s="8" t="s">
        <v>7</v>
      </c>
      <c r="E678" s="71" t="s">
        <v>3189</v>
      </c>
      <c r="F678" s="60" t="s">
        <v>98</v>
      </c>
      <c r="G678" s="49" t="s">
        <v>2</v>
      </c>
      <c r="H678" s="8"/>
      <c r="I678" s="9" t="str">
        <f>IFERROR(HYPERLINK("#Main!A"&amp;MATCH(A678,Main!A:A,0),"Open"),HYPERLINK("#Main!A1","Open"))</f>
        <v>Open</v>
      </c>
      <c r="J678" s="9" t="str">
        <f t="shared" ca="1" si="10"/>
        <v>Open</v>
      </c>
      <c r="K678" s="9"/>
    </row>
    <row r="679" spans="1:11" ht="30" customHeight="1" x14ac:dyDescent="0.25">
      <c r="A679" s="58" t="s">
        <v>750</v>
      </c>
      <c r="B679" s="42" t="s">
        <v>874</v>
      </c>
      <c r="C679" s="64" t="s">
        <v>68</v>
      </c>
      <c r="D679" s="11" t="s">
        <v>9</v>
      </c>
      <c r="E679" s="72" t="s">
        <v>3190</v>
      </c>
      <c r="F679" s="60" t="s">
        <v>98</v>
      </c>
      <c r="G679" s="49" t="s">
        <v>2</v>
      </c>
      <c r="H679" s="11"/>
      <c r="I679" t="str">
        <f>IFERROR(HYPERLINK("#Main!A"&amp;MATCH(A679,Main!A:A,0),"Open"),HYPERLINK("#Main!A1","Open"))</f>
        <v>Open</v>
      </c>
      <c r="J679" t="str">
        <f t="shared" ca="1" si="10"/>
        <v>Open</v>
      </c>
    </row>
    <row r="680" spans="1:11" ht="30" customHeight="1" x14ac:dyDescent="0.25">
      <c r="A680" s="59" t="s">
        <v>750</v>
      </c>
      <c r="B680" s="48" t="s">
        <v>877</v>
      </c>
      <c r="C680" s="64" t="s">
        <v>68</v>
      </c>
      <c r="D680" s="8" t="s">
        <v>7</v>
      </c>
      <c r="E680" s="71" t="s">
        <v>3191</v>
      </c>
      <c r="F680" s="60" t="s">
        <v>98</v>
      </c>
      <c r="G680" s="49" t="s">
        <v>2</v>
      </c>
      <c r="H680" s="8"/>
      <c r="I680" s="9" t="str">
        <f>IFERROR(HYPERLINK("#Main!A"&amp;MATCH(A680,Main!A:A,0),"Open"),HYPERLINK("#Main!A1","Open"))</f>
        <v>Open</v>
      </c>
      <c r="J680" s="9" t="str">
        <f t="shared" ca="1" si="10"/>
        <v>Open</v>
      </c>
      <c r="K680" s="9"/>
    </row>
    <row r="681" spans="1:11" ht="30" customHeight="1" x14ac:dyDescent="0.25">
      <c r="A681" s="58" t="s">
        <v>750</v>
      </c>
      <c r="B681" s="42" t="s">
        <v>880</v>
      </c>
      <c r="C681" s="64" t="s">
        <v>68</v>
      </c>
      <c r="D681" s="11" t="s">
        <v>7</v>
      </c>
      <c r="E681" s="72" t="s">
        <v>3192</v>
      </c>
      <c r="F681" s="60" t="s">
        <v>98</v>
      </c>
      <c r="G681" s="49" t="s">
        <v>2</v>
      </c>
      <c r="H681" s="11"/>
      <c r="I681" t="str">
        <f>IFERROR(HYPERLINK("#Main!A"&amp;MATCH(A681,Main!A:A,0),"Open"),HYPERLINK("#Main!A1","Open"))</f>
        <v>Open</v>
      </c>
      <c r="J681" t="str">
        <f t="shared" ca="1" si="10"/>
        <v>Open</v>
      </c>
    </row>
    <row r="682" spans="1:11" ht="30" customHeight="1" x14ac:dyDescent="0.25">
      <c r="A682" s="59" t="s">
        <v>750</v>
      </c>
      <c r="B682" s="48" t="s">
        <v>883</v>
      </c>
      <c r="C682" s="64" t="s">
        <v>68</v>
      </c>
      <c r="D682" s="8" t="s">
        <v>7</v>
      </c>
      <c r="E682" s="71" t="s">
        <v>3193</v>
      </c>
      <c r="F682" s="60" t="s">
        <v>98</v>
      </c>
      <c r="G682" s="49" t="s">
        <v>2</v>
      </c>
      <c r="H682" s="8"/>
      <c r="I682" s="9" t="str">
        <f>IFERROR(HYPERLINK("#Main!A"&amp;MATCH(A682,Main!A:A,0),"Open"),HYPERLINK("#Main!A1","Open"))</f>
        <v>Open</v>
      </c>
      <c r="J682" s="9" t="str">
        <f t="shared" ca="1" si="10"/>
        <v>Open</v>
      </c>
      <c r="K682" s="9"/>
    </row>
    <row r="683" spans="1:11" ht="30" customHeight="1" x14ac:dyDescent="0.25">
      <c r="A683" s="58" t="s">
        <v>465</v>
      </c>
      <c r="B683" s="42" t="s">
        <v>857</v>
      </c>
      <c r="C683" s="61" t="s">
        <v>67</v>
      </c>
      <c r="D683" s="11" t="s">
        <v>7</v>
      </c>
      <c r="E683" s="72" t="s">
        <v>3194</v>
      </c>
      <c r="F683" s="60" t="s">
        <v>98</v>
      </c>
      <c r="G683" s="49" t="s">
        <v>2</v>
      </c>
      <c r="H683" s="11"/>
      <c r="I683" t="str">
        <f>IFERROR(HYPERLINK("#Main!A"&amp;MATCH(A683,Main!A:A,0),"Open"),HYPERLINK("#Main!A1","Open"))</f>
        <v>Open</v>
      </c>
      <c r="J683" t="str">
        <f t="shared" ca="1" si="10"/>
        <v>Open</v>
      </c>
    </row>
    <row r="684" spans="1:11" ht="30" customHeight="1" x14ac:dyDescent="0.25">
      <c r="A684" s="59" t="s">
        <v>465</v>
      </c>
      <c r="B684" s="48" t="s">
        <v>858</v>
      </c>
      <c r="C684" s="61" t="s">
        <v>67</v>
      </c>
      <c r="D684" s="8" t="s">
        <v>9</v>
      </c>
      <c r="E684" s="71" t="s">
        <v>3195</v>
      </c>
      <c r="F684" s="60" t="s">
        <v>98</v>
      </c>
      <c r="G684" s="49" t="s">
        <v>2</v>
      </c>
      <c r="H684" s="8"/>
      <c r="I684" s="9" t="str">
        <f>IFERROR(HYPERLINK("#Main!A"&amp;MATCH(A684,Main!A:A,0),"Open"),HYPERLINK("#Main!A1","Open"))</f>
        <v>Open</v>
      </c>
      <c r="J684" s="9" t="str">
        <f t="shared" ca="1" si="10"/>
        <v>Open</v>
      </c>
      <c r="K684" s="9"/>
    </row>
    <row r="685" spans="1:11" ht="30" customHeight="1" x14ac:dyDescent="0.25">
      <c r="A685" s="58" t="s">
        <v>465</v>
      </c>
      <c r="B685" s="42" t="s">
        <v>102</v>
      </c>
      <c r="C685" s="64" t="s">
        <v>68</v>
      </c>
      <c r="D685" s="11" t="s">
        <v>7</v>
      </c>
      <c r="E685" s="72" t="s">
        <v>3196</v>
      </c>
      <c r="F685" s="57" t="s">
        <v>825</v>
      </c>
      <c r="G685" s="49" t="s">
        <v>2</v>
      </c>
      <c r="H685" s="11"/>
      <c r="I685" t="str">
        <f>IFERROR(HYPERLINK("#Main!A"&amp;MATCH(A685,Main!A:A,0),"Open"),HYPERLINK("#Main!A1","Open"))</f>
        <v>Open</v>
      </c>
      <c r="J685" t="str">
        <f t="shared" ca="1" si="10"/>
        <v>Open</v>
      </c>
    </row>
    <row r="686" spans="1:11" ht="30" customHeight="1" x14ac:dyDescent="0.25">
      <c r="A686" s="59" t="s">
        <v>465</v>
      </c>
      <c r="B686" s="48" t="s">
        <v>872</v>
      </c>
      <c r="C686" s="64" t="s">
        <v>68</v>
      </c>
      <c r="D686" s="8" t="s">
        <v>7</v>
      </c>
      <c r="E686" s="71" t="s">
        <v>3197</v>
      </c>
      <c r="F686" s="57" t="s">
        <v>825</v>
      </c>
      <c r="G686" s="49" t="s">
        <v>2</v>
      </c>
      <c r="H686" s="8"/>
      <c r="I686" s="9" t="str">
        <f>IFERROR(HYPERLINK("#Main!A"&amp;MATCH(A686,Main!A:A,0),"Open"),HYPERLINK("#Main!A1","Open"))</f>
        <v>Open</v>
      </c>
      <c r="J686" s="9" t="str">
        <f t="shared" ca="1" si="10"/>
        <v>Open</v>
      </c>
      <c r="K686" s="9"/>
    </row>
    <row r="687" spans="1:11" ht="30" customHeight="1" x14ac:dyDescent="0.25">
      <c r="A687" s="58" t="s">
        <v>465</v>
      </c>
      <c r="B687" s="42" t="s">
        <v>873</v>
      </c>
      <c r="C687" s="64" t="s">
        <v>68</v>
      </c>
      <c r="D687" s="11" t="s">
        <v>7</v>
      </c>
      <c r="E687" s="72" t="s">
        <v>3198</v>
      </c>
      <c r="F687" s="57" t="s">
        <v>825</v>
      </c>
      <c r="G687" s="49" t="s">
        <v>2</v>
      </c>
      <c r="H687" s="11"/>
      <c r="I687" t="str">
        <f>IFERROR(HYPERLINK("#Main!A"&amp;MATCH(A687,Main!A:A,0),"Open"),HYPERLINK("#Main!A1","Open"))</f>
        <v>Open</v>
      </c>
      <c r="J687" t="str">
        <f t="shared" ca="1" si="10"/>
        <v>Open</v>
      </c>
    </row>
    <row r="688" spans="1:11" ht="30" customHeight="1" x14ac:dyDescent="0.25">
      <c r="A688" s="59" t="s">
        <v>465</v>
      </c>
      <c r="B688" s="48" t="s">
        <v>874</v>
      </c>
      <c r="C688" s="64" t="s">
        <v>68</v>
      </c>
      <c r="D688" s="8" t="s">
        <v>9</v>
      </c>
      <c r="E688" s="71" t="s">
        <v>3199</v>
      </c>
      <c r="F688" s="60" t="s">
        <v>98</v>
      </c>
      <c r="G688" s="49" t="s">
        <v>2</v>
      </c>
      <c r="H688" s="8"/>
      <c r="I688" s="9" t="str">
        <f>IFERROR(HYPERLINK("#Main!A"&amp;MATCH(A688,Main!A:A,0),"Open"),HYPERLINK("#Main!A1","Open"))</f>
        <v>Open</v>
      </c>
      <c r="J688" s="9" t="str">
        <f t="shared" ca="1" si="10"/>
        <v>Open</v>
      </c>
      <c r="K688" s="9"/>
    </row>
    <row r="689" spans="1:11" ht="30" customHeight="1" x14ac:dyDescent="0.25">
      <c r="A689" s="58" t="s">
        <v>465</v>
      </c>
      <c r="B689" s="42" t="s">
        <v>877</v>
      </c>
      <c r="C689" s="64" t="s">
        <v>68</v>
      </c>
      <c r="D689" s="11" t="s">
        <v>7</v>
      </c>
      <c r="E689" s="72" t="s">
        <v>3200</v>
      </c>
      <c r="F689" s="60" t="s">
        <v>98</v>
      </c>
      <c r="G689" s="49" t="s">
        <v>2</v>
      </c>
      <c r="H689" s="11"/>
      <c r="I689" t="str">
        <f>IFERROR(HYPERLINK("#Main!A"&amp;MATCH(A689,Main!A:A,0),"Open"),HYPERLINK("#Main!A1","Open"))</f>
        <v>Open</v>
      </c>
      <c r="J689" t="str">
        <f t="shared" ca="1" si="10"/>
        <v>Open</v>
      </c>
    </row>
    <row r="690" spans="1:11" ht="30" customHeight="1" x14ac:dyDescent="0.25">
      <c r="A690" s="59" t="s">
        <v>465</v>
      </c>
      <c r="B690" s="48" t="s">
        <v>880</v>
      </c>
      <c r="C690" s="64" t="s">
        <v>68</v>
      </c>
      <c r="D690" s="8" t="s">
        <v>7</v>
      </c>
      <c r="E690" s="71" t="s">
        <v>3201</v>
      </c>
      <c r="F690" s="60" t="s">
        <v>98</v>
      </c>
      <c r="G690" s="49" t="s">
        <v>2</v>
      </c>
      <c r="H690" s="8"/>
      <c r="I690" s="9" t="str">
        <f>IFERROR(HYPERLINK("#Main!A"&amp;MATCH(A690,Main!A:A,0),"Open"),HYPERLINK("#Main!A1","Open"))</f>
        <v>Open</v>
      </c>
      <c r="J690" s="9" t="str">
        <f t="shared" ca="1" si="10"/>
        <v>Open</v>
      </c>
      <c r="K690" s="9"/>
    </row>
    <row r="691" spans="1:11" ht="30" customHeight="1" x14ac:dyDescent="0.25">
      <c r="A691" s="58" t="s">
        <v>465</v>
      </c>
      <c r="B691" s="42" t="s">
        <v>883</v>
      </c>
      <c r="C691" s="64" t="s">
        <v>68</v>
      </c>
      <c r="D691" s="11" t="s">
        <v>7</v>
      </c>
      <c r="E691" s="72" t="s">
        <v>3202</v>
      </c>
      <c r="F691" s="60" t="s">
        <v>98</v>
      </c>
      <c r="G691" s="49" t="s">
        <v>2</v>
      </c>
      <c r="H691" s="11"/>
      <c r="I691" t="str">
        <f>IFERROR(HYPERLINK("#Main!A"&amp;MATCH(A691,Main!A:A,0),"Open"),HYPERLINK("#Main!A1","Open"))</f>
        <v>Open</v>
      </c>
      <c r="J691" t="str">
        <f t="shared" ca="1" si="10"/>
        <v>Open</v>
      </c>
    </row>
    <row r="692" spans="1:11" ht="30" customHeight="1" x14ac:dyDescent="0.25">
      <c r="A692" s="59" t="s">
        <v>457</v>
      </c>
      <c r="B692" s="48" t="s">
        <v>857</v>
      </c>
      <c r="C692" s="61" t="s">
        <v>67</v>
      </c>
      <c r="D692" s="8" t="s">
        <v>7</v>
      </c>
      <c r="E692" s="71" t="s">
        <v>3203</v>
      </c>
      <c r="F692" s="60" t="s">
        <v>98</v>
      </c>
      <c r="G692" s="49" t="s">
        <v>2</v>
      </c>
      <c r="H692" s="8"/>
      <c r="I692" s="9" t="str">
        <f>IFERROR(HYPERLINK("#Main!A"&amp;MATCH(A692,Main!A:A,0),"Open"),HYPERLINK("#Main!A1","Open"))</f>
        <v>Open</v>
      </c>
      <c r="J692" s="9" t="str">
        <f t="shared" ca="1" si="10"/>
        <v>Open</v>
      </c>
      <c r="K692" s="9"/>
    </row>
    <row r="693" spans="1:11" ht="30" customHeight="1" x14ac:dyDescent="0.25">
      <c r="A693" s="58" t="s">
        <v>457</v>
      </c>
      <c r="B693" s="42" t="s">
        <v>858</v>
      </c>
      <c r="C693" s="61" t="s">
        <v>67</v>
      </c>
      <c r="D693" s="11" t="s">
        <v>9</v>
      </c>
      <c r="E693" s="72" t="s">
        <v>3204</v>
      </c>
      <c r="F693" s="60" t="s">
        <v>98</v>
      </c>
      <c r="G693" s="49" t="s">
        <v>2</v>
      </c>
      <c r="H693" s="11"/>
      <c r="I693" t="str">
        <f>IFERROR(HYPERLINK("#Main!A"&amp;MATCH(A693,Main!A:A,0),"Open"),HYPERLINK("#Main!A1","Open"))</f>
        <v>Open</v>
      </c>
      <c r="J693" t="str">
        <f t="shared" ca="1" si="10"/>
        <v>Open</v>
      </c>
    </row>
    <row r="694" spans="1:11" ht="30" customHeight="1" x14ac:dyDescent="0.25">
      <c r="A694" s="59" t="s">
        <v>457</v>
      </c>
      <c r="B694" s="48" t="s">
        <v>102</v>
      </c>
      <c r="C694" s="64" t="s">
        <v>68</v>
      </c>
      <c r="D694" s="8" t="s">
        <v>7</v>
      </c>
      <c r="E694" s="71" t="s">
        <v>3205</v>
      </c>
      <c r="F694" s="57" t="s">
        <v>825</v>
      </c>
      <c r="G694" s="49" t="s">
        <v>2</v>
      </c>
      <c r="H694" s="8"/>
      <c r="I694" s="9" t="str">
        <f>IFERROR(HYPERLINK("#Main!A"&amp;MATCH(A694,Main!A:A,0),"Open"),HYPERLINK("#Main!A1","Open"))</f>
        <v>Open</v>
      </c>
      <c r="J694" s="9" t="str">
        <f t="shared" ca="1" si="10"/>
        <v>Open</v>
      </c>
      <c r="K694" s="9"/>
    </row>
    <row r="695" spans="1:11" ht="30" customHeight="1" x14ac:dyDescent="0.25">
      <c r="A695" s="58" t="s">
        <v>457</v>
      </c>
      <c r="B695" s="42" t="s">
        <v>872</v>
      </c>
      <c r="C695" s="64" t="s">
        <v>68</v>
      </c>
      <c r="D695" s="11" t="s">
        <v>7</v>
      </c>
      <c r="E695" s="72" t="s">
        <v>3206</v>
      </c>
      <c r="F695" s="57" t="s">
        <v>825</v>
      </c>
      <c r="G695" s="49" t="s">
        <v>2</v>
      </c>
      <c r="H695" s="11"/>
      <c r="I695" t="str">
        <f>IFERROR(HYPERLINK("#Main!A"&amp;MATCH(A695,Main!A:A,0),"Open"),HYPERLINK("#Main!A1","Open"))</f>
        <v>Open</v>
      </c>
      <c r="J695" t="str">
        <f t="shared" ca="1" si="10"/>
        <v>Open</v>
      </c>
    </row>
    <row r="696" spans="1:11" ht="30" customHeight="1" x14ac:dyDescent="0.25">
      <c r="A696" s="59" t="s">
        <v>457</v>
      </c>
      <c r="B696" s="48" t="s">
        <v>873</v>
      </c>
      <c r="C696" s="64" t="s">
        <v>68</v>
      </c>
      <c r="D696" s="8" t="s">
        <v>7</v>
      </c>
      <c r="E696" s="71" t="s">
        <v>3207</v>
      </c>
      <c r="F696" s="57" t="s">
        <v>825</v>
      </c>
      <c r="G696" s="49" t="s">
        <v>2</v>
      </c>
      <c r="H696" s="8"/>
      <c r="I696" s="9" t="str">
        <f>IFERROR(HYPERLINK("#Main!A"&amp;MATCH(A696,Main!A:A,0),"Open"),HYPERLINK("#Main!A1","Open"))</f>
        <v>Open</v>
      </c>
      <c r="J696" s="9" t="str">
        <f t="shared" ca="1" si="10"/>
        <v>Open</v>
      </c>
      <c r="K696" s="9"/>
    </row>
    <row r="697" spans="1:11" ht="30" customHeight="1" x14ac:dyDescent="0.25">
      <c r="A697" s="58" t="s">
        <v>457</v>
      </c>
      <c r="B697" s="42" t="s">
        <v>884</v>
      </c>
      <c r="C697" s="64" t="s">
        <v>68</v>
      </c>
      <c r="D697" s="11" t="s">
        <v>7</v>
      </c>
      <c r="E697" s="72" t="s">
        <v>3208</v>
      </c>
      <c r="F697" s="60" t="s">
        <v>98</v>
      </c>
      <c r="G697" s="49" t="s">
        <v>2</v>
      </c>
      <c r="H697" s="11"/>
      <c r="I697" t="str">
        <f>IFERROR(HYPERLINK("#Main!A"&amp;MATCH(A697,Main!A:A,0),"Open"),HYPERLINK("#Main!A1","Open"))</f>
        <v>Open</v>
      </c>
      <c r="J697" t="str">
        <f t="shared" ca="1" si="10"/>
        <v>Open</v>
      </c>
    </row>
    <row r="698" spans="1:11" ht="30" customHeight="1" x14ac:dyDescent="0.25">
      <c r="A698" s="59" t="s">
        <v>457</v>
      </c>
      <c r="B698" s="48" t="s">
        <v>874</v>
      </c>
      <c r="C698" s="64" t="s">
        <v>68</v>
      </c>
      <c r="D698" s="8" t="s">
        <v>9</v>
      </c>
      <c r="E698" s="71" t="s">
        <v>3209</v>
      </c>
      <c r="F698" s="60" t="s">
        <v>98</v>
      </c>
      <c r="G698" s="49" t="s">
        <v>2</v>
      </c>
      <c r="H698" s="8"/>
      <c r="I698" s="9" t="str">
        <f>IFERROR(HYPERLINK("#Main!A"&amp;MATCH(A698,Main!A:A,0),"Open"),HYPERLINK("#Main!A1","Open"))</f>
        <v>Open</v>
      </c>
      <c r="J698" s="9" t="str">
        <f t="shared" ca="1" si="10"/>
        <v>Open</v>
      </c>
      <c r="K698" s="9"/>
    </row>
    <row r="699" spans="1:11" ht="30" customHeight="1" x14ac:dyDescent="0.25">
      <c r="A699" s="58" t="s">
        <v>457</v>
      </c>
      <c r="B699" s="42" t="s">
        <v>877</v>
      </c>
      <c r="C699" s="64" t="s">
        <v>68</v>
      </c>
      <c r="D699" s="11" t="s">
        <v>7</v>
      </c>
      <c r="E699" s="72" t="s">
        <v>3210</v>
      </c>
      <c r="F699" s="60" t="s">
        <v>98</v>
      </c>
      <c r="G699" s="49" t="s">
        <v>2</v>
      </c>
      <c r="H699" s="11"/>
      <c r="I699" t="str">
        <f>IFERROR(HYPERLINK("#Main!A"&amp;MATCH(A699,Main!A:A,0),"Open"),HYPERLINK("#Main!A1","Open"))</f>
        <v>Open</v>
      </c>
      <c r="J699" t="str">
        <f t="shared" ca="1" si="10"/>
        <v>Open</v>
      </c>
    </row>
    <row r="700" spans="1:11" ht="30" customHeight="1" x14ac:dyDescent="0.25">
      <c r="A700" s="59" t="s">
        <v>457</v>
      </c>
      <c r="B700" s="48" t="s">
        <v>880</v>
      </c>
      <c r="C700" s="64" t="s">
        <v>68</v>
      </c>
      <c r="D700" s="8" t="s">
        <v>7</v>
      </c>
      <c r="E700" s="71" t="s">
        <v>3211</v>
      </c>
      <c r="F700" s="60" t="s">
        <v>98</v>
      </c>
      <c r="G700" s="49" t="s">
        <v>2</v>
      </c>
      <c r="H700" s="8"/>
      <c r="I700" s="9" t="str">
        <f>IFERROR(HYPERLINK("#Main!A"&amp;MATCH(A700,Main!A:A,0),"Open"),HYPERLINK("#Main!A1","Open"))</f>
        <v>Open</v>
      </c>
      <c r="J700" s="9" t="str">
        <f t="shared" ca="1" si="10"/>
        <v>Open</v>
      </c>
      <c r="K700" s="9"/>
    </row>
    <row r="701" spans="1:11" ht="30" customHeight="1" x14ac:dyDescent="0.25">
      <c r="A701" s="58" t="s">
        <v>457</v>
      </c>
      <c r="B701" s="42" t="s">
        <v>883</v>
      </c>
      <c r="C701" s="64" t="s">
        <v>68</v>
      </c>
      <c r="D701" s="11" t="s">
        <v>7</v>
      </c>
      <c r="E701" s="72" t="s">
        <v>3212</v>
      </c>
      <c r="F701" s="60" t="s">
        <v>98</v>
      </c>
      <c r="G701" s="49" t="s">
        <v>2</v>
      </c>
      <c r="H701" s="11"/>
      <c r="I701" t="str">
        <f>IFERROR(HYPERLINK("#Main!A"&amp;MATCH(A701,Main!A:A,0),"Open"),HYPERLINK("#Main!A1","Open"))</f>
        <v>Open</v>
      </c>
      <c r="J701" t="str">
        <f t="shared" ca="1" si="10"/>
        <v>Open</v>
      </c>
    </row>
    <row r="702" spans="1:11" ht="30" customHeight="1" x14ac:dyDescent="0.25">
      <c r="A702" s="59" t="s">
        <v>449</v>
      </c>
      <c r="B702" s="48" t="s">
        <v>857</v>
      </c>
      <c r="C702" s="61" t="s">
        <v>67</v>
      </c>
      <c r="D702" s="8" t="s">
        <v>7</v>
      </c>
      <c r="E702" s="71" t="s">
        <v>3213</v>
      </c>
      <c r="F702" s="60" t="s">
        <v>98</v>
      </c>
      <c r="G702" s="49" t="s">
        <v>2</v>
      </c>
      <c r="H702" s="8"/>
      <c r="I702" s="9" t="str">
        <f>IFERROR(HYPERLINK("#Main!A"&amp;MATCH(A702,Main!A:A,0),"Open"),HYPERLINK("#Main!A1","Open"))</f>
        <v>Open</v>
      </c>
      <c r="J702" s="9" t="str">
        <f t="shared" ca="1" si="10"/>
        <v>Open</v>
      </c>
      <c r="K702" s="9"/>
    </row>
    <row r="703" spans="1:11" ht="30" customHeight="1" x14ac:dyDescent="0.25">
      <c r="A703" s="58" t="s">
        <v>449</v>
      </c>
      <c r="B703" s="42" t="s">
        <v>858</v>
      </c>
      <c r="C703" s="61" t="s">
        <v>67</v>
      </c>
      <c r="D703" s="11" t="s">
        <v>9</v>
      </c>
      <c r="E703" s="72" t="s">
        <v>3214</v>
      </c>
      <c r="F703" s="60" t="s">
        <v>98</v>
      </c>
      <c r="G703" s="49" t="s">
        <v>2</v>
      </c>
      <c r="H703" s="11"/>
      <c r="I703" t="str">
        <f>IFERROR(HYPERLINK("#Main!A"&amp;MATCH(A703,Main!A:A,0),"Open"),HYPERLINK("#Main!A1","Open"))</f>
        <v>Open</v>
      </c>
      <c r="J703" t="str">
        <f t="shared" ca="1" si="10"/>
        <v>Open</v>
      </c>
    </row>
    <row r="704" spans="1:11" ht="30" customHeight="1" x14ac:dyDescent="0.25">
      <c r="A704" s="59" t="s">
        <v>449</v>
      </c>
      <c r="B704" s="48" t="s">
        <v>102</v>
      </c>
      <c r="C704" s="64" t="s">
        <v>68</v>
      </c>
      <c r="D704" s="8" t="s">
        <v>7</v>
      </c>
      <c r="E704" s="71" t="s">
        <v>3215</v>
      </c>
      <c r="F704" s="57" t="s">
        <v>825</v>
      </c>
      <c r="G704" s="49" t="s">
        <v>2</v>
      </c>
      <c r="H704" s="8"/>
      <c r="I704" s="9" t="str">
        <f>IFERROR(HYPERLINK("#Main!A"&amp;MATCH(A704,Main!A:A,0),"Open"),HYPERLINK("#Main!A1","Open"))</f>
        <v>Open</v>
      </c>
      <c r="J704" s="9" t="str">
        <f t="shared" ca="1" si="10"/>
        <v>Open</v>
      </c>
      <c r="K704" s="9"/>
    </row>
    <row r="705" spans="1:11" ht="30" customHeight="1" x14ac:dyDescent="0.25">
      <c r="A705" s="58" t="s">
        <v>449</v>
      </c>
      <c r="B705" s="42" t="s">
        <v>872</v>
      </c>
      <c r="C705" s="64" t="s">
        <v>68</v>
      </c>
      <c r="D705" s="11" t="s">
        <v>7</v>
      </c>
      <c r="E705" s="72" t="s">
        <v>3216</v>
      </c>
      <c r="F705" s="57" t="s">
        <v>825</v>
      </c>
      <c r="G705" s="49" t="s">
        <v>2</v>
      </c>
      <c r="H705" s="11"/>
      <c r="I705" t="str">
        <f>IFERROR(HYPERLINK("#Main!A"&amp;MATCH(A705,Main!A:A,0),"Open"),HYPERLINK("#Main!A1","Open"))</f>
        <v>Open</v>
      </c>
      <c r="J705" t="str">
        <f t="shared" ca="1" si="10"/>
        <v>Open</v>
      </c>
    </row>
    <row r="706" spans="1:11" ht="30" customHeight="1" x14ac:dyDescent="0.25">
      <c r="A706" s="59" t="s">
        <v>449</v>
      </c>
      <c r="B706" s="48" t="s">
        <v>873</v>
      </c>
      <c r="C706" s="64" t="s">
        <v>68</v>
      </c>
      <c r="D706" s="8" t="s">
        <v>7</v>
      </c>
      <c r="E706" s="71" t="s">
        <v>3217</v>
      </c>
      <c r="F706" s="57" t="s">
        <v>825</v>
      </c>
      <c r="G706" s="49" t="s">
        <v>2</v>
      </c>
      <c r="H706" s="8"/>
      <c r="I706" s="9" t="str">
        <f>IFERROR(HYPERLINK("#Main!A"&amp;MATCH(A706,Main!A:A,0),"Open"),HYPERLINK("#Main!A1","Open"))</f>
        <v>Open</v>
      </c>
      <c r="J706" s="9" t="str">
        <f t="shared" ref="J706:J769" ca="1" si="11">IFERROR(HYPERLINK("#"&amp;D706&amp;"!A"&amp;MATCH(A706,INDIRECT("'"&amp;D706&amp;"'!A:A"),0),"Open"),HYPERLINK("#"&amp;D706&amp;"!A1","Open"))</f>
        <v>Open</v>
      </c>
      <c r="K706" s="9"/>
    </row>
    <row r="707" spans="1:11" ht="30" customHeight="1" x14ac:dyDescent="0.25">
      <c r="A707" s="58" t="s">
        <v>449</v>
      </c>
      <c r="B707" s="42" t="s">
        <v>884</v>
      </c>
      <c r="C707" s="64" t="s">
        <v>68</v>
      </c>
      <c r="D707" s="11" t="s">
        <v>7</v>
      </c>
      <c r="E707" s="72" t="s">
        <v>3218</v>
      </c>
      <c r="F707" s="60" t="s">
        <v>98</v>
      </c>
      <c r="G707" s="49" t="s">
        <v>2</v>
      </c>
      <c r="H707" s="11"/>
      <c r="I707" t="str">
        <f>IFERROR(HYPERLINK("#Main!A"&amp;MATCH(A707,Main!A:A,0),"Open"),HYPERLINK("#Main!A1","Open"))</f>
        <v>Open</v>
      </c>
      <c r="J707" t="str">
        <f t="shared" ca="1" si="11"/>
        <v>Open</v>
      </c>
    </row>
    <row r="708" spans="1:11" ht="30" customHeight="1" x14ac:dyDescent="0.25">
      <c r="A708" s="59" t="s">
        <v>449</v>
      </c>
      <c r="B708" s="48" t="s">
        <v>874</v>
      </c>
      <c r="C708" s="64" t="s">
        <v>68</v>
      </c>
      <c r="D708" s="8" t="s">
        <v>9</v>
      </c>
      <c r="E708" s="71" t="s">
        <v>3219</v>
      </c>
      <c r="F708" s="60" t="s">
        <v>98</v>
      </c>
      <c r="G708" s="49" t="s">
        <v>2</v>
      </c>
      <c r="H708" s="8"/>
      <c r="I708" s="9" t="str">
        <f>IFERROR(HYPERLINK("#Main!A"&amp;MATCH(A708,Main!A:A,0),"Open"),HYPERLINK("#Main!A1","Open"))</f>
        <v>Open</v>
      </c>
      <c r="J708" s="9" t="str">
        <f t="shared" ca="1" si="11"/>
        <v>Open</v>
      </c>
      <c r="K708" s="9"/>
    </row>
    <row r="709" spans="1:11" ht="30" customHeight="1" x14ac:dyDescent="0.25">
      <c r="A709" s="58" t="s">
        <v>449</v>
      </c>
      <c r="B709" s="42" t="s">
        <v>877</v>
      </c>
      <c r="C709" s="64" t="s">
        <v>68</v>
      </c>
      <c r="D709" s="11" t="s">
        <v>7</v>
      </c>
      <c r="E709" s="72" t="s">
        <v>3220</v>
      </c>
      <c r="F709" s="60" t="s">
        <v>98</v>
      </c>
      <c r="G709" s="49" t="s">
        <v>2</v>
      </c>
      <c r="H709" s="11"/>
      <c r="I709" t="str">
        <f>IFERROR(HYPERLINK("#Main!A"&amp;MATCH(A709,Main!A:A,0),"Open"),HYPERLINK("#Main!A1","Open"))</f>
        <v>Open</v>
      </c>
      <c r="J709" t="str">
        <f t="shared" ca="1" si="11"/>
        <v>Open</v>
      </c>
    </row>
    <row r="710" spans="1:11" ht="30" customHeight="1" x14ac:dyDescent="0.25">
      <c r="A710" s="59" t="s">
        <v>449</v>
      </c>
      <c r="B710" s="48" t="s">
        <v>880</v>
      </c>
      <c r="C710" s="64" t="s">
        <v>68</v>
      </c>
      <c r="D710" s="8" t="s">
        <v>7</v>
      </c>
      <c r="E710" s="71" t="s">
        <v>3221</v>
      </c>
      <c r="F710" s="60" t="s">
        <v>98</v>
      </c>
      <c r="G710" s="49" t="s">
        <v>2</v>
      </c>
      <c r="H710" s="8"/>
      <c r="I710" s="9" t="str">
        <f>IFERROR(HYPERLINK("#Main!A"&amp;MATCH(A710,Main!A:A,0),"Open"),HYPERLINK("#Main!A1","Open"))</f>
        <v>Open</v>
      </c>
      <c r="J710" s="9" t="str">
        <f t="shared" ca="1" si="11"/>
        <v>Open</v>
      </c>
      <c r="K710" s="9"/>
    </row>
    <row r="711" spans="1:11" ht="30" customHeight="1" x14ac:dyDescent="0.25">
      <c r="A711" s="58" t="s">
        <v>449</v>
      </c>
      <c r="B711" s="42" t="s">
        <v>883</v>
      </c>
      <c r="C711" s="64" t="s">
        <v>68</v>
      </c>
      <c r="D711" s="11" t="s">
        <v>7</v>
      </c>
      <c r="E711" s="72" t="s">
        <v>3222</v>
      </c>
      <c r="F711" s="60" t="s">
        <v>98</v>
      </c>
      <c r="G711" s="49" t="s">
        <v>2</v>
      </c>
      <c r="H711" s="11"/>
      <c r="I711" t="str">
        <f>IFERROR(HYPERLINK("#Main!A"&amp;MATCH(A711,Main!A:A,0),"Open"),HYPERLINK("#Main!A1","Open"))</f>
        <v>Open</v>
      </c>
      <c r="J711" t="str">
        <f t="shared" ca="1" si="11"/>
        <v>Open</v>
      </c>
    </row>
    <row r="712" spans="1:11" ht="30" customHeight="1" x14ac:dyDescent="0.25">
      <c r="A712" s="59" t="s">
        <v>444</v>
      </c>
      <c r="B712" s="48" t="s">
        <v>853</v>
      </c>
      <c r="C712" s="61" t="s">
        <v>67</v>
      </c>
      <c r="D712" s="8" t="s">
        <v>7</v>
      </c>
      <c r="E712" s="71" t="s">
        <v>3223</v>
      </c>
      <c r="F712" s="60" t="s">
        <v>98</v>
      </c>
      <c r="G712" s="49" t="s">
        <v>2</v>
      </c>
      <c r="H712" s="8"/>
      <c r="I712" s="9" t="str">
        <f>IFERROR(HYPERLINK("#Main!A"&amp;MATCH(A712,Main!A:A,0),"Open"),HYPERLINK("#Main!A1","Open"))</f>
        <v>Open</v>
      </c>
      <c r="J712" s="9" t="str">
        <f t="shared" ca="1" si="11"/>
        <v>Open</v>
      </c>
      <c r="K712" s="9"/>
    </row>
    <row r="713" spans="1:11" ht="30" customHeight="1" x14ac:dyDescent="0.25">
      <c r="A713" s="58" t="s">
        <v>444</v>
      </c>
      <c r="B713" s="42" t="s">
        <v>857</v>
      </c>
      <c r="C713" s="61" t="s">
        <v>67</v>
      </c>
      <c r="D713" s="11" t="s">
        <v>7</v>
      </c>
      <c r="E713" s="72" t="s">
        <v>3224</v>
      </c>
      <c r="F713" s="60" t="s">
        <v>98</v>
      </c>
      <c r="G713" s="49" t="s">
        <v>2</v>
      </c>
      <c r="H713" s="11"/>
      <c r="I713" t="str">
        <f>IFERROR(HYPERLINK("#Main!A"&amp;MATCH(A713,Main!A:A,0),"Open"),HYPERLINK("#Main!A1","Open"))</f>
        <v>Open</v>
      </c>
      <c r="J713" t="str">
        <f t="shared" ca="1" si="11"/>
        <v>Open</v>
      </c>
    </row>
    <row r="714" spans="1:11" ht="30" customHeight="1" x14ac:dyDescent="0.25">
      <c r="A714" s="59" t="s">
        <v>444</v>
      </c>
      <c r="B714" s="48" t="s">
        <v>858</v>
      </c>
      <c r="C714" s="61" t="s">
        <v>67</v>
      </c>
      <c r="D714" s="8" t="s">
        <v>9</v>
      </c>
      <c r="E714" s="71" t="s">
        <v>3225</v>
      </c>
      <c r="F714" s="60" t="s">
        <v>98</v>
      </c>
      <c r="G714" s="49" t="s">
        <v>2</v>
      </c>
      <c r="H714" s="8"/>
      <c r="I714" s="9" t="str">
        <f>IFERROR(HYPERLINK("#Main!A"&amp;MATCH(A714,Main!A:A,0),"Open"),HYPERLINK("#Main!A1","Open"))</f>
        <v>Open</v>
      </c>
      <c r="J714" s="9" t="str">
        <f t="shared" ca="1" si="11"/>
        <v>Open</v>
      </c>
      <c r="K714" s="9"/>
    </row>
    <row r="715" spans="1:11" ht="30" customHeight="1" x14ac:dyDescent="0.25">
      <c r="A715" s="58" t="s">
        <v>444</v>
      </c>
      <c r="B715" s="42" t="s">
        <v>102</v>
      </c>
      <c r="C715" s="64" t="s">
        <v>68</v>
      </c>
      <c r="D715" s="11" t="s">
        <v>7</v>
      </c>
      <c r="E715" s="72" t="s">
        <v>3226</v>
      </c>
      <c r="F715" s="57" t="s">
        <v>825</v>
      </c>
      <c r="G715" s="49" t="s">
        <v>2</v>
      </c>
      <c r="H715" s="11"/>
      <c r="I715" t="str">
        <f>IFERROR(HYPERLINK("#Main!A"&amp;MATCH(A715,Main!A:A,0),"Open"),HYPERLINK("#Main!A1","Open"))</f>
        <v>Open</v>
      </c>
      <c r="J715" t="str">
        <f t="shared" ca="1" si="11"/>
        <v>Open</v>
      </c>
    </row>
    <row r="716" spans="1:11" ht="30" customHeight="1" x14ac:dyDescent="0.25">
      <c r="A716" s="59" t="s">
        <v>444</v>
      </c>
      <c r="B716" s="48" t="s">
        <v>872</v>
      </c>
      <c r="C716" s="64" t="s">
        <v>68</v>
      </c>
      <c r="D716" s="8" t="s">
        <v>7</v>
      </c>
      <c r="E716" s="71" t="s">
        <v>3227</v>
      </c>
      <c r="F716" s="57" t="s">
        <v>825</v>
      </c>
      <c r="G716" s="49" t="s">
        <v>2</v>
      </c>
      <c r="H716" s="8"/>
      <c r="I716" s="9" t="str">
        <f>IFERROR(HYPERLINK("#Main!A"&amp;MATCH(A716,Main!A:A,0),"Open"),HYPERLINK("#Main!A1","Open"))</f>
        <v>Open</v>
      </c>
      <c r="J716" s="9" t="str">
        <f t="shared" ca="1" si="11"/>
        <v>Open</v>
      </c>
      <c r="K716" s="9"/>
    </row>
    <row r="717" spans="1:11" ht="30" customHeight="1" x14ac:dyDescent="0.25">
      <c r="A717" s="58" t="s">
        <v>444</v>
      </c>
      <c r="B717" s="42" t="s">
        <v>873</v>
      </c>
      <c r="C717" s="64" t="s">
        <v>68</v>
      </c>
      <c r="D717" s="11" t="s">
        <v>7</v>
      </c>
      <c r="E717" s="72" t="s">
        <v>3228</v>
      </c>
      <c r="F717" s="57" t="s">
        <v>825</v>
      </c>
      <c r="G717" s="49" t="s">
        <v>2</v>
      </c>
      <c r="H717" s="11"/>
      <c r="I717" t="str">
        <f>IFERROR(HYPERLINK("#Main!A"&amp;MATCH(A717,Main!A:A,0),"Open"),HYPERLINK("#Main!A1","Open"))</f>
        <v>Open</v>
      </c>
      <c r="J717" t="str">
        <f t="shared" ca="1" si="11"/>
        <v>Open</v>
      </c>
    </row>
    <row r="718" spans="1:11" ht="30" customHeight="1" x14ac:dyDescent="0.25">
      <c r="A718" s="59" t="s">
        <v>444</v>
      </c>
      <c r="B718" s="48" t="s">
        <v>884</v>
      </c>
      <c r="C718" s="64" t="s">
        <v>68</v>
      </c>
      <c r="D718" s="8" t="s">
        <v>7</v>
      </c>
      <c r="E718" s="71" t="s">
        <v>3229</v>
      </c>
      <c r="F718" s="60" t="s">
        <v>98</v>
      </c>
      <c r="G718" s="49" t="s">
        <v>2</v>
      </c>
      <c r="H718" s="8"/>
      <c r="I718" s="9" t="str">
        <f>IFERROR(HYPERLINK("#Main!A"&amp;MATCH(A718,Main!A:A,0),"Open"),HYPERLINK("#Main!A1","Open"))</f>
        <v>Open</v>
      </c>
      <c r="J718" s="9" t="str">
        <f t="shared" ca="1" si="11"/>
        <v>Open</v>
      </c>
      <c r="K718" s="9"/>
    </row>
    <row r="719" spans="1:11" ht="30" customHeight="1" x14ac:dyDescent="0.25">
      <c r="A719" s="58" t="s">
        <v>444</v>
      </c>
      <c r="B719" s="42" t="s">
        <v>874</v>
      </c>
      <c r="C719" s="64" t="s">
        <v>68</v>
      </c>
      <c r="D719" s="11" t="s">
        <v>9</v>
      </c>
      <c r="E719" s="72" t="s">
        <v>3230</v>
      </c>
      <c r="F719" s="60" t="s">
        <v>98</v>
      </c>
      <c r="G719" s="49" t="s">
        <v>2</v>
      </c>
      <c r="H719" s="11"/>
      <c r="I719" t="str">
        <f>IFERROR(HYPERLINK("#Main!A"&amp;MATCH(A719,Main!A:A,0),"Open"),HYPERLINK("#Main!A1","Open"))</f>
        <v>Open</v>
      </c>
      <c r="J719" t="str">
        <f t="shared" ca="1" si="11"/>
        <v>Open</v>
      </c>
    </row>
    <row r="720" spans="1:11" ht="30" customHeight="1" x14ac:dyDescent="0.25">
      <c r="A720" s="59" t="s">
        <v>444</v>
      </c>
      <c r="B720" s="48" t="s">
        <v>877</v>
      </c>
      <c r="C720" s="64" t="s">
        <v>68</v>
      </c>
      <c r="D720" s="8" t="s">
        <v>7</v>
      </c>
      <c r="E720" s="71" t="s">
        <v>3231</v>
      </c>
      <c r="F720" s="60" t="s">
        <v>98</v>
      </c>
      <c r="G720" s="49" t="s">
        <v>2</v>
      </c>
      <c r="H720" s="8"/>
      <c r="I720" s="9" t="str">
        <f>IFERROR(HYPERLINK("#Main!A"&amp;MATCH(A720,Main!A:A,0),"Open"),HYPERLINK("#Main!A1","Open"))</f>
        <v>Open</v>
      </c>
      <c r="J720" s="9" t="str">
        <f t="shared" ca="1" si="11"/>
        <v>Open</v>
      </c>
      <c r="K720" s="9"/>
    </row>
    <row r="721" spans="1:11" ht="30" customHeight="1" x14ac:dyDescent="0.25">
      <c r="A721" s="58" t="s">
        <v>444</v>
      </c>
      <c r="B721" s="42" t="s">
        <v>880</v>
      </c>
      <c r="C721" s="64" t="s">
        <v>68</v>
      </c>
      <c r="D721" s="11" t="s">
        <v>7</v>
      </c>
      <c r="E721" s="72" t="s">
        <v>3232</v>
      </c>
      <c r="F721" s="60" t="s">
        <v>98</v>
      </c>
      <c r="G721" s="49" t="s">
        <v>2</v>
      </c>
      <c r="H721" s="11"/>
      <c r="I721" t="str">
        <f>IFERROR(HYPERLINK("#Main!A"&amp;MATCH(A721,Main!A:A,0),"Open"),HYPERLINK("#Main!A1","Open"))</f>
        <v>Open</v>
      </c>
      <c r="J721" t="str">
        <f t="shared" ca="1" si="11"/>
        <v>Open</v>
      </c>
    </row>
    <row r="722" spans="1:11" ht="30" customHeight="1" x14ac:dyDescent="0.25">
      <c r="A722" s="59" t="s">
        <v>444</v>
      </c>
      <c r="B722" s="48" t="s">
        <v>883</v>
      </c>
      <c r="C722" s="64" t="s">
        <v>68</v>
      </c>
      <c r="D722" s="8" t="s">
        <v>7</v>
      </c>
      <c r="E722" s="71" t="s">
        <v>3233</v>
      </c>
      <c r="F722" s="60" t="s">
        <v>98</v>
      </c>
      <c r="G722" s="49" t="s">
        <v>2</v>
      </c>
      <c r="H722" s="8"/>
      <c r="I722" s="9" t="str">
        <f>IFERROR(HYPERLINK("#Main!A"&amp;MATCH(A722,Main!A:A,0),"Open"),HYPERLINK("#Main!A1","Open"))</f>
        <v>Open</v>
      </c>
      <c r="J722" s="9" t="str">
        <f t="shared" ca="1" si="11"/>
        <v>Open</v>
      </c>
      <c r="K722" s="9"/>
    </row>
    <row r="723" spans="1:11" ht="30" customHeight="1" x14ac:dyDescent="0.25">
      <c r="A723" s="58" t="s">
        <v>330</v>
      </c>
      <c r="B723" s="42" t="s">
        <v>857</v>
      </c>
      <c r="C723" s="61" t="s">
        <v>67</v>
      </c>
      <c r="D723" s="11" t="s">
        <v>7</v>
      </c>
      <c r="E723" s="72" t="s">
        <v>3234</v>
      </c>
      <c r="F723" s="60" t="s">
        <v>98</v>
      </c>
      <c r="G723" s="49" t="s">
        <v>2</v>
      </c>
      <c r="H723" s="11"/>
      <c r="I723" t="str">
        <f>IFERROR(HYPERLINK("#Main!A"&amp;MATCH(A723,Main!A:A,0),"Open"),HYPERLINK("#Main!A1","Open"))</f>
        <v>Open</v>
      </c>
      <c r="J723" t="str">
        <f t="shared" ca="1" si="11"/>
        <v>Open</v>
      </c>
    </row>
    <row r="724" spans="1:11" ht="30" customHeight="1" x14ac:dyDescent="0.25">
      <c r="A724" s="59" t="s">
        <v>330</v>
      </c>
      <c r="B724" s="48" t="s">
        <v>858</v>
      </c>
      <c r="C724" s="61" t="s">
        <v>67</v>
      </c>
      <c r="D724" s="8" t="s">
        <v>9</v>
      </c>
      <c r="E724" s="71" t="s">
        <v>3235</v>
      </c>
      <c r="F724" s="60" t="s">
        <v>98</v>
      </c>
      <c r="G724" s="49" t="s">
        <v>2</v>
      </c>
      <c r="H724" s="8"/>
      <c r="I724" s="9" t="str">
        <f>IFERROR(HYPERLINK("#Main!A"&amp;MATCH(A724,Main!A:A,0),"Open"),HYPERLINK("#Main!A1","Open"))</f>
        <v>Open</v>
      </c>
      <c r="J724" s="9" t="str">
        <f t="shared" ca="1" si="11"/>
        <v>Open</v>
      </c>
      <c r="K724" s="9"/>
    </row>
    <row r="725" spans="1:11" ht="30" customHeight="1" x14ac:dyDescent="0.25">
      <c r="A725" s="58" t="s">
        <v>330</v>
      </c>
      <c r="B725" s="42" t="s">
        <v>102</v>
      </c>
      <c r="C725" s="64" t="s">
        <v>68</v>
      </c>
      <c r="D725" s="11" t="s">
        <v>7</v>
      </c>
      <c r="E725" s="72" t="s">
        <v>3236</v>
      </c>
      <c r="F725" s="57" t="s">
        <v>825</v>
      </c>
      <c r="G725" s="49" t="s">
        <v>2</v>
      </c>
      <c r="H725" s="11"/>
      <c r="I725" t="str">
        <f>IFERROR(HYPERLINK("#Main!A"&amp;MATCH(A725,Main!A:A,0),"Open"),HYPERLINK("#Main!A1","Open"))</f>
        <v>Open</v>
      </c>
      <c r="J725" t="str">
        <f t="shared" ca="1" si="11"/>
        <v>Open</v>
      </c>
    </row>
    <row r="726" spans="1:11" ht="30" customHeight="1" x14ac:dyDescent="0.25">
      <c r="A726" s="59" t="s">
        <v>330</v>
      </c>
      <c r="B726" s="48" t="s">
        <v>872</v>
      </c>
      <c r="C726" s="64" t="s">
        <v>68</v>
      </c>
      <c r="D726" s="8" t="s">
        <v>7</v>
      </c>
      <c r="E726" s="71" t="s">
        <v>3237</v>
      </c>
      <c r="F726" s="57" t="s">
        <v>825</v>
      </c>
      <c r="G726" s="49" t="s">
        <v>2</v>
      </c>
      <c r="H726" s="8"/>
      <c r="I726" s="9" t="str">
        <f>IFERROR(HYPERLINK("#Main!A"&amp;MATCH(A726,Main!A:A,0),"Open"),HYPERLINK("#Main!A1","Open"))</f>
        <v>Open</v>
      </c>
      <c r="J726" s="9" t="str">
        <f t="shared" ca="1" si="11"/>
        <v>Open</v>
      </c>
      <c r="K726" s="9"/>
    </row>
    <row r="727" spans="1:11" ht="30" customHeight="1" x14ac:dyDescent="0.25">
      <c r="A727" s="58" t="s">
        <v>330</v>
      </c>
      <c r="B727" s="42" t="s">
        <v>873</v>
      </c>
      <c r="C727" s="64" t="s">
        <v>68</v>
      </c>
      <c r="D727" s="11" t="s">
        <v>7</v>
      </c>
      <c r="E727" s="72" t="s">
        <v>3238</v>
      </c>
      <c r="F727" s="57" t="s">
        <v>825</v>
      </c>
      <c r="G727" s="49" t="s">
        <v>2</v>
      </c>
      <c r="H727" s="11"/>
      <c r="I727" t="str">
        <f>IFERROR(HYPERLINK("#Main!A"&amp;MATCH(A727,Main!A:A,0),"Open"),HYPERLINK("#Main!A1","Open"))</f>
        <v>Open</v>
      </c>
      <c r="J727" t="str">
        <f t="shared" ca="1" si="11"/>
        <v>Open</v>
      </c>
    </row>
    <row r="728" spans="1:11" ht="30" customHeight="1" x14ac:dyDescent="0.25">
      <c r="A728" s="59" t="s">
        <v>330</v>
      </c>
      <c r="B728" s="48" t="s">
        <v>874</v>
      </c>
      <c r="C728" s="64" t="s">
        <v>68</v>
      </c>
      <c r="D728" s="8" t="s">
        <v>9</v>
      </c>
      <c r="E728" s="71" t="s">
        <v>3239</v>
      </c>
      <c r="F728" s="60" t="s">
        <v>98</v>
      </c>
      <c r="G728" s="49" t="s">
        <v>2</v>
      </c>
      <c r="H728" s="8"/>
      <c r="I728" s="9" t="str">
        <f>IFERROR(HYPERLINK("#Main!A"&amp;MATCH(A728,Main!A:A,0),"Open"),HYPERLINK("#Main!A1","Open"))</f>
        <v>Open</v>
      </c>
      <c r="J728" s="9" t="str">
        <f t="shared" ca="1" si="11"/>
        <v>Open</v>
      </c>
      <c r="K728" s="9"/>
    </row>
    <row r="729" spans="1:11" ht="30" customHeight="1" x14ac:dyDescent="0.25">
      <c r="A729" s="58" t="s">
        <v>330</v>
      </c>
      <c r="B729" s="42" t="s">
        <v>877</v>
      </c>
      <c r="C729" s="64" t="s">
        <v>68</v>
      </c>
      <c r="D729" s="11" t="s">
        <v>7</v>
      </c>
      <c r="E729" s="72" t="s">
        <v>3240</v>
      </c>
      <c r="F729" s="60" t="s">
        <v>98</v>
      </c>
      <c r="G729" s="49" t="s">
        <v>2</v>
      </c>
      <c r="H729" s="11"/>
      <c r="I729" t="str">
        <f>IFERROR(HYPERLINK("#Main!A"&amp;MATCH(A729,Main!A:A,0),"Open"),HYPERLINK("#Main!A1","Open"))</f>
        <v>Open</v>
      </c>
      <c r="J729" t="str">
        <f t="shared" ca="1" si="11"/>
        <v>Open</v>
      </c>
    </row>
    <row r="730" spans="1:11" ht="30" customHeight="1" x14ac:dyDescent="0.25">
      <c r="A730" s="59" t="s">
        <v>330</v>
      </c>
      <c r="B730" s="48" t="s">
        <v>880</v>
      </c>
      <c r="C730" s="64" t="s">
        <v>68</v>
      </c>
      <c r="D730" s="8" t="s">
        <v>7</v>
      </c>
      <c r="E730" s="71" t="s">
        <v>3241</v>
      </c>
      <c r="F730" s="60" t="s">
        <v>98</v>
      </c>
      <c r="G730" s="49" t="s">
        <v>2</v>
      </c>
      <c r="H730" s="8"/>
      <c r="I730" s="9" t="str">
        <f>IFERROR(HYPERLINK("#Main!A"&amp;MATCH(A730,Main!A:A,0),"Open"),HYPERLINK("#Main!A1","Open"))</f>
        <v>Open</v>
      </c>
      <c r="J730" s="9" t="str">
        <f t="shared" ca="1" si="11"/>
        <v>Open</v>
      </c>
      <c r="K730" s="9"/>
    </row>
    <row r="731" spans="1:11" ht="30" customHeight="1" x14ac:dyDescent="0.25">
      <c r="A731" s="58" t="s">
        <v>330</v>
      </c>
      <c r="B731" s="42" t="s">
        <v>883</v>
      </c>
      <c r="C731" s="64" t="s">
        <v>68</v>
      </c>
      <c r="D731" s="11" t="s">
        <v>7</v>
      </c>
      <c r="E731" s="72" t="s">
        <v>3242</v>
      </c>
      <c r="F731" s="60" t="s">
        <v>98</v>
      </c>
      <c r="G731" s="49" t="s">
        <v>2</v>
      </c>
      <c r="H731" s="11"/>
      <c r="I731" t="str">
        <f>IFERROR(HYPERLINK("#Main!A"&amp;MATCH(A731,Main!A:A,0),"Open"),HYPERLINK("#Main!A1","Open"))</f>
        <v>Open</v>
      </c>
      <c r="J731" t="str">
        <f t="shared" ca="1" si="11"/>
        <v>Open</v>
      </c>
    </row>
    <row r="732" spans="1:11" ht="30" customHeight="1" x14ac:dyDescent="0.25">
      <c r="A732" s="59" t="s">
        <v>782</v>
      </c>
      <c r="B732" s="48" t="s">
        <v>857</v>
      </c>
      <c r="C732" s="61" t="s">
        <v>67</v>
      </c>
      <c r="D732" s="8" t="s">
        <v>7</v>
      </c>
      <c r="E732" s="71" t="s">
        <v>3243</v>
      </c>
      <c r="F732" s="60" t="s">
        <v>98</v>
      </c>
      <c r="G732" s="49" t="s">
        <v>2</v>
      </c>
      <c r="H732" s="8"/>
      <c r="I732" s="9" t="str">
        <f>IFERROR(HYPERLINK("#Main!A"&amp;MATCH(A732,Main!A:A,0),"Open"),HYPERLINK("#Main!A1","Open"))</f>
        <v>Open</v>
      </c>
      <c r="J732" s="9" t="str">
        <f t="shared" ca="1" si="11"/>
        <v>Open</v>
      </c>
      <c r="K732" s="9"/>
    </row>
    <row r="733" spans="1:11" ht="30" customHeight="1" x14ac:dyDescent="0.25">
      <c r="A733" s="58" t="s">
        <v>782</v>
      </c>
      <c r="B733" s="42" t="s">
        <v>858</v>
      </c>
      <c r="C733" s="61" t="s">
        <v>67</v>
      </c>
      <c r="D733" s="11" t="s">
        <v>9</v>
      </c>
      <c r="E733" s="72" t="s">
        <v>3244</v>
      </c>
      <c r="F733" s="60" t="s">
        <v>98</v>
      </c>
      <c r="G733" s="49" t="s">
        <v>2</v>
      </c>
      <c r="H733" s="11"/>
      <c r="I733" t="str">
        <f>IFERROR(HYPERLINK("#Main!A"&amp;MATCH(A733,Main!A:A,0),"Open"),HYPERLINK("#Main!A1","Open"))</f>
        <v>Open</v>
      </c>
      <c r="J733" t="str">
        <f t="shared" ca="1" si="11"/>
        <v>Open</v>
      </c>
    </row>
    <row r="734" spans="1:11" ht="30" customHeight="1" x14ac:dyDescent="0.25">
      <c r="A734" s="59" t="s">
        <v>782</v>
      </c>
      <c r="B734" s="48" t="s">
        <v>102</v>
      </c>
      <c r="C734" s="64" t="s">
        <v>68</v>
      </c>
      <c r="D734" s="8" t="s">
        <v>7</v>
      </c>
      <c r="E734" s="71" t="s">
        <v>3245</v>
      </c>
      <c r="F734" s="57" t="s">
        <v>825</v>
      </c>
      <c r="G734" s="49" t="s">
        <v>2</v>
      </c>
      <c r="H734" s="8"/>
      <c r="I734" s="9" t="str">
        <f>IFERROR(HYPERLINK("#Main!A"&amp;MATCH(A734,Main!A:A,0),"Open"),HYPERLINK("#Main!A1","Open"))</f>
        <v>Open</v>
      </c>
      <c r="J734" s="9" t="str">
        <f t="shared" ca="1" si="11"/>
        <v>Open</v>
      </c>
      <c r="K734" s="9"/>
    </row>
    <row r="735" spans="1:11" ht="30" customHeight="1" x14ac:dyDescent="0.25">
      <c r="A735" s="58" t="s">
        <v>782</v>
      </c>
      <c r="B735" s="42" t="s">
        <v>872</v>
      </c>
      <c r="C735" s="64" t="s">
        <v>68</v>
      </c>
      <c r="D735" s="11" t="s">
        <v>7</v>
      </c>
      <c r="E735" s="72" t="s">
        <v>3246</v>
      </c>
      <c r="F735" s="57" t="s">
        <v>825</v>
      </c>
      <c r="G735" s="49" t="s">
        <v>2</v>
      </c>
      <c r="H735" s="11"/>
      <c r="I735" t="str">
        <f>IFERROR(HYPERLINK("#Main!A"&amp;MATCH(A735,Main!A:A,0),"Open"),HYPERLINK("#Main!A1","Open"))</f>
        <v>Open</v>
      </c>
      <c r="J735" t="str">
        <f t="shared" ca="1" si="11"/>
        <v>Open</v>
      </c>
    </row>
    <row r="736" spans="1:11" ht="30" customHeight="1" x14ac:dyDescent="0.25">
      <c r="A736" s="59" t="s">
        <v>782</v>
      </c>
      <c r="B736" s="48" t="s">
        <v>873</v>
      </c>
      <c r="C736" s="64" t="s">
        <v>68</v>
      </c>
      <c r="D736" s="8" t="s">
        <v>7</v>
      </c>
      <c r="E736" s="71" t="s">
        <v>3247</v>
      </c>
      <c r="F736" s="57" t="s">
        <v>825</v>
      </c>
      <c r="G736" s="49" t="s">
        <v>2</v>
      </c>
      <c r="H736" s="8"/>
      <c r="I736" s="9" t="str">
        <f>IFERROR(HYPERLINK("#Main!A"&amp;MATCH(A736,Main!A:A,0),"Open"),HYPERLINK("#Main!A1","Open"))</f>
        <v>Open</v>
      </c>
      <c r="J736" s="9" t="str">
        <f t="shared" ca="1" si="11"/>
        <v>Open</v>
      </c>
      <c r="K736" s="9"/>
    </row>
    <row r="737" spans="1:11" ht="30" customHeight="1" x14ac:dyDescent="0.25">
      <c r="A737" s="58" t="s">
        <v>782</v>
      </c>
      <c r="B737" s="42" t="s">
        <v>874</v>
      </c>
      <c r="C737" s="64" t="s">
        <v>68</v>
      </c>
      <c r="D737" s="11" t="s">
        <v>9</v>
      </c>
      <c r="E737" s="72" t="s">
        <v>3248</v>
      </c>
      <c r="F737" s="60" t="s">
        <v>98</v>
      </c>
      <c r="G737" s="49" t="s">
        <v>2</v>
      </c>
      <c r="H737" s="11"/>
      <c r="I737" t="str">
        <f>IFERROR(HYPERLINK("#Main!A"&amp;MATCH(A737,Main!A:A,0),"Open"),HYPERLINK("#Main!A1","Open"))</f>
        <v>Open</v>
      </c>
      <c r="J737" t="str">
        <f t="shared" ca="1" si="11"/>
        <v>Open</v>
      </c>
    </row>
    <row r="738" spans="1:11" ht="30" customHeight="1" x14ac:dyDescent="0.25">
      <c r="A738" s="59" t="s">
        <v>782</v>
      </c>
      <c r="B738" s="48" t="s">
        <v>877</v>
      </c>
      <c r="C738" s="64" t="s">
        <v>68</v>
      </c>
      <c r="D738" s="8" t="s">
        <v>7</v>
      </c>
      <c r="E738" s="71" t="s">
        <v>3249</v>
      </c>
      <c r="F738" s="60" t="s">
        <v>98</v>
      </c>
      <c r="G738" s="49" t="s">
        <v>2</v>
      </c>
      <c r="H738" s="8"/>
      <c r="I738" s="9" t="str">
        <f>IFERROR(HYPERLINK("#Main!A"&amp;MATCH(A738,Main!A:A,0),"Open"),HYPERLINK("#Main!A1","Open"))</f>
        <v>Open</v>
      </c>
      <c r="J738" s="9" t="str">
        <f t="shared" ca="1" si="11"/>
        <v>Open</v>
      </c>
      <c r="K738" s="9"/>
    </row>
    <row r="739" spans="1:11" ht="30" customHeight="1" x14ac:dyDescent="0.25">
      <c r="A739" s="58" t="s">
        <v>782</v>
      </c>
      <c r="B739" s="42" t="s">
        <v>880</v>
      </c>
      <c r="C739" s="64" t="s">
        <v>68</v>
      </c>
      <c r="D739" s="11" t="s">
        <v>7</v>
      </c>
      <c r="E739" s="72" t="s">
        <v>3250</v>
      </c>
      <c r="F739" s="60" t="s">
        <v>98</v>
      </c>
      <c r="G739" s="49" t="s">
        <v>2</v>
      </c>
      <c r="H739" s="11"/>
      <c r="I739" t="str">
        <f>IFERROR(HYPERLINK("#Main!A"&amp;MATCH(A739,Main!A:A,0),"Open"),HYPERLINK("#Main!A1","Open"))</f>
        <v>Open</v>
      </c>
      <c r="J739" t="str">
        <f t="shared" ca="1" si="11"/>
        <v>Open</v>
      </c>
    </row>
    <row r="740" spans="1:11" ht="30" customHeight="1" x14ac:dyDescent="0.25">
      <c r="A740" s="59" t="s">
        <v>782</v>
      </c>
      <c r="B740" s="48" t="s">
        <v>883</v>
      </c>
      <c r="C740" s="64" t="s">
        <v>68</v>
      </c>
      <c r="D740" s="8" t="s">
        <v>7</v>
      </c>
      <c r="E740" s="71" t="s">
        <v>3251</v>
      </c>
      <c r="F740" s="60" t="s">
        <v>98</v>
      </c>
      <c r="G740" s="49" t="s">
        <v>2</v>
      </c>
      <c r="H740" s="8"/>
      <c r="I740" s="9" t="str">
        <f>IFERROR(HYPERLINK("#Main!A"&amp;MATCH(A740,Main!A:A,0),"Open"),HYPERLINK("#Main!A1","Open"))</f>
        <v>Open</v>
      </c>
      <c r="J740" s="9" t="str">
        <f t="shared" ca="1" si="11"/>
        <v>Open</v>
      </c>
      <c r="K740" s="9"/>
    </row>
    <row r="741" spans="1:11" ht="30" customHeight="1" x14ac:dyDescent="0.25">
      <c r="A741" s="58" t="s">
        <v>720</v>
      </c>
      <c r="B741" s="42" t="s">
        <v>857</v>
      </c>
      <c r="C741" s="61" t="s">
        <v>67</v>
      </c>
      <c r="D741" s="11" t="s">
        <v>7</v>
      </c>
      <c r="E741" s="72" t="s">
        <v>3252</v>
      </c>
      <c r="F741" s="60" t="s">
        <v>98</v>
      </c>
      <c r="G741" s="49" t="s">
        <v>2</v>
      </c>
      <c r="H741" s="11"/>
      <c r="I741" t="str">
        <f>IFERROR(HYPERLINK("#Main!A"&amp;MATCH(A741,Main!A:A,0),"Open"),HYPERLINK("#Main!A1","Open"))</f>
        <v>Open</v>
      </c>
      <c r="J741" t="str">
        <f t="shared" ca="1" si="11"/>
        <v>Open</v>
      </c>
    </row>
    <row r="742" spans="1:11" ht="30" customHeight="1" x14ac:dyDescent="0.25">
      <c r="A742" s="59" t="s">
        <v>720</v>
      </c>
      <c r="B742" s="48" t="s">
        <v>858</v>
      </c>
      <c r="C742" s="61" t="s">
        <v>67</v>
      </c>
      <c r="D742" s="8" t="s">
        <v>9</v>
      </c>
      <c r="E742" s="71" t="s">
        <v>3253</v>
      </c>
      <c r="F742" s="60" t="s">
        <v>98</v>
      </c>
      <c r="G742" s="49" t="s">
        <v>2</v>
      </c>
      <c r="H742" s="8"/>
      <c r="I742" s="9" t="str">
        <f>IFERROR(HYPERLINK("#Main!A"&amp;MATCH(A742,Main!A:A,0),"Open"),HYPERLINK("#Main!A1","Open"))</f>
        <v>Open</v>
      </c>
      <c r="J742" s="9" t="str">
        <f t="shared" ca="1" si="11"/>
        <v>Open</v>
      </c>
      <c r="K742" s="9"/>
    </row>
    <row r="743" spans="1:11" ht="30" customHeight="1" x14ac:dyDescent="0.25">
      <c r="A743" s="58" t="s">
        <v>720</v>
      </c>
      <c r="B743" s="42" t="s">
        <v>102</v>
      </c>
      <c r="C743" s="64" t="s">
        <v>68</v>
      </c>
      <c r="D743" s="11" t="s">
        <v>7</v>
      </c>
      <c r="E743" s="72" t="s">
        <v>3254</v>
      </c>
      <c r="F743" s="57" t="s">
        <v>825</v>
      </c>
      <c r="G743" s="49" t="s">
        <v>2</v>
      </c>
      <c r="H743" s="11"/>
      <c r="I743" t="str">
        <f>IFERROR(HYPERLINK("#Main!A"&amp;MATCH(A743,Main!A:A,0),"Open"),HYPERLINK("#Main!A1","Open"))</f>
        <v>Open</v>
      </c>
      <c r="J743" t="str">
        <f t="shared" ca="1" si="11"/>
        <v>Open</v>
      </c>
    </row>
    <row r="744" spans="1:11" ht="30" customHeight="1" x14ac:dyDescent="0.25">
      <c r="A744" s="59" t="s">
        <v>720</v>
      </c>
      <c r="B744" s="48" t="s">
        <v>872</v>
      </c>
      <c r="C744" s="64" t="s">
        <v>68</v>
      </c>
      <c r="D744" s="8" t="s">
        <v>7</v>
      </c>
      <c r="E744" s="71" t="s">
        <v>3255</v>
      </c>
      <c r="F744" s="57" t="s">
        <v>825</v>
      </c>
      <c r="G744" s="49" t="s">
        <v>2</v>
      </c>
      <c r="H744" s="8"/>
      <c r="I744" s="9" t="str">
        <f>IFERROR(HYPERLINK("#Main!A"&amp;MATCH(A744,Main!A:A,0),"Open"),HYPERLINK("#Main!A1","Open"))</f>
        <v>Open</v>
      </c>
      <c r="J744" s="9" t="str">
        <f t="shared" ca="1" si="11"/>
        <v>Open</v>
      </c>
      <c r="K744" s="9"/>
    </row>
    <row r="745" spans="1:11" ht="30" customHeight="1" x14ac:dyDescent="0.25">
      <c r="A745" s="58" t="s">
        <v>720</v>
      </c>
      <c r="B745" s="42" t="s">
        <v>873</v>
      </c>
      <c r="C745" s="64" t="s">
        <v>68</v>
      </c>
      <c r="D745" s="11" t="s">
        <v>7</v>
      </c>
      <c r="E745" s="72" t="s">
        <v>3256</v>
      </c>
      <c r="F745" s="57" t="s">
        <v>825</v>
      </c>
      <c r="G745" s="49" t="s">
        <v>2</v>
      </c>
      <c r="H745" s="11"/>
      <c r="I745" t="str">
        <f>IFERROR(HYPERLINK("#Main!A"&amp;MATCH(A745,Main!A:A,0),"Open"),HYPERLINK("#Main!A1","Open"))</f>
        <v>Open</v>
      </c>
      <c r="J745" t="str">
        <f t="shared" ca="1" si="11"/>
        <v>Open</v>
      </c>
    </row>
    <row r="746" spans="1:11" ht="30" customHeight="1" x14ac:dyDescent="0.25">
      <c r="A746" s="59" t="s">
        <v>720</v>
      </c>
      <c r="B746" s="48" t="s">
        <v>884</v>
      </c>
      <c r="C746" s="64" t="s">
        <v>68</v>
      </c>
      <c r="D746" s="8" t="s">
        <v>7</v>
      </c>
      <c r="E746" s="71" t="s">
        <v>3257</v>
      </c>
      <c r="F746" s="60" t="s">
        <v>98</v>
      </c>
      <c r="G746" s="49" t="s">
        <v>2</v>
      </c>
      <c r="H746" s="8"/>
      <c r="I746" s="9" t="str">
        <f>IFERROR(HYPERLINK("#Main!A"&amp;MATCH(A746,Main!A:A,0),"Open"),HYPERLINK("#Main!A1","Open"))</f>
        <v>Open</v>
      </c>
      <c r="J746" s="9" t="str">
        <f t="shared" ca="1" si="11"/>
        <v>Open</v>
      </c>
      <c r="K746" s="9"/>
    </row>
    <row r="747" spans="1:11" ht="30" customHeight="1" x14ac:dyDescent="0.25">
      <c r="A747" s="58" t="s">
        <v>720</v>
      </c>
      <c r="B747" s="42" t="s">
        <v>874</v>
      </c>
      <c r="C747" s="64" t="s">
        <v>68</v>
      </c>
      <c r="D747" s="11" t="s">
        <v>9</v>
      </c>
      <c r="E747" s="72" t="s">
        <v>3258</v>
      </c>
      <c r="F747" s="60" t="s">
        <v>98</v>
      </c>
      <c r="G747" s="49" t="s">
        <v>2</v>
      </c>
      <c r="H747" s="11"/>
      <c r="I747" t="str">
        <f>IFERROR(HYPERLINK("#Main!A"&amp;MATCH(A747,Main!A:A,0),"Open"),HYPERLINK("#Main!A1","Open"))</f>
        <v>Open</v>
      </c>
      <c r="J747" t="str">
        <f t="shared" ca="1" si="11"/>
        <v>Open</v>
      </c>
    </row>
    <row r="748" spans="1:11" ht="30" customHeight="1" x14ac:dyDescent="0.25">
      <c r="A748" s="59" t="s">
        <v>720</v>
      </c>
      <c r="B748" s="48" t="s">
        <v>877</v>
      </c>
      <c r="C748" s="64" t="s">
        <v>68</v>
      </c>
      <c r="D748" s="8" t="s">
        <v>7</v>
      </c>
      <c r="E748" s="71" t="s">
        <v>3259</v>
      </c>
      <c r="F748" s="60" t="s">
        <v>98</v>
      </c>
      <c r="G748" s="49" t="s">
        <v>2</v>
      </c>
      <c r="H748" s="8"/>
      <c r="I748" s="9" t="str">
        <f>IFERROR(HYPERLINK("#Main!A"&amp;MATCH(A748,Main!A:A,0),"Open"),HYPERLINK("#Main!A1","Open"))</f>
        <v>Open</v>
      </c>
      <c r="J748" s="9" t="str">
        <f t="shared" ca="1" si="11"/>
        <v>Open</v>
      </c>
      <c r="K748" s="9"/>
    </row>
    <row r="749" spans="1:11" ht="30" customHeight="1" x14ac:dyDescent="0.25">
      <c r="A749" s="58" t="s">
        <v>720</v>
      </c>
      <c r="B749" s="42" t="s">
        <v>880</v>
      </c>
      <c r="C749" s="64" t="s">
        <v>68</v>
      </c>
      <c r="D749" s="11" t="s">
        <v>7</v>
      </c>
      <c r="E749" s="72" t="s">
        <v>3260</v>
      </c>
      <c r="F749" s="60" t="s">
        <v>98</v>
      </c>
      <c r="G749" s="49" t="s">
        <v>2</v>
      </c>
      <c r="H749" s="11"/>
      <c r="I749" t="str">
        <f>IFERROR(HYPERLINK("#Main!A"&amp;MATCH(A749,Main!A:A,0),"Open"),HYPERLINK("#Main!A1","Open"))</f>
        <v>Open</v>
      </c>
      <c r="J749" t="str">
        <f t="shared" ca="1" si="11"/>
        <v>Open</v>
      </c>
    </row>
    <row r="750" spans="1:11" ht="30" customHeight="1" x14ac:dyDescent="0.25">
      <c r="A750" s="59" t="s">
        <v>720</v>
      </c>
      <c r="B750" s="48" t="s">
        <v>883</v>
      </c>
      <c r="C750" s="64" t="s">
        <v>68</v>
      </c>
      <c r="D750" s="8" t="s">
        <v>7</v>
      </c>
      <c r="E750" s="71" t="s">
        <v>3261</v>
      </c>
      <c r="F750" s="60" t="s">
        <v>98</v>
      </c>
      <c r="G750" s="49" t="s">
        <v>2</v>
      </c>
      <c r="H750" s="8"/>
      <c r="I750" s="9" t="str">
        <f>IFERROR(HYPERLINK("#Main!A"&amp;MATCH(A750,Main!A:A,0),"Open"),HYPERLINK("#Main!A1","Open"))</f>
        <v>Open</v>
      </c>
      <c r="J750" s="9" t="str">
        <f t="shared" ca="1" si="11"/>
        <v>Open</v>
      </c>
      <c r="K750" s="9"/>
    </row>
    <row r="751" spans="1:11" ht="30" customHeight="1" x14ac:dyDescent="0.25">
      <c r="A751" s="58" t="s">
        <v>635</v>
      </c>
      <c r="B751" s="42" t="s">
        <v>857</v>
      </c>
      <c r="C751" s="61" t="s">
        <v>67</v>
      </c>
      <c r="D751" s="11" t="s">
        <v>7</v>
      </c>
      <c r="E751" s="72" t="s">
        <v>3262</v>
      </c>
      <c r="F751" s="60" t="s">
        <v>98</v>
      </c>
      <c r="G751" s="49" t="s">
        <v>2</v>
      </c>
      <c r="H751" s="11"/>
      <c r="I751" t="str">
        <f>IFERROR(HYPERLINK("#Main!A"&amp;MATCH(A751,Main!A:A,0),"Open"),HYPERLINK("#Main!A1","Open"))</f>
        <v>Open</v>
      </c>
      <c r="J751" t="str">
        <f t="shared" ca="1" si="11"/>
        <v>Open</v>
      </c>
    </row>
    <row r="752" spans="1:11" ht="30" customHeight="1" x14ac:dyDescent="0.25">
      <c r="A752" s="59" t="s">
        <v>635</v>
      </c>
      <c r="B752" s="48" t="s">
        <v>858</v>
      </c>
      <c r="C752" s="61" t="s">
        <v>67</v>
      </c>
      <c r="D752" s="8" t="s">
        <v>9</v>
      </c>
      <c r="E752" s="71" t="s">
        <v>3263</v>
      </c>
      <c r="F752" s="60" t="s">
        <v>98</v>
      </c>
      <c r="G752" s="49" t="s">
        <v>2</v>
      </c>
      <c r="H752" s="8"/>
      <c r="I752" s="9" t="str">
        <f>IFERROR(HYPERLINK("#Main!A"&amp;MATCH(A752,Main!A:A,0),"Open"),HYPERLINK("#Main!A1","Open"))</f>
        <v>Open</v>
      </c>
      <c r="J752" s="9" t="str">
        <f t="shared" ca="1" si="11"/>
        <v>Open</v>
      </c>
      <c r="K752" s="9"/>
    </row>
    <row r="753" spans="1:11" ht="30" customHeight="1" x14ac:dyDescent="0.25">
      <c r="A753" s="58" t="s">
        <v>635</v>
      </c>
      <c r="B753" s="42" t="s">
        <v>102</v>
      </c>
      <c r="C753" s="64" t="s">
        <v>68</v>
      </c>
      <c r="D753" s="11" t="s">
        <v>7</v>
      </c>
      <c r="E753" s="72" t="s">
        <v>3264</v>
      </c>
      <c r="F753" s="57" t="s">
        <v>825</v>
      </c>
      <c r="G753" s="49" t="s">
        <v>2</v>
      </c>
      <c r="H753" s="11"/>
      <c r="I753" t="str">
        <f>IFERROR(HYPERLINK("#Main!A"&amp;MATCH(A753,Main!A:A,0),"Open"),HYPERLINK("#Main!A1","Open"))</f>
        <v>Open</v>
      </c>
      <c r="J753" t="str">
        <f t="shared" ca="1" si="11"/>
        <v>Open</v>
      </c>
    </row>
    <row r="754" spans="1:11" ht="30" customHeight="1" x14ac:dyDescent="0.25">
      <c r="A754" s="59" t="s">
        <v>635</v>
      </c>
      <c r="B754" s="48" t="s">
        <v>872</v>
      </c>
      <c r="C754" s="64" t="s">
        <v>68</v>
      </c>
      <c r="D754" s="8" t="s">
        <v>7</v>
      </c>
      <c r="E754" s="71" t="s">
        <v>3265</v>
      </c>
      <c r="F754" s="57" t="s">
        <v>825</v>
      </c>
      <c r="G754" s="49" t="s">
        <v>2</v>
      </c>
      <c r="H754" s="8"/>
      <c r="I754" s="9" t="str">
        <f>IFERROR(HYPERLINK("#Main!A"&amp;MATCH(A754,Main!A:A,0),"Open"),HYPERLINK("#Main!A1","Open"))</f>
        <v>Open</v>
      </c>
      <c r="J754" s="9" t="str">
        <f t="shared" ca="1" si="11"/>
        <v>Open</v>
      </c>
      <c r="K754" s="9"/>
    </row>
    <row r="755" spans="1:11" ht="30" customHeight="1" x14ac:dyDescent="0.25">
      <c r="A755" s="58" t="s">
        <v>635</v>
      </c>
      <c r="B755" s="42" t="s">
        <v>873</v>
      </c>
      <c r="C755" s="64" t="s">
        <v>68</v>
      </c>
      <c r="D755" s="11" t="s">
        <v>7</v>
      </c>
      <c r="E755" s="72" t="s">
        <v>3266</v>
      </c>
      <c r="F755" s="57" t="s">
        <v>825</v>
      </c>
      <c r="G755" s="49" t="s">
        <v>2</v>
      </c>
      <c r="H755" s="11"/>
      <c r="I755" t="str">
        <f>IFERROR(HYPERLINK("#Main!A"&amp;MATCH(A755,Main!A:A,0),"Open"),HYPERLINK("#Main!A1","Open"))</f>
        <v>Open</v>
      </c>
      <c r="J755" t="str">
        <f t="shared" ca="1" si="11"/>
        <v>Open</v>
      </c>
    </row>
    <row r="756" spans="1:11" ht="30" customHeight="1" x14ac:dyDescent="0.25">
      <c r="A756" s="59" t="s">
        <v>635</v>
      </c>
      <c r="B756" s="48" t="s">
        <v>884</v>
      </c>
      <c r="C756" s="64" t="s">
        <v>68</v>
      </c>
      <c r="D756" s="8" t="s">
        <v>7</v>
      </c>
      <c r="E756" s="71" t="s">
        <v>3267</v>
      </c>
      <c r="F756" s="60" t="s">
        <v>98</v>
      </c>
      <c r="G756" s="49" t="s">
        <v>2</v>
      </c>
      <c r="H756" s="8"/>
      <c r="I756" s="9" t="str">
        <f>IFERROR(HYPERLINK("#Main!A"&amp;MATCH(A756,Main!A:A,0),"Open"),HYPERLINK("#Main!A1","Open"))</f>
        <v>Open</v>
      </c>
      <c r="J756" s="9" t="str">
        <f t="shared" ca="1" si="11"/>
        <v>Open</v>
      </c>
      <c r="K756" s="9"/>
    </row>
    <row r="757" spans="1:11" ht="30" customHeight="1" x14ac:dyDescent="0.25">
      <c r="A757" s="58" t="s">
        <v>635</v>
      </c>
      <c r="B757" s="42" t="s">
        <v>874</v>
      </c>
      <c r="C757" s="64" t="s">
        <v>68</v>
      </c>
      <c r="D757" s="11" t="s">
        <v>9</v>
      </c>
      <c r="E757" s="72" t="s">
        <v>3268</v>
      </c>
      <c r="F757" s="60" t="s">
        <v>98</v>
      </c>
      <c r="G757" s="49" t="s">
        <v>2</v>
      </c>
      <c r="H757" s="11"/>
      <c r="I757" t="str">
        <f>IFERROR(HYPERLINK("#Main!A"&amp;MATCH(A757,Main!A:A,0),"Open"),HYPERLINK("#Main!A1","Open"))</f>
        <v>Open</v>
      </c>
      <c r="J757" t="str">
        <f t="shared" ca="1" si="11"/>
        <v>Open</v>
      </c>
    </row>
    <row r="758" spans="1:11" ht="30" customHeight="1" x14ac:dyDescent="0.25">
      <c r="A758" s="59" t="s">
        <v>635</v>
      </c>
      <c r="B758" s="48" t="s">
        <v>877</v>
      </c>
      <c r="C758" s="64" t="s">
        <v>68</v>
      </c>
      <c r="D758" s="8" t="s">
        <v>7</v>
      </c>
      <c r="E758" s="71" t="s">
        <v>3269</v>
      </c>
      <c r="F758" s="60" t="s">
        <v>98</v>
      </c>
      <c r="G758" s="49" t="s">
        <v>2</v>
      </c>
      <c r="H758" s="8"/>
      <c r="I758" s="9" t="str">
        <f>IFERROR(HYPERLINK("#Main!A"&amp;MATCH(A758,Main!A:A,0),"Open"),HYPERLINK("#Main!A1","Open"))</f>
        <v>Open</v>
      </c>
      <c r="J758" s="9" t="str">
        <f t="shared" ca="1" si="11"/>
        <v>Open</v>
      </c>
      <c r="K758" s="9"/>
    </row>
    <row r="759" spans="1:11" ht="30" customHeight="1" x14ac:dyDescent="0.25">
      <c r="A759" s="58" t="s">
        <v>635</v>
      </c>
      <c r="B759" s="42" t="s">
        <v>880</v>
      </c>
      <c r="C759" s="64" t="s">
        <v>68</v>
      </c>
      <c r="D759" s="11" t="s">
        <v>7</v>
      </c>
      <c r="E759" s="72" t="s">
        <v>3270</v>
      </c>
      <c r="F759" s="60" t="s">
        <v>98</v>
      </c>
      <c r="G759" s="49" t="s">
        <v>2</v>
      </c>
      <c r="H759" s="11"/>
      <c r="I759" t="str">
        <f>IFERROR(HYPERLINK("#Main!A"&amp;MATCH(A759,Main!A:A,0),"Open"),HYPERLINK("#Main!A1","Open"))</f>
        <v>Open</v>
      </c>
      <c r="J759" t="str">
        <f t="shared" ca="1" si="11"/>
        <v>Open</v>
      </c>
    </row>
    <row r="760" spans="1:11" ht="30" customHeight="1" x14ac:dyDescent="0.25">
      <c r="A760" s="59" t="s">
        <v>635</v>
      </c>
      <c r="B760" s="48" t="s">
        <v>883</v>
      </c>
      <c r="C760" s="64" t="s">
        <v>68</v>
      </c>
      <c r="D760" s="8" t="s">
        <v>7</v>
      </c>
      <c r="E760" s="71" t="s">
        <v>3271</v>
      </c>
      <c r="F760" s="60" t="s">
        <v>98</v>
      </c>
      <c r="G760" s="49" t="s">
        <v>2</v>
      </c>
      <c r="H760" s="8"/>
      <c r="I760" s="9" t="str">
        <f>IFERROR(HYPERLINK("#Main!A"&amp;MATCH(A760,Main!A:A,0),"Open"),HYPERLINK("#Main!A1","Open"))</f>
        <v>Open</v>
      </c>
      <c r="J760" s="9" t="str">
        <f t="shared" ca="1" si="11"/>
        <v>Open</v>
      </c>
      <c r="K760" s="9"/>
    </row>
    <row r="761" spans="1:11" ht="30" customHeight="1" x14ac:dyDescent="0.25">
      <c r="A761" s="58" t="s">
        <v>180</v>
      </c>
      <c r="B761" s="42" t="s">
        <v>857</v>
      </c>
      <c r="C761" s="61" t="s">
        <v>67</v>
      </c>
      <c r="D761" s="11" t="s">
        <v>7</v>
      </c>
      <c r="E761" s="72" t="s">
        <v>3272</v>
      </c>
      <c r="F761" s="60" t="s">
        <v>98</v>
      </c>
      <c r="G761" s="49" t="s">
        <v>2</v>
      </c>
      <c r="H761" s="11"/>
      <c r="I761" t="str">
        <f>IFERROR(HYPERLINK("#Main!A"&amp;MATCH(A761,Main!A:A,0),"Open"),HYPERLINK("#Main!A1","Open"))</f>
        <v>Open</v>
      </c>
      <c r="J761" t="str">
        <f t="shared" ca="1" si="11"/>
        <v>Open</v>
      </c>
    </row>
    <row r="762" spans="1:11" ht="30" customHeight="1" x14ac:dyDescent="0.25">
      <c r="A762" s="59" t="s">
        <v>180</v>
      </c>
      <c r="B762" s="48" t="s">
        <v>858</v>
      </c>
      <c r="C762" s="61" t="s">
        <v>67</v>
      </c>
      <c r="D762" s="8" t="s">
        <v>9</v>
      </c>
      <c r="E762" s="71" t="s">
        <v>3273</v>
      </c>
      <c r="F762" s="60" t="s">
        <v>98</v>
      </c>
      <c r="G762" s="49" t="s">
        <v>2</v>
      </c>
      <c r="H762" s="8"/>
      <c r="I762" s="9" t="str">
        <f>IFERROR(HYPERLINK("#Main!A"&amp;MATCH(A762,Main!A:A,0),"Open"),HYPERLINK("#Main!A1","Open"))</f>
        <v>Open</v>
      </c>
      <c r="J762" s="9" t="str">
        <f t="shared" ca="1" si="11"/>
        <v>Open</v>
      </c>
      <c r="K762" s="9"/>
    </row>
    <row r="763" spans="1:11" ht="30" customHeight="1" x14ac:dyDescent="0.25">
      <c r="A763" s="58" t="s">
        <v>180</v>
      </c>
      <c r="B763" s="42" t="s">
        <v>102</v>
      </c>
      <c r="C763" s="64" t="s">
        <v>68</v>
      </c>
      <c r="D763" s="11" t="s">
        <v>7</v>
      </c>
      <c r="E763" s="72" t="s">
        <v>3274</v>
      </c>
      <c r="F763" s="57" t="s">
        <v>825</v>
      </c>
      <c r="G763" s="49" t="s">
        <v>2</v>
      </c>
      <c r="H763" s="11"/>
      <c r="I763" t="str">
        <f>IFERROR(HYPERLINK("#Main!A"&amp;MATCH(A763,Main!A:A,0),"Open"),HYPERLINK("#Main!A1","Open"))</f>
        <v>Open</v>
      </c>
      <c r="J763" t="str">
        <f t="shared" ca="1" si="11"/>
        <v>Open</v>
      </c>
    </row>
    <row r="764" spans="1:11" ht="30" customHeight="1" x14ac:dyDescent="0.25">
      <c r="A764" s="59" t="s">
        <v>180</v>
      </c>
      <c r="B764" s="48" t="s">
        <v>872</v>
      </c>
      <c r="C764" s="64" t="s">
        <v>68</v>
      </c>
      <c r="D764" s="8" t="s">
        <v>7</v>
      </c>
      <c r="E764" s="71" t="s">
        <v>3275</v>
      </c>
      <c r="F764" s="57" t="s">
        <v>825</v>
      </c>
      <c r="G764" s="49" t="s">
        <v>2</v>
      </c>
      <c r="H764" s="8"/>
      <c r="I764" s="9" t="str">
        <f>IFERROR(HYPERLINK("#Main!A"&amp;MATCH(A764,Main!A:A,0),"Open"),HYPERLINK("#Main!A1","Open"))</f>
        <v>Open</v>
      </c>
      <c r="J764" s="9" t="str">
        <f t="shared" ca="1" si="11"/>
        <v>Open</v>
      </c>
      <c r="K764" s="9"/>
    </row>
    <row r="765" spans="1:11" ht="30" customHeight="1" x14ac:dyDescent="0.25">
      <c r="A765" s="58" t="s">
        <v>180</v>
      </c>
      <c r="B765" s="42" t="s">
        <v>873</v>
      </c>
      <c r="C765" s="64" t="s">
        <v>68</v>
      </c>
      <c r="D765" s="11" t="s">
        <v>7</v>
      </c>
      <c r="E765" s="72" t="s">
        <v>3276</v>
      </c>
      <c r="F765" s="57" t="s">
        <v>825</v>
      </c>
      <c r="G765" s="49" t="s">
        <v>2</v>
      </c>
      <c r="H765" s="11"/>
      <c r="I765" t="str">
        <f>IFERROR(HYPERLINK("#Main!A"&amp;MATCH(A765,Main!A:A,0),"Open"),HYPERLINK("#Main!A1","Open"))</f>
        <v>Open</v>
      </c>
      <c r="J765" t="str">
        <f t="shared" ca="1" si="11"/>
        <v>Open</v>
      </c>
    </row>
    <row r="766" spans="1:11" ht="30" customHeight="1" x14ac:dyDescent="0.25">
      <c r="A766" s="59" t="s">
        <v>180</v>
      </c>
      <c r="B766" s="48" t="s">
        <v>874</v>
      </c>
      <c r="C766" s="64" t="s">
        <v>68</v>
      </c>
      <c r="D766" s="8" t="s">
        <v>9</v>
      </c>
      <c r="E766" s="71" t="s">
        <v>3277</v>
      </c>
      <c r="F766" s="60" t="s">
        <v>98</v>
      </c>
      <c r="G766" s="49" t="s">
        <v>2</v>
      </c>
      <c r="H766" s="8"/>
      <c r="I766" s="9" t="str">
        <f>IFERROR(HYPERLINK("#Main!A"&amp;MATCH(A766,Main!A:A,0),"Open"),HYPERLINK("#Main!A1","Open"))</f>
        <v>Open</v>
      </c>
      <c r="J766" s="9" t="str">
        <f t="shared" ca="1" si="11"/>
        <v>Open</v>
      </c>
      <c r="K766" s="9"/>
    </row>
    <row r="767" spans="1:11" ht="30" customHeight="1" x14ac:dyDescent="0.25">
      <c r="A767" s="58" t="s">
        <v>180</v>
      </c>
      <c r="B767" s="42" t="s">
        <v>877</v>
      </c>
      <c r="C767" s="64" t="s">
        <v>68</v>
      </c>
      <c r="D767" s="11" t="s">
        <v>7</v>
      </c>
      <c r="E767" s="72" t="s">
        <v>3278</v>
      </c>
      <c r="F767" s="60" t="s">
        <v>98</v>
      </c>
      <c r="G767" s="49" t="s">
        <v>2</v>
      </c>
      <c r="H767" s="11"/>
      <c r="I767" t="str">
        <f>IFERROR(HYPERLINK("#Main!A"&amp;MATCH(A767,Main!A:A,0),"Open"),HYPERLINK("#Main!A1","Open"))</f>
        <v>Open</v>
      </c>
      <c r="J767" t="str">
        <f t="shared" ca="1" si="11"/>
        <v>Open</v>
      </c>
    </row>
    <row r="768" spans="1:11" ht="30" customHeight="1" x14ac:dyDescent="0.25">
      <c r="A768" s="59" t="s">
        <v>180</v>
      </c>
      <c r="B768" s="48" t="s">
        <v>880</v>
      </c>
      <c r="C768" s="64" t="s">
        <v>68</v>
      </c>
      <c r="D768" s="8" t="s">
        <v>7</v>
      </c>
      <c r="E768" s="71" t="s">
        <v>3279</v>
      </c>
      <c r="F768" s="60" t="s">
        <v>98</v>
      </c>
      <c r="G768" s="49" t="s">
        <v>2</v>
      </c>
      <c r="H768" s="8"/>
      <c r="I768" s="9" t="str">
        <f>IFERROR(HYPERLINK("#Main!A"&amp;MATCH(A768,Main!A:A,0),"Open"),HYPERLINK("#Main!A1","Open"))</f>
        <v>Open</v>
      </c>
      <c r="J768" s="9" t="str">
        <f t="shared" ca="1" si="11"/>
        <v>Open</v>
      </c>
      <c r="K768" s="9"/>
    </row>
    <row r="769" spans="1:11" ht="30" customHeight="1" x14ac:dyDescent="0.25">
      <c r="A769" s="58" t="s">
        <v>180</v>
      </c>
      <c r="B769" s="42" t="s">
        <v>883</v>
      </c>
      <c r="C769" s="64" t="s">
        <v>68</v>
      </c>
      <c r="D769" s="11" t="s">
        <v>7</v>
      </c>
      <c r="E769" s="72" t="s">
        <v>3280</v>
      </c>
      <c r="F769" s="60" t="s">
        <v>98</v>
      </c>
      <c r="G769" s="49" t="s">
        <v>2</v>
      </c>
      <c r="H769" s="11"/>
      <c r="I769" t="str">
        <f>IFERROR(HYPERLINK("#Main!A"&amp;MATCH(A769,Main!A:A,0),"Open"),HYPERLINK("#Main!A1","Open"))</f>
        <v>Open</v>
      </c>
      <c r="J769" t="str">
        <f t="shared" ca="1" si="11"/>
        <v>Open</v>
      </c>
    </row>
    <row r="770" spans="1:11" ht="30" customHeight="1" x14ac:dyDescent="0.25">
      <c r="A770" s="59" t="s">
        <v>698</v>
      </c>
      <c r="B770" s="48" t="s">
        <v>857</v>
      </c>
      <c r="C770" s="61" t="s">
        <v>67</v>
      </c>
      <c r="D770" s="8" t="s">
        <v>7</v>
      </c>
      <c r="E770" s="71" t="s">
        <v>3281</v>
      </c>
      <c r="F770" s="60" t="s">
        <v>98</v>
      </c>
      <c r="G770" s="49" t="s">
        <v>2</v>
      </c>
      <c r="H770" s="8"/>
      <c r="I770" s="9" t="str">
        <f>IFERROR(HYPERLINK("#Main!A"&amp;MATCH(A770,Main!A:A,0),"Open"),HYPERLINK("#Main!A1","Open"))</f>
        <v>Open</v>
      </c>
      <c r="J770" s="9" t="str">
        <f t="shared" ref="J770:J788" ca="1" si="12">IFERROR(HYPERLINK("#"&amp;D770&amp;"!A"&amp;MATCH(A770,INDIRECT("'"&amp;D770&amp;"'!A:A"),0),"Open"),HYPERLINK("#"&amp;D770&amp;"!A1","Open"))</f>
        <v>Open</v>
      </c>
      <c r="K770" s="9"/>
    </row>
    <row r="771" spans="1:11" ht="30" customHeight="1" x14ac:dyDescent="0.25">
      <c r="A771" s="58" t="s">
        <v>698</v>
      </c>
      <c r="B771" s="42" t="s">
        <v>858</v>
      </c>
      <c r="C771" s="61" t="s">
        <v>67</v>
      </c>
      <c r="D771" s="11" t="s">
        <v>9</v>
      </c>
      <c r="E771" s="72" t="s">
        <v>3282</v>
      </c>
      <c r="F771" s="60" t="s">
        <v>98</v>
      </c>
      <c r="G771" s="49" t="s">
        <v>2</v>
      </c>
      <c r="H771" s="11"/>
      <c r="I771" t="str">
        <f>IFERROR(HYPERLINK("#Main!A"&amp;MATCH(A771,Main!A:A,0),"Open"),HYPERLINK("#Main!A1","Open"))</f>
        <v>Open</v>
      </c>
      <c r="J771" t="str">
        <f t="shared" ca="1" si="12"/>
        <v>Open</v>
      </c>
    </row>
    <row r="772" spans="1:11" ht="30" customHeight="1" x14ac:dyDescent="0.25">
      <c r="A772" s="59" t="s">
        <v>698</v>
      </c>
      <c r="B772" s="48" t="s">
        <v>102</v>
      </c>
      <c r="C772" s="64" t="s">
        <v>68</v>
      </c>
      <c r="D772" s="8" t="s">
        <v>7</v>
      </c>
      <c r="E772" s="71" t="s">
        <v>3283</v>
      </c>
      <c r="F772" s="57" t="s">
        <v>825</v>
      </c>
      <c r="G772" s="49" t="s">
        <v>2</v>
      </c>
      <c r="H772" s="8"/>
      <c r="I772" s="9" t="str">
        <f>IFERROR(HYPERLINK("#Main!A"&amp;MATCH(A772,Main!A:A,0),"Open"),HYPERLINK("#Main!A1","Open"))</f>
        <v>Open</v>
      </c>
      <c r="J772" s="9" t="str">
        <f t="shared" ca="1" si="12"/>
        <v>Open</v>
      </c>
      <c r="K772" s="9"/>
    </row>
    <row r="773" spans="1:11" ht="30" customHeight="1" x14ac:dyDescent="0.25">
      <c r="A773" s="58" t="s">
        <v>698</v>
      </c>
      <c r="B773" s="42" t="s">
        <v>872</v>
      </c>
      <c r="C773" s="64" t="s">
        <v>68</v>
      </c>
      <c r="D773" s="11" t="s">
        <v>7</v>
      </c>
      <c r="E773" s="72" t="s">
        <v>3284</v>
      </c>
      <c r="F773" s="57" t="s">
        <v>825</v>
      </c>
      <c r="G773" s="49" t="s">
        <v>2</v>
      </c>
      <c r="H773" s="11"/>
      <c r="I773" t="str">
        <f>IFERROR(HYPERLINK("#Main!A"&amp;MATCH(A773,Main!A:A,0),"Open"),HYPERLINK("#Main!A1","Open"))</f>
        <v>Open</v>
      </c>
      <c r="J773" t="str">
        <f t="shared" ca="1" si="12"/>
        <v>Open</v>
      </c>
    </row>
    <row r="774" spans="1:11" ht="30" customHeight="1" x14ac:dyDescent="0.25">
      <c r="A774" s="59" t="s">
        <v>698</v>
      </c>
      <c r="B774" s="48" t="s">
        <v>873</v>
      </c>
      <c r="C774" s="64" t="s">
        <v>68</v>
      </c>
      <c r="D774" s="8" t="s">
        <v>7</v>
      </c>
      <c r="E774" s="71" t="s">
        <v>3285</v>
      </c>
      <c r="F774" s="57" t="s">
        <v>825</v>
      </c>
      <c r="G774" s="49" t="s">
        <v>2</v>
      </c>
      <c r="H774" s="8"/>
      <c r="I774" s="9" t="str">
        <f>IFERROR(HYPERLINK("#Main!A"&amp;MATCH(A774,Main!A:A,0),"Open"),HYPERLINK("#Main!A1","Open"))</f>
        <v>Open</v>
      </c>
      <c r="J774" s="9" t="str">
        <f t="shared" ca="1" si="12"/>
        <v>Open</v>
      </c>
      <c r="K774" s="9"/>
    </row>
    <row r="775" spans="1:11" ht="30" customHeight="1" x14ac:dyDescent="0.25">
      <c r="A775" s="58" t="s">
        <v>698</v>
      </c>
      <c r="B775" s="42" t="s">
        <v>884</v>
      </c>
      <c r="C775" s="64" t="s">
        <v>68</v>
      </c>
      <c r="D775" s="11" t="s">
        <v>7</v>
      </c>
      <c r="E775" s="72" t="s">
        <v>3286</v>
      </c>
      <c r="F775" s="60" t="s">
        <v>98</v>
      </c>
      <c r="G775" s="49" t="s">
        <v>2</v>
      </c>
      <c r="H775" s="11"/>
      <c r="I775" t="str">
        <f>IFERROR(HYPERLINK("#Main!A"&amp;MATCH(A775,Main!A:A,0),"Open"),HYPERLINK("#Main!A1","Open"))</f>
        <v>Open</v>
      </c>
      <c r="J775" t="str">
        <f t="shared" ca="1" si="12"/>
        <v>Open</v>
      </c>
    </row>
    <row r="776" spans="1:11" ht="30" customHeight="1" x14ac:dyDescent="0.25">
      <c r="A776" s="59" t="s">
        <v>698</v>
      </c>
      <c r="B776" s="48" t="s">
        <v>874</v>
      </c>
      <c r="C776" s="64" t="s">
        <v>68</v>
      </c>
      <c r="D776" s="8" t="s">
        <v>9</v>
      </c>
      <c r="E776" s="71" t="s">
        <v>3287</v>
      </c>
      <c r="F776" s="60" t="s">
        <v>98</v>
      </c>
      <c r="G776" s="49" t="s">
        <v>2</v>
      </c>
      <c r="H776" s="8"/>
      <c r="I776" s="9" t="str">
        <f>IFERROR(HYPERLINK("#Main!A"&amp;MATCH(A776,Main!A:A,0),"Open"),HYPERLINK("#Main!A1","Open"))</f>
        <v>Open</v>
      </c>
      <c r="J776" s="9" t="str">
        <f t="shared" ca="1" si="12"/>
        <v>Open</v>
      </c>
      <c r="K776" s="9"/>
    </row>
    <row r="777" spans="1:11" ht="30" customHeight="1" x14ac:dyDescent="0.25">
      <c r="A777" s="58" t="s">
        <v>698</v>
      </c>
      <c r="B777" s="42" t="s">
        <v>877</v>
      </c>
      <c r="C777" s="64" t="s">
        <v>68</v>
      </c>
      <c r="D777" s="11" t="s">
        <v>7</v>
      </c>
      <c r="E777" s="72" t="s">
        <v>3288</v>
      </c>
      <c r="F777" s="60" t="s">
        <v>98</v>
      </c>
      <c r="G777" s="49" t="s">
        <v>2</v>
      </c>
      <c r="H777" s="11"/>
      <c r="I777" t="str">
        <f>IFERROR(HYPERLINK("#Main!A"&amp;MATCH(A777,Main!A:A,0),"Open"),HYPERLINK("#Main!A1","Open"))</f>
        <v>Open</v>
      </c>
      <c r="J777" t="str">
        <f t="shared" ca="1" si="12"/>
        <v>Open</v>
      </c>
    </row>
    <row r="778" spans="1:11" ht="30" customHeight="1" x14ac:dyDescent="0.25">
      <c r="A778" s="59" t="s">
        <v>698</v>
      </c>
      <c r="B778" s="48" t="s">
        <v>880</v>
      </c>
      <c r="C778" s="64" t="s">
        <v>68</v>
      </c>
      <c r="D778" s="8" t="s">
        <v>7</v>
      </c>
      <c r="E778" s="71" t="s">
        <v>3289</v>
      </c>
      <c r="F778" s="60" t="s">
        <v>98</v>
      </c>
      <c r="G778" s="49" t="s">
        <v>2</v>
      </c>
      <c r="H778" s="8"/>
      <c r="I778" s="9" t="str">
        <f>IFERROR(HYPERLINK("#Main!A"&amp;MATCH(A778,Main!A:A,0),"Open"),HYPERLINK("#Main!A1","Open"))</f>
        <v>Open</v>
      </c>
      <c r="J778" s="9" t="str">
        <f t="shared" ca="1" si="12"/>
        <v>Open</v>
      </c>
      <c r="K778" s="9"/>
    </row>
    <row r="779" spans="1:11" ht="30" customHeight="1" x14ac:dyDescent="0.25">
      <c r="A779" s="58" t="s">
        <v>698</v>
      </c>
      <c r="B779" s="42" t="s">
        <v>883</v>
      </c>
      <c r="C779" s="64" t="s">
        <v>68</v>
      </c>
      <c r="D779" s="11" t="s">
        <v>7</v>
      </c>
      <c r="E779" s="72" t="s">
        <v>3290</v>
      </c>
      <c r="F779" s="60" t="s">
        <v>98</v>
      </c>
      <c r="G779" s="49" t="s">
        <v>2</v>
      </c>
      <c r="H779" s="11"/>
      <c r="I779" t="str">
        <f>IFERROR(HYPERLINK("#Main!A"&amp;MATCH(A779,Main!A:A,0),"Open"),HYPERLINK("#Main!A1","Open"))</f>
        <v>Open</v>
      </c>
      <c r="J779" t="str">
        <f t="shared" ca="1" si="12"/>
        <v>Open</v>
      </c>
    </row>
    <row r="780" spans="1:11" ht="30" customHeight="1" x14ac:dyDescent="0.25">
      <c r="A780" s="59" t="s">
        <v>666</v>
      </c>
      <c r="B780" s="48" t="s">
        <v>852</v>
      </c>
      <c r="C780" s="61" t="s">
        <v>67</v>
      </c>
      <c r="D780" s="8" t="s">
        <v>7</v>
      </c>
      <c r="E780" s="71" t="s">
        <v>3291</v>
      </c>
      <c r="F780" s="60" t="s">
        <v>98</v>
      </c>
      <c r="G780" s="49" t="s">
        <v>2</v>
      </c>
      <c r="H780" s="8"/>
      <c r="I780" s="9" t="str">
        <f>IFERROR(HYPERLINK("#Main!A"&amp;MATCH(A780,Main!A:A,0),"Open"),HYPERLINK("#Main!A1","Open"))</f>
        <v>Open</v>
      </c>
      <c r="J780" s="9" t="str">
        <f t="shared" ca="1" si="12"/>
        <v>Open</v>
      </c>
      <c r="K780" s="9"/>
    </row>
    <row r="781" spans="1:11" ht="30" customHeight="1" x14ac:dyDescent="0.25">
      <c r="A781" s="58" t="s">
        <v>666</v>
      </c>
      <c r="B781" s="42" t="s">
        <v>858</v>
      </c>
      <c r="C781" s="61" t="s">
        <v>67</v>
      </c>
      <c r="D781" s="11" t="s">
        <v>9</v>
      </c>
      <c r="E781" s="72" t="s">
        <v>3292</v>
      </c>
      <c r="F781" s="60" t="s">
        <v>98</v>
      </c>
      <c r="G781" s="49" t="s">
        <v>2</v>
      </c>
      <c r="H781" s="11"/>
      <c r="I781" t="str">
        <f>IFERROR(HYPERLINK("#Main!A"&amp;MATCH(A781,Main!A:A,0),"Open"),HYPERLINK("#Main!A1","Open"))</f>
        <v>Open</v>
      </c>
      <c r="J781" t="str">
        <f t="shared" ca="1" si="12"/>
        <v>Open</v>
      </c>
    </row>
    <row r="782" spans="1:11" ht="30" customHeight="1" x14ac:dyDescent="0.25">
      <c r="A782" s="59" t="s">
        <v>666</v>
      </c>
      <c r="B782" s="48" t="s">
        <v>102</v>
      </c>
      <c r="C782" s="64" t="s">
        <v>68</v>
      </c>
      <c r="D782" s="8" t="s">
        <v>7</v>
      </c>
      <c r="E782" s="71" t="s">
        <v>3293</v>
      </c>
      <c r="F782" s="57" t="s">
        <v>825</v>
      </c>
      <c r="G782" s="49" t="s">
        <v>2</v>
      </c>
      <c r="H782" s="8"/>
      <c r="I782" s="9" t="str">
        <f>IFERROR(HYPERLINK("#Main!A"&amp;MATCH(A782,Main!A:A,0),"Open"),HYPERLINK("#Main!A1","Open"))</f>
        <v>Open</v>
      </c>
      <c r="J782" s="9" t="str">
        <f t="shared" ca="1" si="12"/>
        <v>Open</v>
      </c>
      <c r="K782" s="9"/>
    </row>
    <row r="783" spans="1:11" ht="30" customHeight="1" x14ac:dyDescent="0.25">
      <c r="A783" s="58" t="s">
        <v>666</v>
      </c>
      <c r="B783" s="42" t="s">
        <v>872</v>
      </c>
      <c r="C783" s="64" t="s">
        <v>68</v>
      </c>
      <c r="D783" s="11" t="s">
        <v>7</v>
      </c>
      <c r="E783" s="72" t="s">
        <v>3294</v>
      </c>
      <c r="F783" s="57" t="s">
        <v>825</v>
      </c>
      <c r="G783" s="49" t="s">
        <v>2</v>
      </c>
      <c r="H783" s="11"/>
      <c r="I783" t="str">
        <f>IFERROR(HYPERLINK("#Main!A"&amp;MATCH(A783,Main!A:A,0),"Open"),HYPERLINK("#Main!A1","Open"))</f>
        <v>Open</v>
      </c>
      <c r="J783" t="str">
        <f t="shared" ca="1" si="12"/>
        <v>Open</v>
      </c>
    </row>
    <row r="784" spans="1:11" ht="30" customHeight="1" x14ac:dyDescent="0.25">
      <c r="A784" s="59" t="s">
        <v>666</v>
      </c>
      <c r="B784" s="48" t="s">
        <v>873</v>
      </c>
      <c r="C784" s="64" t="s">
        <v>68</v>
      </c>
      <c r="D784" s="8" t="s">
        <v>7</v>
      </c>
      <c r="E784" s="71" t="s">
        <v>3295</v>
      </c>
      <c r="F784" s="57" t="s">
        <v>825</v>
      </c>
      <c r="G784" s="49" t="s">
        <v>2</v>
      </c>
      <c r="H784" s="8"/>
      <c r="I784" s="9" t="str">
        <f>IFERROR(HYPERLINK("#Main!A"&amp;MATCH(A784,Main!A:A,0),"Open"),HYPERLINK("#Main!A1","Open"))</f>
        <v>Open</v>
      </c>
      <c r="J784" s="9" t="str">
        <f t="shared" ca="1" si="12"/>
        <v>Open</v>
      </c>
      <c r="K784" s="9"/>
    </row>
    <row r="785" spans="1:11" ht="30" customHeight="1" x14ac:dyDescent="0.25">
      <c r="A785" s="58" t="s">
        <v>666</v>
      </c>
      <c r="B785" s="42" t="s">
        <v>874</v>
      </c>
      <c r="C785" s="64" t="s">
        <v>68</v>
      </c>
      <c r="D785" s="11" t="s">
        <v>9</v>
      </c>
      <c r="E785" s="72" t="s">
        <v>3296</v>
      </c>
      <c r="F785" s="60" t="s">
        <v>98</v>
      </c>
      <c r="G785" s="49" t="s">
        <v>2</v>
      </c>
      <c r="H785" s="11"/>
      <c r="I785" t="str">
        <f>IFERROR(HYPERLINK("#Main!A"&amp;MATCH(A785,Main!A:A,0),"Open"),HYPERLINK("#Main!A1","Open"))</f>
        <v>Open</v>
      </c>
      <c r="J785" t="str">
        <f t="shared" ca="1" si="12"/>
        <v>Open</v>
      </c>
    </row>
    <row r="786" spans="1:11" ht="30" customHeight="1" x14ac:dyDescent="0.25">
      <c r="A786" s="59" t="s">
        <v>666</v>
      </c>
      <c r="B786" s="48" t="s">
        <v>877</v>
      </c>
      <c r="C786" s="64" t="s">
        <v>68</v>
      </c>
      <c r="D786" s="8" t="s">
        <v>7</v>
      </c>
      <c r="E786" s="71" t="s">
        <v>3297</v>
      </c>
      <c r="F786" s="60" t="s">
        <v>98</v>
      </c>
      <c r="G786" s="49" t="s">
        <v>2</v>
      </c>
      <c r="H786" s="8"/>
      <c r="I786" s="9" t="str">
        <f>IFERROR(HYPERLINK("#Main!A"&amp;MATCH(A786,Main!A:A,0),"Open"),HYPERLINK("#Main!A1","Open"))</f>
        <v>Open</v>
      </c>
      <c r="J786" s="9" t="str">
        <f t="shared" ca="1" si="12"/>
        <v>Open</v>
      </c>
      <c r="K786" s="9"/>
    </row>
    <row r="787" spans="1:11" ht="30" customHeight="1" x14ac:dyDescent="0.25">
      <c r="A787" s="58" t="s">
        <v>666</v>
      </c>
      <c r="B787" s="42" t="s">
        <v>880</v>
      </c>
      <c r="C787" s="64" t="s">
        <v>68</v>
      </c>
      <c r="D787" s="11" t="s">
        <v>7</v>
      </c>
      <c r="E787" s="72" t="s">
        <v>3298</v>
      </c>
      <c r="F787" s="60" t="s">
        <v>98</v>
      </c>
      <c r="G787" s="49" t="s">
        <v>2</v>
      </c>
      <c r="H787" s="11"/>
      <c r="I787" t="str">
        <f>IFERROR(HYPERLINK("#Main!A"&amp;MATCH(A787,Main!A:A,0),"Open"),HYPERLINK("#Main!A1","Open"))</f>
        <v>Open</v>
      </c>
      <c r="J787" t="str">
        <f t="shared" ca="1" si="12"/>
        <v>Open</v>
      </c>
    </row>
    <row r="788" spans="1:11" ht="30" customHeight="1" x14ac:dyDescent="0.25">
      <c r="A788" s="59" t="s">
        <v>666</v>
      </c>
      <c r="B788" s="48" t="s">
        <v>883</v>
      </c>
      <c r="C788" s="64" t="s">
        <v>68</v>
      </c>
      <c r="D788" s="8" t="s">
        <v>7</v>
      </c>
      <c r="E788" s="71" t="s">
        <v>3299</v>
      </c>
      <c r="F788" s="60" t="s">
        <v>98</v>
      </c>
      <c r="G788" s="49" t="s">
        <v>2</v>
      </c>
      <c r="H788" s="8"/>
      <c r="I788" s="9" t="str">
        <f>IFERROR(HYPERLINK("#Main!A"&amp;MATCH(A788,Main!A:A,0),"Open"),HYPERLINK("#Main!A1","Open"))</f>
        <v>Open</v>
      </c>
      <c r="J788" s="9" t="str">
        <f t="shared" ca="1" si="12"/>
        <v>Open</v>
      </c>
      <c r="K788" s="9"/>
    </row>
  </sheetData>
  <autoFilter ref="A1:K788" xr:uid="{00000000-0009-0000-0000-000015000000}"/>
  <conditionalFormatting sqref="G2:G788">
    <cfRule type="expression" dxfId="4" priority="1" stopIfTrue="1">
      <formula>LOWER(G2)="done"</formula>
    </cfRule>
    <cfRule type="expression" dxfId="3" priority="2" stopIfTrue="1">
      <formula>OR(LOWER(G2)="to do",LOWER(G2)="in progress",LOWER(G2)="in review")</formula>
    </cfRule>
  </conditionalFormatting>
  <dataValidations count="11">
    <dataValidation type="custom" allowBlank="1" showInputMessage="1" promptTitle="URL" prompt="URL. Use this URL to inspect the page directly or jump to related tabs." sqref="A1" xr:uid="{00000000-0002-0000-1500-000000000000}">
      <formula1>TRUE</formula1>
    </dataValidation>
    <dataValidation type="custom" allowBlank="1" showInputMessage="1" promptTitle="Issue" prompt="Issue. Review this metric to identify risk, then use linked tabs for details and remediation." sqref="B1" xr:uid="{00000000-0002-0000-1500-000001000000}">
      <formula1>TRUE</formula1>
    </dataValidation>
    <dataValidation type="custom" allowBlank="1" showInputMessage="1" promptTitle="Severity" prompt="Issue impact level. Fix: Resolve Critical first, then Warning, then improvement opportunities." sqref="C1" xr:uid="{00000000-0002-0000-1500-000002000000}">
      <formula1>TRUE</formula1>
    </dataValidation>
    <dataValidation type="custom" allowBlank="1" showInputMessage="1" promptTitle="Reference Tab" prompt="Summary grouping/navigation field. Use with hyperlinks to jump into detailed tabs." sqref="D1" xr:uid="{00000000-0002-0000-1500-000003000000}">
      <formula1>TRUE</formula1>
    </dataValidation>
    <dataValidation type="custom" allowBlank="1" showInputMessage="1" promptTitle="Stable Issue ID" prompt="Stable Issue ID. Review this metric to identify risk, then use linked tabs for details and remediation." sqref="E1" xr:uid="{00000000-0002-0000-1500-000004000000}">
      <formula1>TRUE</formula1>
    </dataValidation>
    <dataValidation type="custom" allowBlank="1" showInputMessage="1" promptTitle="Owner" prompt="Workflow management field for planning and tracking remediation progress." sqref="F1" xr:uid="{00000000-0002-0000-1500-000005000000}">
      <formula1>TRUE</formula1>
    </dataValidation>
    <dataValidation type="custom" allowBlank="1" showInputMessage="1" promptTitle="Status" prompt="Workflow management field for planning and tracking remediation progress." sqref="G1" xr:uid="{00000000-0002-0000-1500-000006000000}">
      <formula1>TRUE</formula1>
    </dataValidation>
    <dataValidation type="custom" allowBlank="1" showInputMessage="1" promptTitle="Sprint" prompt="Workflow management field for planning and tracking remediation progress." sqref="H1" xr:uid="{00000000-0002-0000-1500-000007000000}">
      <formula1>TRUE</formula1>
    </dataValidation>
    <dataValidation type="custom" allowBlank="1" showInputMessage="1" promptTitle="Open in Main" prompt="Navigation helper. Click to jump directly to the related record in another tab." sqref="I1" xr:uid="{00000000-0002-0000-1500-000008000000}">
      <formula1>TRUE</formula1>
    </dataValidation>
    <dataValidation type="custom" allowBlank="1" showInputMessage="1" promptTitle="Open in Reference" prompt="Open in Reference. Review this metric to identify risk, then use linked tabs for details and remediation." sqref="J1" xr:uid="{00000000-0002-0000-1500-000009000000}">
      <formula1>TRUE</formula1>
    </dataValidation>
    <dataValidation type="custom" allowBlank="1" showInputMessage="1" promptTitle="BACK TO DASHBOARD" prompt="BACK TO DASHBOARD. Review this metric to identify risk, then use linked tabs for details and remediation." sqref="K1" xr:uid="{00000000-0002-0000-1500-00000A000000}">
      <formula1>TRUE</formula1>
    </dataValidation>
  </dataValidations>
  <hyperlinks>
    <hyperlink ref="K1" location="Dashboard!A1" display="BACK TO DASHBOARD" xr:uid="{00000000-0004-0000-1500-000000000000}"/>
    <hyperlink ref="A2" r:id="rId1" xr:uid="{00000000-0004-0000-1500-000001000000}"/>
    <hyperlink ref="B2" location="FixPlan!A20" display="Low AEO Readiness Score" xr:uid="{00000000-0004-0000-1500-000002000000}"/>
    <hyperlink ref="E2" location="AEO!A1" display="https://africanmarketingconfederation.org/publications-2/::low_aeo_readiness_score" xr:uid="{00000000-0004-0000-1500-000003000000}"/>
    <hyperlink ref="A3" r:id="rId2" xr:uid="{00000000-0004-0000-1500-000004000000}"/>
    <hyperlink ref="B3" location="FixPlan!A28" display="No Compression Header" xr:uid="{00000000-0004-0000-1500-000005000000}"/>
    <hyperlink ref="E3" location="Technical!A1" display="https://africanmarketingconfederation.org/publications-2/::no_compression_header" xr:uid="{00000000-0004-0000-1500-000006000000}"/>
    <hyperlink ref="A4" r:id="rId3" xr:uid="{00000000-0004-0000-1500-000007000000}"/>
    <hyperlink ref="B4" location="FixPlan!A29" display="No Cache-Control Header" xr:uid="{00000000-0004-0000-1500-000008000000}"/>
    <hyperlink ref="E4" location="Technical!A1" display="https://africanmarketingconfederation.org/publications-2/::no_cache-control_header" xr:uid="{00000000-0004-0000-1500-000009000000}"/>
    <hyperlink ref="A5" r:id="rId4" xr:uid="{00000000-0004-0000-1500-00000A000000}"/>
    <hyperlink ref="B5" location="FixPlan!A30" display="No ETag Header" xr:uid="{00000000-0004-0000-1500-00000B000000}"/>
    <hyperlink ref="E5" location="Technical!A1" display="https://africanmarketingconfederation.org/publications-2/::no_etag_header" xr:uid="{00000000-0004-0000-1500-00000C000000}"/>
    <hyperlink ref="A6" r:id="rId5" xr:uid="{00000000-0004-0000-1500-00000D000000}"/>
    <hyperlink ref="B6" location="FixPlan!A35" display="Thin Content" xr:uid="{00000000-0004-0000-1500-00000E000000}"/>
    <hyperlink ref="E6" location="Technical!A1" display="https://africanmarketingconfederation.org/publications-2/::thin_content" xr:uid="{00000000-0004-0000-1500-00000F000000}"/>
    <hyperlink ref="A7" r:id="rId6" xr:uid="{00000000-0004-0000-1500-000010000000}"/>
    <hyperlink ref="B7" location="FixPlan!A31" display="No Question Headings" xr:uid="{00000000-0004-0000-1500-000011000000}"/>
    <hyperlink ref="E7" location="AEO!A1" display="https://africanmarketingconfederation.org/publications-2/::no_question_headings" xr:uid="{00000000-0004-0000-1500-000012000000}"/>
    <hyperlink ref="A8" r:id="rId7" xr:uid="{00000000-0004-0000-1500-000013000000}"/>
    <hyperlink ref="B8" location="FixPlan!A32" display="No Answer-Friendly Structure" xr:uid="{00000000-0004-0000-1500-000014000000}"/>
    <hyperlink ref="E8" location="Technical!A1" display="https://africanmarketingconfederation.org/publications-2/::no_answer-friendly_structure" xr:uid="{00000000-0004-0000-1500-000015000000}"/>
    <hyperlink ref="A9" r:id="rId8" xr:uid="{00000000-0004-0000-1500-000016000000}"/>
    <hyperlink ref="B9" location="FixPlan!A33" display="No 40-60 Word Answer Paragraphs" xr:uid="{00000000-0004-0000-1500-000017000000}"/>
    <hyperlink ref="E9" location="Technical!A1" display="https://africanmarketingconfederation.org/publications-2/::no_40-60_word_answer_paragraphs" xr:uid="{00000000-0004-0000-1500-000018000000}"/>
    <hyperlink ref="A10" r:id="rId9" xr:uid="{00000000-0004-0000-1500-000019000000}"/>
    <hyperlink ref="B10" location="FixPlan!A34" display="AI Crawlers Not Explicitly Allowed" xr:uid="{00000000-0004-0000-1500-00001A000000}"/>
    <hyperlink ref="E10" location="Technical!A1" display="https://africanmarketingconfederation.org/publications-2/::ai_crawlers_not_explicitly_allowed" xr:uid="{00000000-0004-0000-1500-00001B000000}"/>
    <hyperlink ref="A11" r:id="rId10" xr:uid="{00000000-0004-0000-1500-00001C000000}"/>
    <hyperlink ref="B11" location="FixPlan!A17" display="Multiple H1" xr:uid="{00000000-0004-0000-1500-00001D000000}"/>
    <hyperlink ref="E11" location="Technical!A1" display="https://africanmarketingconfederation.org/::multiple_h1" xr:uid="{00000000-0004-0000-1500-00001E000000}"/>
    <hyperlink ref="A12" r:id="rId11" xr:uid="{00000000-0004-0000-1500-00001F000000}"/>
    <hyperlink ref="B12" location="FixPlan!A20" display="Low AEO Readiness Score" xr:uid="{00000000-0004-0000-1500-000020000000}"/>
    <hyperlink ref="E12" location="AEO!A1" display="https://africanmarketingconfederation.org/::low_aeo_readiness_score" xr:uid="{00000000-0004-0000-1500-000021000000}"/>
    <hyperlink ref="A13" r:id="rId12" xr:uid="{00000000-0004-0000-1500-000022000000}"/>
    <hyperlink ref="B13" location="FixPlan!A28" display="No Compression Header" xr:uid="{00000000-0004-0000-1500-000023000000}"/>
    <hyperlink ref="E13" location="Technical!A1" display="https://africanmarketingconfederation.org/::no_compression_header" xr:uid="{00000000-0004-0000-1500-000024000000}"/>
    <hyperlink ref="A14" r:id="rId13" xr:uid="{00000000-0004-0000-1500-000025000000}"/>
    <hyperlink ref="B14" location="FixPlan!A29" display="No Cache-Control Header" xr:uid="{00000000-0004-0000-1500-000026000000}"/>
    <hyperlink ref="E14" location="Technical!A1" display="https://africanmarketingconfederation.org/::no_cache-control_header" xr:uid="{00000000-0004-0000-1500-000027000000}"/>
    <hyperlink ref="A15" r:id="rId14" xr:uid="{00000000-0004-0000-1500-000028000000}"/>
    <hyperlink ref="B15" location="FixPlan!A30" display="No ETag Header" xr:uid="{00000000-0004-0000-1500-000029000000}"/>
    <hyperlink ref="E15" location="Technical!A1" display="https://africanmarketingconfederation.org/::no_etag_header" xr:uid="{00000000-0004-0000-1500-00002A000000}"/>
    <hyperlink ref="A16" r:id="rId15" xr:uid="{00000000-0004-0000-1500-00002B000000}"/>
    <hyperlink ref="B16" location="FixPlan!A35" display="Thin Content" xr:uid="{00000000-0004-0000-1500-00002C000000}"/>
    <hyperlink ref="E16" location="Technical!A1" display="https://africanmarketingconfederation.org/::thin_content" xr:uid="{00000000-0004-0000-1500-00002D000000}"/>
    <hyperlink ref="A17" r:id="rId16" xr:uid="{00000000-0004-0000-1500-00002E000000}"/>
    <hyperlink ref="B17" location="FixPlan!A31" display="No Question Headings" xr:uid="{00000000-0004-0000-1500-00002F000000}"/>
    <hyperlink ref="E17" location="AEO!A1" display="https://africanmarketingconfederation.org/::no_question_headings" xr:uid="{00000000-0004-0000-1500-000030000000}"/>
    <hyperlink ref="A18" r:id="rId17" xr:uid="{00000000-0004-0000-1500-000031000000}"/>
    <hyperlink ref="B18" location="FixPlan!A32" display="No Answer-Friendly Structure" xr:uid="{00000000-0004-0000-1500-000032000000}"/>
    <hyperlink ref="E18" location="Technical!A1" display="https://africanmarketingconfederation.org/::no_answer-friendly_structure" xr:uid="{00000000-0004-0000-1500-000033000000}"/>
    <hyperlink ref="A19" r:id="rId18" xr:uid="{00000000-0004-0000-1500-000034000000}"/>
    <hyperlink ref="B19" location="FixPlan!A33" display="No 40-60 Word Answer Paragraphs" xr:uid="{00000000-0004-0000-1500-000035000000}"/>
    <hyperlink ref="E19" location="Technical!A1" display="https://africanmarketingconfederation.org/::no_40-60_word_answer_paragraphs" xr:uid="{00000000-0004-0000-1500-000036000000}"/>
    <hyperlink ref="A20" r:id="rId19" xr:uid="{00000000-0004-0000-1500-000037000000}"/>
    <hyperlink ref="B20" location="FixPlan!A34" display="AI Crawlers Not Explicitly Allowed" xr:uid="{00000000-0004-0000-1500-000038000000}"/>
    <hyperlink ref="E20" location="Technical!A1" display="https://africanmarketingconfederation.org/::ai_crawlers_not_explicitly_allowed" xr:uid="{00000000-0004-0000-1500-000039000000}"/>
    <hyperlink ref="A21" r:id="rId20" xr:uid="{00000000-0004-0000-1500-00003A000000}"/>
    <hyperlink ref="B21" location="FixPlan!A19" display="Missing H1" xr:uid="{00000000-0004-0000-1500-00003B000000}"/>
    <hyperlink ref="E21" location="Technical!A1" display="https://africanmarketingconfederation.org/publication-download-list/::missing_h1" xr:uid="{00000000-0004-0000-1500-00003C000000}"/>
    <hyperlink ref="A22" r:id="rId21" xr:uid="{00000000-0004-0000-1500-00003D000000}"/>
    <hyperlink ref="B22" location="FixPlan!A20" display="Low AEO Readiness Score" xr:uid="{00000000-0004-0000-1500-00003E000000}"/>
    <hyperlink ref="E22" location="AEO!A1" display="https://africanmarketingconfederation.org/publication-download-list/::low_aeo_readiness_score" xr:uid="{00000000-0004-0000-1500-00003F000000}"/>
    <hyperlink ref="A23" r:id="rId22" xr:uid="{00000000-0004-0000-1500-000040000000}"/>
    <hyperlink ref="B23" location="FixPlan!A28" display="No Compression Header" xr:uid="{00000000-0004-0000-1500-000041000000}"/>
    <hyperlink ref="E23" location="Technical!A1" display="https://africanmarketingconfederation.org/publication-download-list/::no_compression_header" xr:uid="{00000000-0004-0000-1500-000042000000}"/>
    <hyperlink ref="A24" r:id="rId23" xr:uid="{00000000-0004-0000-1500-000043000000}"/>
    <hyperlink ref="B24" location="FixPlan!A29" display="No Cache-Control Header" xr:uid="{00000000-0004-0000-1500-000044000000}"/>
    <hyperlink ref="E24" location="Technical!A1" display="https://africanmarketingconfederation.org/publication-download-list/::no_cache-control_header" xr:uid="{00000000-0004-0000-1500-000045000000}"/>
    <hyperlink ref="A25" r:id="rId24" xr:uid="{00000000-0004-0000-1500-000046000000}"/>
    <hyperlink ref="B25" location="FixPlan!A30" display="No ETag Header" xr:uid="{00000000-0004-0000-1500-000047000000}"/>
    <hyperlink ref="E25" location="Technical!A1" display="https://africanmarketingconfederation.org/publication-download-list/::no_etag_header" xr:uid="{00000000-0004-0000-1500-000048000000}"/>
    <hyperlink ref="A26" r:id="rId25" xr:uid="{00000000-0004-0000-1500-000049000000}"/>
    <hyperlink ref="B26" location="FixPlan!A35" display="Thin Content" xr:uid="{00000000-0004-0000-1500-00004A000000}"/>
    <hyperlink ref="E26" location="Technical!A1" display="https://africanmarketingconfederation.org/publication-download-list/::thin_content" xr:uid="{00000000-0004-0000-1500-00004B000000}"/>
    <hyperlink ref="A27" r:id="rId26" xr:uid="{00000000-0004-0000-1500-00004C000000}"/>
    <hyperlink ref="B27" location="FixPlan!A31" display="No Question Headings" xr:uid="{00000000-0004-0000-1500-00004D000000}"/>
    <hyperlink ref="E27" location="AEO!A1" display="https://africanmarketingconfederation.org/publication-download-list/::no_question_headings" xr:uid="{00000000-0004-0000-1500-00004E000000}"/>
    <hyperlink ref="A28" r:id="rId27" xr:uid="{00000000-0004-0000-1500-00004F000000}"/>
    <hyperlink ref="B28" location="FixPlan!A32" display="No Answer-Friendly Structure" xr:uid="{00000000-0004-0000-1500-000050000000}"/>
    <hyperlink ref="E28" location="Technical!A1" display="https://africanmarketingconfederation.org/publication-download-list/::no_answer-friendly_structure" xr:uid="{00000000-0004-0000-1500-000051000000}"/>
    <hyperlink ref="A29" r:id="rId28" xr:uid="{00000000-0004-0000-1500-000052000000}"/>
    <hyperlink ref="B29" location="FixPlan!A33" display="No 40-60 Word Answer Paragraphs" xr:uid="{00000000-0004-0000-1500-000053000000}"/>
    <hyperlink ref="E29" location="Technical!A1" display="https://africanmarketingconfederation.org/publication-download-list/::no_40-60_word_answer_paragraphs" xr:uid="{00000000-0004-0000-1500-000054000000}"/>
    <hyperlink ref="A30" r:id="rId29" xr:uid="{00000000-0004-0000-1500-000055000000}"/>
    <hyperlink ref="B30" location="FixPlan!A34" display="AI Crawlers Not Explicitly Allowed" xr:uid="{00000000-0004-0000-1500-000056000000}"/>
    <hyperlink ref="E30" location="Technical!A1" display="https://africanmarketingconfederation.org/publication-download-list/::ai_crawlers_not_explicitly_allowed" xr:uid="{00000000-0004-0000-1500-000057000000}"/>
    <hyperlink ref="A31" r:id="rId30" xr:uid="{00000000-0004-0000-1500-000058000000}"/>
    <hyperlink ref="B31" location="FixPlan!A20" display="Low AEO Readiness Score" xr:uid="{00000000-0004-0000-1500-000059000000}"/>
    <hyperlink ref="E31" location="AEO!A1" display="https://africanmarketingconfederation.org/launch-event-2026-amc-conference/::low_aeo_readiness_score" xr:uid="{00000000-0004-0000-1500-00005A000000}"/>
    <hyperlink ref="A32" r:id="rId31" xr:uid="{00000000-0004-0000-1500-00005B000000}"/>
    <hyperlink ref="B32" location="FixPlan!A28" display="No Compression Header" xr:uid="{00000000-0004-0000-1500-00005C000000}"/>
    <hyperlink ref="E32" location="Technical!A1" display="https://africanmarketingconfederation.org/launch-event-2026-amc-conference/::no_compression_header" xr:uid="{00000000-0004-0000-1500-00005D000000}"/>
    <hyperlink ref="A33" r:id="rId32" xr:uid="{00000000-0004-0000-1500-00005E000000}"/>
    <hyperlink ref="B33" location="FixPlan!A29" display="No Cache-Control Header" xr:uid="{00000000-0004-0000-1500-00005F000000}"/>
    <hyperlink ref="E33" location="Technical!A1" display="https://africanmarketingconfederation.org/launch-event-2026-amc-conference/::no_cache-control_header" xr:uid="{00000000-0004-0000-1500-000060000000}"/>
    <hyperlink ref="A34" r:id="rId33" xr:uid="{00000000-0004-0000-1500-000061000000}"/>
    <hyperlink ref="B34" location="FixPlan!A30" display="No ETag Header" xr:uid="{00000000-0004-0000-1500-000062000000}"/>
    <hyperlink ref="E34" location="Technical!A1" display="https://africanmarketingconfederation.org/launch-event-2026-amc-conference/::no_etag_header" xr:uid="{00000000-0004-0000-1500-000063000000}"/>
    <hyperlink ref="A35" r:id="rId34" xr:uid="{00000000-0004-0000-1500-000064000000}"/>
    <hyperlink ref="B35" location="FixPlan!A35" display="Thin Content" xr:uid="{00000000-0004-0000-1500-000065000000}"/>
    <hyperlink ref="E35" location="Technical!A1" display="https://africanmarketingconfederation.org/launch-event-2026-amc-conference/::thin_content" xr:uid="{00000000-0004-0000-1500-000066000000}"/>
    <hyperlink ref="A36" r:id="rId35" xr:uid="{00000000-0004-0000-1500-000067000000}"/>
    <hyperlink ref="B36" location="FixPlan!A31" display="No Question Headings" xr:uid="{00000000-0004-0000-1500-000068000000}"/>
    <hyperlink ref="E36" location="AEO!A1" display="https://africanmarketingconfederation.org/launch-event-2026-amc-conference/::no_question_headings" xr:uid="{00000000-0004-0000-1500-000069000000}"/>
    <hyperlink ref="A37" r:id="rId36" xr:uid="{00000000-0004-0000-1500-00006A000000}"/>
    <hyperlink ref="B37" location="FixPlan!A32" display="No Answer-Friendly Structure" xr:uid="{00000000-0004-0000-1500-00006B000000}"/>
    <hyperlink ref="E37" location="Technical!A1" display="https://africanmarketingconfederation.org/launch-event-2026-amc-conference/::no_answer-friendly_structure" xr:uid="{00000000-0004-0000-1500-00006C000000}"/>
    <hyperlink ref="A38" r:id="rId37" xr:uid="{00000000-0004-0000-1500-00006D000000}"/>
    <hyperlink ref="B38" location="FixPlan!A33" display="No 40-60 Word Answer Paragraphs" xr:uid="{00000000-0004-0000-1500-00006E000000}"/>
    <hyperlink ref="E38" location="Technical!A1" display="https://africanmarketingconfederation.org/launch-event-2026-amc-conference/::no_40-60_word_answer_paragraphs" xr:uid="{00000000-0004-0000-1500-00006F000000}"/>
    <hyperlink ref="A39" r:id="rId38" xr:uid="{00000000-0004-0000-1500-000070000000}"/>
    <hyperlink ref="B39" location="FixPlan!A34" display="AI Crawlers Not Explicitly Allowed" xr:uid="{00000000-0004-0000-1500-000071000000}"/>
    <hyperlink ref="E39" location="Technical!A1" display="https://africanmarketingconfederation.org/launch-event-2026-amc-conference/::ai_crawlers_not_explicitly_allowed" xr:uid="{00000000-0004-0000-1500-000072000000}"/>
    <hyperlink ref="A40" r:id="rId39" xr:uid="{00000000-0004-0000-1500-000073000000}"/>
    <hyperlink ref="B40" location="FixPlan!A20" display="Low AEO Readiness Score" xr:uid="{00000000-0004-0000-1500-000074000000}"/>
    <hyperlink ref="E40" location="AEO!A1" display="https://africanmarketingconfederation.org/amc-conference-2026/::low_aeo_readiness_score" xr:uid="{00000000-0004-0000-1500-000075000000}"/>
    <hyperlink ref="A41" r:id="rId40" xr:uid="{00000000-0004-0000-1500-000076000000}"/>
    <hyperlink ref="B41" location="FixPlan!A26" display="Image Filename Quality Issues" xr:uid="{00000000-0004-0000-1500-000077000000}"/>
    <hyperlink ref="E41" location="Technical!A1" display="https://africanmarketingconfederation.org/amc-conference-2026/::image_filename_quality_issues" xr:uid="{00000000-0004-0000-1500-000078000000}"/>
    <hyperlink ref="A42" r:id="rId41" xr:uid="{00000000-0004-0000-1500-000079000000}"/>
    <hyperlink ref="B42" location="FixPlan!A28" display="No Compression Header" xr:uid="{00000000-0004-0000-1500-00007A000000}"/>
    <hyperlink ref="E42" location="Technical!A1" display="https://africanmarketingconfederation.org/amc-conference-2026/::no_compression_header" xr:uid="{00000000-0004-0000-1500-00007B000000}"/>
    <hyperlink ref="A43" r:id="rId42" xr:uid="{00000000-0004-0000-1500-00007C000000}"/>
    <hyperlink ref="B43" location="FixPlan!A29" display="No Cache-Control Header" xr:uid="{00000000-0004-0000-1500-00007D000000}"/>
    <hyperlink ref="E43" location="Technical!A1" display="https://africanmarketingconfederation.org/amc-conference-2026/::no_cache-control_header" xr:uid="{00000000-0004-0000-1500-00007E000000}"/>
    <hyperlink ref="A44" r:id="rId43" xr:uid="{00000000-0004-0000-1500-00007F000000}"/>
    <hyperlink ref="B44" location="FixPlan!A30" display="No ETag Header" xr:uid="{00000000-0004-0000-1500-000080000000}"/>
    <hyperlink ref="E44" location="Technical!A1" display="https://africanmarketingconfederation.org/amc-conference-2026/::no_etag_header" xr:uid="{00000000-0004-0000-1500-000081000000}"/>
    <hyperlink ref="A45" r:id="rId44" xr:uid="{00000000-0004-0000-1500-000082000000}"/>
    <hyperlink ref="B45" location="FixPlan!A31" display="No Question Headings" xr:uid="{00000000-0004-0000-1500-000083000000}"/>
    <hyperlink ref="E45" location="AEO!A1" display="https://africanmarketingconfederation.org/amc-conference-2026/::no_question_headings" xr:uid="{00000000-0004-0000-1500-000084000000}"/>
    <hyperlink ref="A46" r:id="rId45" xr:uid="{00000000-0004-0000-1500-000085000000}"/>
    <hyperlink ref="B46" location="FixPlan!A32" display="No Answer-Friendly Structure" xr:uid="{00000000-0004-0000-1500-000086000000}"/>
    <hyperlink ref="E46" location="Technical!A1" display="https://africanmarketingconfederation.org/amc-conference-2026/::no_answer-friendly_structure" xr:uid="{00000000-0004-0000-1500-000087000000}"/>
    <hyperlink ref="A47" r:id="rId46" xr:uid="{00000000-0004-0000-1500-000088000000}"/>
    <hyperlink ref="B47" location="FixPlan!A33" display="No 40-60 Word Answer Paragraphs" xr:uid="{00000000-0004-0000-1500-000089000000}"/>
    <hyperlink ref="E47" location="Technical!A1" display="https://africanmarketingconfederation.org/amc-conference-2026/::no_40-60_word_answer_paragraphs" xr:uid="{00000000-0004-0000-1500-00008A000000}"/>
    <hyperlink ref="A48" r:id="rId47" xr:uid="{00000000-0004-0000-1500-00008B000000}"/>
    <hyperlink ref="B48" location="FixPlan!A34" display="AI Crawlers Not Explicitly Allowed" xr:uid="{00000000-0004-0000-1500-00008C000000}"/>
    <hyperlink ref="E48" location="Technical!A1" display="https://africanmarketingconfederation.org/amc-conference-2026/::ai_crawlers_not_explicitly_allowed" xr:uid="{00000000-0004-0000-1500-00008D000000}"/>
    <hyperlink ref="A49" r:id="rId48" xr:uid="{00000000-0004-0000-1500-00008E000000}"/>
    <hyperlink ref="B49" location="FixPlan!A19" display="Missing H1" xr:uid="{00000000-0004-0000-1500-00008F000000}"/>
    <hyperlink ref="E49" location="Technical!A1" display="https://africanmarketingconfederation.org/certified-professional-marketer-africa/::missing_h1" xr:uid="{00000000-0004-0000-1500-000090000000}"/>
    <hyperlink ref="A50" r:id="rId49" xr:uid="{00000000-0004-0000-1500-000091000000}"/>
    <hyperlink ref="B50" location="FixPlan!A20" display="Low AEO Readiness Score" xr:uid="{00000000-0004-0000-1500-000092000000}"/>
    <hyperlink ref="E50" location="AEO!A1" display="https://africanmarketingconfederation.org/certified-professional-marketer-africa/::low_aeo_readiness_score" xr:uid="{00000000-0004-0000-1500-000093000000}"/>
    <hyperlink ref="A51" r:id="rId50" xr:uid="{00000000-0004-0000-1500-000094000000}"/>
    <hyperlink ref="B51" location="FixPlan!A28" display="No Compression Header" xr:uid="{00000000-0004-0000-1500-000095000000}"/>
    <hyperlink ref="E51" location="Technical!A1" display="https://africanmarketingconfederation.org/certified-professional-marketer-africa/::no_compression_header" xr:uid="{00000000-0004-0000-1500-000096000000}"/>
    <hyperlink ref="A52" r:id="rId51" xr:uid="{00000000-0004-0000-1500-000097000000}"/>
    <hyperlink ref="B52" location="FixPlan!A29" display="No Cache-Control Header" xr:uid="{00000000-0004-0000-1500-000098000000}"/>
    <hyperlink ref="E52" location="Technical!A1" display="https://africanmarketingconfederation.org/certified-professional-marketer-africa/::no_cache-control_header" xr:uid="{00000000-0004-0000-1500-000099000000}"/>
    <hyperlink ref="A53" r:id="rId52" xr:uid="{00000000-0004-0000-1500-00009A000000}"/>
    <hyperlink ref="B53" location="FixPlan!A30" display="No ETag Header" xr:uid="{00000000-0004-0000-1500-00009B000000}"/>
    <hyperlink ref="E53" location="Technical!A1" display="https://africanmarketingconfederation.org/certified-professional-marketer-africa/::no_etag_header" xr:uid="{00000000-0004-0000-1500-00009C000000}"/>
    <hyperlink ref="A54" r:id="rId53" xr:uid="{00000000-0004-0000-1500-00009D000000}"/>
    <hyperlink ref="B54" location="FixPlan!A31" display="No Question Headings" xr:uid="{00000000-0004-0000-1500-00009E000000}"/>
    <hyperlink ref="E54" location="AEO!A1" display="https://africanmarketingconfederation.org/certified-professional-marketer-africa/::no_question_headings" xr:uid="{00000000-0004-0000-1500-00009F000000}"/>
    <hyperlink ref="A55" r:id="rId54" xr:uid="{00000000-0004-0000-1500-0000A0000000}"/>
    <hyperlink ref="B55" location="FixPlan!A32" display="No Answer-Friendly Structure" xr:uid="{00000000-0004-0000-1500-0000A1000000}"/>
    <hyperlink ref="E55" location="Technical!A1" display="https://africanmarketingconfederation.org/certified-professional-marketer-africa/::no_answer-friendly_structure" xr:uid="{00000000-0004-0000-1500-0000A2000000}"/>
    <hyperlink ref="A56" r:id="rId55" xr:uid="{00000000-0004-0000-1500-0000A3000000}"/>
    <hyperlink ref="B56" location="FixPlan!A33" display="No 40-60 Word Answer Paragraphs" xr:uid="{00000000-0004-0000-1500-0000A4000000}"/>
    <hyperlink ref="E56" location="Technical!A1" display="https://africanmarketingconfederation.org/certified-professional-marketer-africa/::no_40-60_word_answer_paragraphs" xr:uid="{00000000-0004-0000-1500-0000A5000000}"/>
    <hyperlink ref="A57" r:id="rId56" xr:uid="{00000000-0004-0000-1500-0000A6000000}"/>
    <hyperlink ref="B57" location="FixPlan!A34" display="AI Crawlers Not Explicitly Allowed" xr:uid="{00000000-0004-0000-1500-0000A7000000}"/>
    <hyperlink ref="E57" location="Technical!A1" display="https://africanmarketingconfederation.org/certified-professional-marketer-africa/::ai_crawlers_not_explicitly_allowed" xr:uid="{00000000-0004-0000-1500-0000A8000000}"/>
    <hyperlink ref="A58" r:id="rId57" xr:uid="{00000000-0004-0000-1500-0000A9000000}"/>
    <hyperlink ref="B58" location="FixPlan!A20" display="Low AEO Readiness Score" xr:uid="{00000000-0004-0000-1500-0000AA000000}"/>
    <hyperlink ref="E58" location="AEO!A1" display="https://africanmarketingconfederation.org/chartered-marketer-africa/::low_aeo_readiness_score" xr:uid="{00000000-0004-0000-1500-0000AB000000}"/>
    <hyperlink ref="A59" r:id="rId58" xr:uid="{00000000-0004-0000-1500-0000AC000000}"/>
    <hyperlink ref="B59" location="FixPlan!A28" display="No Compression Header" xr:uid="{00000000-0004-0000-1500-0000AD000000}"/>
    <hyperlink ref="E59" location="Technical!A1" display="https://africanmarketingconfederation.org/chartered-marketer-africa/::no_compression_header" xr:uid="{00000000-0004-0000-1500-0000AE000000}"/>
    <hyperlink ref="A60" r:id="rId59" xr:uid="{00000000-0004-0000-1500-0000AF000000}"/>
    <hyperlink ref="B60" location="FixPlan!A29" display="No Cache-Control Header" xr:uid="{00000000-0004-0000-1500-0000B0000000}"/>
    <hyperlink ref="E60" location="Technical!A1" display="https://africanmarketingconfederation.org/chartered-marketer-africa/::no_cache-control_header" xr:uid="{00000000-0004-0000-1500-0000B1000000}"/>
    <hyperlink ref="A61" r:id="rId60" xr:uid="{00000000-0004-0000-1500-0000B2000000}"/>
    <hyperlink ref="B61" location="FixPlan!A30" display="No ETag Header" xr:uid="{00000000-0004-0000-1500-0000B3000000}"/>
    <hyperlink ref="E61" location="Technical!A1" display="https://africanmarketingconfederation.org/chartered-marketer-africa/::no_etag_header" xr:uid="{00000000-0004-0000-1500-0000B4000000}"/>
    <hyperlink ref="A62" r:id="rId61" xr:uid="{00000000-0004-0000-1500-0000B5000000}"/>
    <hyperlink ref="B62" location="FixPlan!A31" display="No Question Headings" xr:uid="{00000000-0004-0000-1500-0000B6000000}"/>
    <hyperlink ref="E62" location="AEO!A1" display="https://africanmarketingconfederation.org/chartered-marketer-africa/::no_question_headings" xr:uid="{00000000-0004-0000-1500-0000B7000000}"/>
    <hyperlink ref="A63" r:id="rId62" xr:uid="{00000000-0004-0000-1500-0000B8000000}"/>
    <hyperlink ref="B63" location="FixPlan!A32" display="No Answer-Friendly Structure" xr:uid="{00000000-0004-0000-1500-0000B9000000}"/>
    <hyperlink ref="E63" location="Technical!A1" display="https://africanmarketingconfederation.org/chartered-marketer-africa/::no_answer-friendly_structure" xr:uid="{00000000-0004-0000-1500-0000BA000000}"/>
    <hyperlink ref="A64" r:id="rId63" xr:uid="{00000000-0004-0000-1500-0000BB000000}"/>
    <hyperlink ref="B64" location="FixPlan!A33" display="No 40-60 Word Answer Paragraphs" xr:uid="{00000000-0004-0000-1500-0000BC000000}"/>
    <hyperlink ref="E64" location="Technical!A1" display="https://africanmarketingconfederation.org/chartered-marketer-africa/::no_40-60_word_answer_paragraphs" xr:uid="{00000000-0004-0000-1500-0000BD000000}"/>
    <hyperlink ref="A65" r:id="rId64" xr:uid="{00000000-0004-0000-1500-0000BE000000}"/>
    <hyperlink ref="B65" location="FixPlan!A34" display="AI Crawlers Not Explicitly Allowed" xr:uid="{00000000-0004-0000-1500-0000BF000000}"/>
    <hyperlink ref="E65" location="Technical!A1" display="https://africanmarketingconfederation.org/chartered-marketer-africa/::ai_crawlers_not_explicitly_allowed" xr:uid="{00000000-0004-0000-1500-0000C0000000}"/>
    <hyperlink ref="A66" r:id="rId65" xr:uid="{00000000-0004-0000-1500-0000C1000000}"/>
    <hyperlink ref="B66" location="FixPlan!A19" display="Missing H1" xr:uid="{00000000-0004-0000-1500-0000C2000000}"/>
    <hyperlink ref="E66" location="Technical!A1" display="https://africanmarketingconfederation.org/education/::missing_h1" xr:uid="{00000000-0004-0000-1500-0000C3000000}"/>
    <hyperlink ref="A67" r:id="rId66" xr:uid="{00000000-0004-0000-1500-0000C4000000}"/>
    <hyperlink ref="B67" location="FixPlan!A20" display="Low AEO Readiness Score" xr:uid="{00000000-0004-0000-1500-0000C5000000}"/>
    <hyperlink ref="E67" location="AEO!A1" display="https://africanmarketingconfederation.org/education/::low_aeo_readiness_score" xr:uid="{00000000-0004-0000-1500-0000C6000000}"/>
    <hyperlink ref="A68" r:id="rId67" xr:uid="{00000000-0004-0000-1500-0000C7000000}"/>
    <hyperlink ref="B68" location="FixPlan!A28" display="No Compression Header" xr:uid="{00000000-0004-0000-1500-0000C8000000}"/>
    <hyperlink ref="E68" location="Technical!A1" display="https://africanmarketingconfederation.org/education/::no_compression_header" xr:uid="{00000000-0004-0000-1500-0000C9000000}"/>
    <hyperlink ref="A69" r:id="rId68" xr:uid="{00000000-0004-0000-1500-0000CA000000}"/>
    <hyperlink ref="B69" location="FixPlan!A29" display="No Cache-Control Header" xr:uid="{00000000-0004-0000-1500-0000CB000000}"/>
    <hyperlink ref="E69" location="Technical!A1" display="https://africanmarketingconfederation.org/education/::no_cache-control_header" xr:uid="{00000000-0004-0000-1500-0000CC000000}"/>
    <hyperlink ref="A70" r:id="rId69" xr:uid="{00000000-0004-0000-1500-0000CD000000}"/>
    <hyperlink ref="B70" location="FixPlan!A30" display="No ETag Header" xr:uid="{00000000-0004-0000-1500-0000CE000000}"/>
    <hyperlink ref="E70" location="Technical!A1" display="https://africanmarketingconfederation.org/education/::no_etag_header" xr:uid="{00000000-0004-0000-1500-0000CF000000}"/>
    <hyperlink ref="A71" r:id="rId70" xr:uid="{00000000-0004-0000-1500-0000D0000000}"/>
    <hyperlink ref="B71" location="FixPlan!A31" display="No Question Headings" xr:uid="{00000000-0004-0000-1500-0000D1000000}"/>
    <hyperlink ref="E71" location="AEO!A1" display="https://africanmarketingconfederation.org/education/::no_question_headings" xr:uid="{00000000-0004-0000-1500-0000D2000000}"/>
    <hyperlink ref="A72" r:id="rId71" xr:uid="{00000000-0004-0000-1500-0000D3000000}"/>
    <hyperlink ref="B72" location="FixPlan!A32" display="No Answer-Friendly Structure" xr:uid="{00000000-0004-0000-1500-0000D4000000}"/>
    <hyperlink ref="E72" location="Technical!A1" display="https://africanmarketingconfederation.org/education/::no_answer-friendly_structure" xr:uid="{00000000-0004-0000-1500-0000D5000000}"/>
    <hyperlink ref="A73" r:id="rId72" xr:uid="{00000000-0004-0000-1500-0000D6000000}"/>
    <hyperlink ref="B73" location="FixPlan!A33" display="No 40-60 Word Answer Paragraphs" xr:uid="{00000000-0004-0000-1500-0000D7000000}"/>
    <hyperlink ref="E73" location="Technical!A1" display="https://africanmarketingconfederation.org/education/::no_40-60_word_answer_paragraphs" xr:uid="{00000000-0004-0000-1500-0000D8000000}"/>
    <hyperlink ref="A74" r:id="rId73" xr:uid="{00000000-0004-0000-1500-0000D9000000}"/>
    <hyperlink ref="B74" location="FixPlan!A34" display="AI Crawlers Not Explicitly Allowed" xr:uid="{00000000-0004-0000-1500-0000DA000000}"/>
    <hyperlink ref="E74" location="Technical!A1" display="https://africanmarketingconfederation.org/education/::ai_crawlers_not_explicitly_allowed" xr:uid="{00000000-0004-0000-1500-0000DB000000}"/>
    <hyperlink ref="A75" r:id="rId74" xr:uid="{00000000-0004-0000-1500-0000DC000000}"/>
    <hyperlink ref="B75" location="FixPlan!A17" display="Multiple H1" xr:uid="{00000000-0004-0000-1500-0000DD000000}"/>
    <hyperlink ref="E75" location="Technical!A1" display="https://africanmarketingconfederation.org/awards-2026/::multiple_h1" xr:uid="{00000000-0004-0000-1500-0000DE000000}"/>
    <hyperlink ref="A76" r:id="rId75" xr:uid="{00000000-0004-0000-1500-0000DF000000}"/>
    <hyperlink ref="B76" location="FixPlan!A20" display="Low AEO Readiness Score" xr:uid="{00000000-0004-0000-1500-0000E0000000}"/>
    <hyperlink ref="E76" location="AEO!A1" display="https://africanmarketingconfederation.org/awards-2026/::low_aeo_readiness_score" xr:uid="{00000000-0004-0000-1500-0000E1000000}"/>
    <hyperlink ref="A77" r:id="rId76" xr:uid="{00000000-0004-0000-1500-0000E2000000}"/>
    <hyperlink ref="B77" location="FixPlan!A28" display="No Compression Header" xr:uid="{00000000-0004-0000-1500-0000E3000000}"/>
    <hyperlink ref="E77" location="Technical!A1" display="https://africanmarketingconfederation.org/awards-2026/::no_compression_header" xr:uid="{00000000-0004-0000-1500-0000E4000000}"/>
    <hyperlink ref="A78" r:id="rId77" xr:uid="{00000000-0004-0000-1500-0000E5000000}"/>
    <hyperlink ref="B78" location="FixPlan!A29" display="No Cache-Control Header" xr:uid="{00000000-0004-0000-1500-0000E6000000}"/>
    <hyperlink ref="E78" location="Technical!A1" display="https://africanmarketingconfederation.org/awards-2026/::no_cache-control_header" xr:uid="{00000000-0004-0000-1500-0000E7000000}"/>
    <hyperlink ref="A79" r:id="rId78" xr:uid="{00000000-0004-0000-1500-0000E8000000}"/>
    <hyperlink ref="B79" location="FixPlan!A30" display="No ETag Header" xr:uid="{00000000-0004-0000-1500-0000E9000000}"/>
    <hyperlink ref="E79" location="Technical!A1" display="https://africanmarketingconfederation.org/awards-2026/::no_etag_header" xr:uid="{00000000-0004-0000-1500-0000EA000000}"/>
    <hyperlink ref="A80" r:id="rId79" xr:uid="{00000000-0004-0000-1500-0000EB000000}"/>
    <hyperlink ref="B80" location="FixPlan!A31" display="No Question Headings" xr:uid="{00000000-0004-0000-1500-0000EC000000}"/>
    <hyperlink ref="E80" location="AEO!A1" display="https://africanmarketingconfederation.org/awards-2026/::no_question_headings" xr:uid="{00000000-0004-0000-1500-0000ED000000}"/>
    <hyperlink ref="A81" r:id="rId80" xr:uid="{00000000-0004-0000-1500-0000EE000000}"/>
    <hyperlink ref="B81" location="FixPlan!A32" display="No Answer-Friendly Structure" xr:uid="{00000000-0004-0000-1500-0000EF000000}"/>
    <hyperlink ref="E81" location="Technical!A1" display="https://africanmarketingconfederation.org/awards-2026/::no_answer-friendly_structure" xr:uid="{00000000-0004-0000-1500-0000F0000000}"/>
    <hyperlink ref="A82" r:id="rId81" xr:uid="{00000000-0004-0000-1500-0000F1000000}"/>
    <hyperlink ref="B82" location="FixPlan!A33" display="No 40-60 Word Answer Paragraphs" xr:uid="{00000000-0004-0000-1500-0000F2000000}"/>
    <hyperlink ref="E82" location="Technical!A1" display="https://africanmarketingconfederation.org/awards-2026/::no_40-60_word_answer_paragraphs" xr:uid="{00000000-0004-0000-1500-0000F3000000}"/>
    <hyperlink ref="A83" r:id="rId82" xr:uid="{00000000-0004-0000-1500-0000F4000000}"/>
    <hyperlink ref="B83" location="FixPlan!A34" display="AI Crawlers Not Explicitly Allowed" xr:uid="{00000000-0004-0000-1500-0000F5000000}"/>
    <hyperlink ref="E83" location="Technical!A1" display="https://africanmarketingconfederation.org/awards-2026/::ai_crawlers_not_explicitly_allowed" xr:uid="{00000000-0004-0000-1500-0000F6000000}"/>
    <hyperlink ref="A84" r:id="rId83" xr:uid="{00000000-0004-0000-1500-0000F7000000}"/>
    <hyperlink ref="B84" location="FixPlan!A17" display="Multiple H1" xr:uid="{00000000-0004-0000-1500-0000F8000000}"/>
    <hyperlink ref="E84" location="Technical!A1" display="https://africanmarketingconfederation.org/contact-us/::multiple_h1" xr:uid="{00000000-0004-0000-1500-0000F9000000}"/>
    <hyperlink ref="A85" r:id="rId84" xr:uid="{00000000-0004-0000-1500-0000FA000000}"/>
    <hyperlink ref="B85" location="FixPlan!A20" display="Low AEO Readiness Score" xr:uid="{00000000-0004-0000-1500-0000FB000000}"/>
    <hyperlink ref="E85" location="AEO!A1" display="https://africanmarketingconfederation.org/contact-us/::low_aeo_readiness_score" xr:uid="{00000000-0004-0000-1500-0000FC000000}"/>
    <hyperlink ref="A86" r:id="rId85" xr:uid="{00000000-0004-0000-1500-0000FD000000}"/>
    <hyperlink ref="B86" location="FixPlan!A28" display="No Compression Header" xr:uid="{00000000-0004-0000-1500-0000FE000000}"/>
    <hyperlink ref="E86" location="Technical!A1" display="https://africanmarketingconfederation.org/contact-us/::no_compression_header" xr:uid="{00000000-0004-0000-1500-0000FF000000}"/>
    <hyperlink ref="A87" r:id="rId86" xr:uid="{00000000-0004-0000-1500-000000010000}"/>
    <hyperlink ref="B87" location="FixPlan!A29" display="No Cache-Control Header" xr:uid="{00000000-0004-0000-1500-000001010000}"/>
    <hyperlink ref="E87" location="Technical!A1" display="https://africanmarketingconfederation.org/contact-us/::no_cache-control_header" xr:uid="{00000000-0004-0000-1500-000002010000}"/>
    <hyperlink ref="A88" r:id="rId87" xr:uid="{00000000-0004-0000-1500-000003010000}"/>
    <hyperlink ref="B88" location="FixPlan!A30" display="No ETag Header" xr:uid="{00000000-0004-0000-1500-000004010000}"/>
    <hyperlink ref="E88" location="Technical!A1" display="https://africanmarketingconfederation.org/contact-us/::no_etag_header" xr:uid="{00000000-0004-0000-1500-000005010000}"/>
    <hyperlink ref="A89" r:id="rId88" xr:uid="{00000000-0004-0000-1500-000006010000}"/>
    <hyperlink ref="B89" location="FixPlan!A31" display="No Question Headings" xr:uid="{00000000-0004-0000-1500-000007010000}"/>
    <hyperlink ref="E89" location="AEO!A1" display="https://africanmarketingconfederation.org/contact-us/::no_question_headings" xr:uid="{00000000-0004-0000-1500-000008010000}"/>
    <hyperlink ref="A90" r:id="rId89" xr:uid="{00000000-0004-0000-1500-000009010000}"/>
    <hyperlink ref="B90" location="FixPlan!A32" display="No Answer-Friendly Structure" xr:uid="{00000000-0004-0000-1500-00000A010000}"/>
    <hyperlink ref="E90" location="Technical!A1" display="https://africanmarketingconfederation.org/contact-us/::no_answer-friendly_structure" xr:uid="{00000000-0004-0000-1500-00000B010000}"/>
    <hyperlink ref="A91" r:id="rId90" xr:uid="{00000000-0004-0000-1500-00000C010000}"/>
    <hyperlink ref="B91" location="FixPlan!A33" display="No 40-60 Word Answer Paragraphs" xr:uid="{00000000-0004-0000-1500-00000D010000}"/>
    <hyperlink ref="E91" location="Technical!A1" display="https://africanmarketingconfederation.org/contact-us/::no_40-60_word_answer_paragraphs" xr:uid="{00000000-0004-0000-1500-00000E010000}"/>
    <hyperlink ref="A92" r:id="rId91" xr:uid="{00000000-0004-0000-1500-00000F010000}"/>
    <hyperlink ref="B92" location="FixPlan!A34" display="AI Crawlers Not Explicitly Allowed" xr:uid="{00000000-0004-0000-1500-000010010000}"/>
    <hyperlink ref="E92" location="Technical!A1" display="https://africanmarketingconfederation.org/contact-us/::ai_crawlers_not_explicitly_allowed" xr:uid="{00000000-0004-0000-1500-000011010000}"/>
    <hyperlink ref="A93" r:id="rId92" xr:uid="{00000000-0004-0000-1500-000012010000}"/>
    <hyperlink ref="B93" location="FixPlan!A20" display="Low AEO Readiness Score" xr:uid="{00000000-0004-0000-1500-000013010000}"/>
    <hyperlink ref="E93" location="AEO!A1" display="https://africanmarketingconfederation.org/news-articles/::low_aeo_readiness_score" xr:uid="{00000000-0004-0000-1500-000014010000}"/>
    <hyperlink ref="A94" r:id="rId93" xr:uid="{00000000-0004-0000-1500-000015010000}"/>
    <hyperlink ref="B94" location="FixPlan!A28" display="No Compression Header" xr:uid="{00000000-0004-0000-1500-000016010000}"/>
    <hyperlink ref="E94" location="Technical!A1" display="https://africanmarketingconfederation.org/news-articles/::no_compression_header" xr:uid="{00000000-0004-0000-1500-000017010000}"/>
    <hyperlink ref="A95" r:id="rId94" xr:uid="{00000000-0004-0000-1500-000018010000}"/>
    <hyperlink ref="B95" location="FixPlan!A29" display="No Cache-Control Header" xr:uid="{00000000-0004-0000-1500-000019010000}"/>
    <hyperlink ref="E95" location="Technical!A1" display="https://africanmarketingconfederation.org/news-articles/::no_cache-control_header" xr:uid="{00000000-0004-0000-1500-00001A010000}"/>
    <hyperlink ref="A96" r:id="rId95" xr:uid="{00000000-0004-0000-1500-00001B010000}"/>
    <hyperlink ref="B96" location="FixPlan!A30" display="No ETag Header" xr:uid="{00000000-0004-0000-1500-00001C010000}"/>
    <hyperlink ref="E96" location="Technical!A1" display="https://africanmarketingconfederation.org/news-articles/::no_etag_header" xr:uid="{00000000-0004-0000-1500-00001D010000}"/>
    <hyperlink ref="A97" r:id="rId96" xr:uid="{00000000-0004-0000-1500-00001E010000}"/>
    <hyperlink ref="B97" location="FixPlan!A35" display="Thin Content" xr:uid="{00000000-0004-0000-1500-00001F010000}"/>
    <hyperlink ref="E97" location="Technical!A1" display="https://africanmarketingconfederation.org/news-articles/::thin_content" xr:uid="{00000000-0004-0000-1500-000020010000}"/>
    <hyperlink ref="A98" r:id="rId97" xr:uid="{00000000-0004-0000-1500-000021010000}"/>
    <hyperlink ref="B98" location="FixPlan!A31" display="No Question Headings" xr:uid="{00000000-0004-0000-1500-000022010000}"/>
    <hyperlink ref="E98" location="AEO!A1" display="https://africanmarketingconfederation.org/news-articles/::no_question_headings" xr:uid="{00000000-0004-0000-1500-000023010000}"/>
    <hyperlink ref="A99" r:id="rId98" xr:uid="{00000000-0004-0000-1500-000024010000}"/>
    <hyperlink ref="B99" location="FixPlan!A32" display="No Answer-Friendly Structure" xr:uid="{00000000-0004-0000-1500-000025010000}"/>
    <hyperlink ref="E99" location="Technical!A1" display="https://africanmarketingconfederation.org/news-articles/::no_answer-friendly_structure" xr:uid="{00000000-0004-0000-1500-000026010000}"/>
    <hyperlink ref="A100" r:id="rId99" xr:uid="{00000000-0004-0000-1500-000027010000}"/>
    <hyperlink ref="B100" location="FixPlan!A33" display="No 40-60 Word Answer Paragraphs" xr:uid="{00000000-0004-0000-1500-000028010000}"/>
    <hyperlink ref="E100" location="Technical!A1" display="https://africanmarketingconfederation.org/news-articles/::no_40-60_word_answer_paragraphs" xr:uid="{00000000-0004-0000-1500-000029010000}"/>
    <hyperlink ref="A101" r:id="rId100" xr:uid="{00000000-0004-0000-1500-00002A010000}"/>
    <hyperlink ref="B101" location="FixPlan!A34" display="AI Crawlers Not Explicitly Allowed" xr:uid="{00000000-0004-0000-1500-00002B010000}"/>
    <hyperlink ref="E101" location="Technical!A1" display="https://africanmarketingconfederation.org/news-articles/::ai_crawlers_not_explicitly_allowed" xr:uid="{00000000-0004-0000-1500-00002C010000}"/>
    <hyperlink ref="A102" r:id="rId101" xr:uid="{00000000-0004-0000-1500-00002D010000}"/>
    <hyperlink ref="B102" location="FixPlan!A17" display="Multiple H1" xr:uid="{00000000-0004-0000-1500-00002E010000}"/>
    <hyperlink ref="E102" location="Technical!A1" display="https://africanmarketingconfederation.org/african-marketing-confederation-tourism-chapter/::multiple_h1" xr:uid="{00000000-0004-0000-1500-00002F010000}"/>
    <hyperlink ref="A103" r:id="rId102" xr:uid="{00000000-0004-0000-1500-000030010000}"/>
    <hyperlink ref="B103" location="FixPlan!A20" display="Low AEO Readiness Score" xr:uid="{00000000-0004-0000-1500-000031010000}"/>
    <hyperlink ref="E103" location="AEO!A1" display="https://africanmarketingconfederation.org/african-marketing-confederation-tourism-chapter/::low_aeo_readiness_score" xr:uid="{00000000-0004-0000-1500-000032010000}"/>
    <hyperlink ref="A104" r:id="rId103" xr:uid="{00000000-0004-0000-1500-000033010000}"/>
    <hyperlink ref="B104" location="FixPlan!A28" display="No Compression Header" xr:uid="{00000000-0004-0000-1500-000034010000}"/>
    <hyperlink ref="E104" location="Technical!A1" display="https://africanmarketingconfederation.org/african-marketing-confederation-tourism-chapter/::no_compression_header" xr:uid="{00000000-0004-0000-1500-000035010000}"/>
    <hyperlink ref="A105" r:id="rId104" xr:uid="{00000000-0004-0000-1500-000036010000}"/>
    <hyperlink ref="B105" location="FixPlan!A29" display="No Cache-Control Header" xr:uid="{00000000-0004-0000-1500-000037010000}"/>
    <hyperlink ref="E105" location="Technical!A1" display="https://africanmarketingconfederation.org/african-marketing-confederation-tourism-chapter/::no_cache-control_header" xr:uid="{00000000-0004-0000-1500-000038010000}"/>
    <hyperlink ref="A106" r:id="rId105" xr:uid="{00000000-0004-0000-1500-000039010000}"/>
    <hyperlink ref="B106" location="FixPlan!A30" display="No ETag Header" xr:uid="{00000000-0004-0000-1500-00003A010000}"/>
    <hyperlink ref="E106" location="Technical!A1" display="https://africanmarketingconfederation.org/african-marketing-confederation-tourism-chapter/::no_etag_header" xr:uid="{00000000-0004-0000-1500-00003B010000}"/>
    <hyperlink ref="A107" r:id="rId106" xr:uid="{00000000-0004-0000-1500-00003C010000}"/>
    <hyperlink ref="B107" location="FixPlan!A31" display="No Question Headings" xr:uid="{00000000-0004-0000-1500-00003D010000}"/>
    <hyperlink ref="E107" location="AEO!A1" display="https://africanmarketingconfederation.org/african-marketing-confederation-tourism-chapter/::no_question_headings" xr:uid="{00000000-0004-0000-1500-00003E010000}"/>
    <hyperlink ref="A108" r:id="rId107" xr:uid="{00000000-0004-0000-1500-00003F010000}"/>
    <hyperlink ref="B108" location="FixPlan!A32" display="No Answer-Friendly Structure" xr:uid="{00000000-0004-0000-1500-000040010000}"/>
    <hyperlink ref="E108" location="Technical!A1" display="https://africanmarketingconfederation.org/african-marketing-confederation-tourism-chapter/::no_answer-friendly_structure" xr:uid="{00000000-0004-0000-1500-000041010000}"/>
    <hyperlink ref="A109" r:id="rId108" xr:uid="{00000000-0004-0000-1500-000042010000}"/>
    <hyperlink ref="B109" location="FixPlan!A33" display="No 40-60 Word Answer Paragraphs" xr:uid="{00000000-0004-0000-1500-000043010000}"/>
    <hyperlink ref="E109" location="Technical!A1" display="https://africanmarketingconfederation.org/african-marketing-confederation-tourism-chapter/::no_40-60_word_answer_paragraphs" xr:uid="{00000000-0004-0000-1500-000044010000}"/>
    <hyperlink ref="A110" r:id="rId109" xr:uid="{00000000-0004-0000-1500-000045010000}"/>
    <hyperlink ref="B110" location="FixPlan!A34" display="AI Crawlers Not Explicitly Allowed" xr:uid="{00000000-0004-0000-1500-000046010000}"/>
    <hyperlink ref="E110" location="Technical!A1" display="https://africanmarketingconfederation.org/african-marketing-confederation-tourism-chapter/::ai_crawlers_not_explicitly_allowed" xr:uid="{00000000-0004-0000-1500-000047010000}"/>
    <hyperlink ref="A111" r:id="rId110" xr:uid="{00000000-0004-0000-1500-000048010000}"/>
    <hyperlink ref="B111" location="FixPlan!A20" display="Low AEO Readiness Score" xr:uid="{00000000-0004-0000-1500-000049010000}"/>
    <hyperlink ref="E111" location="AEO!A1" display="https://africanmarketingconfederation.org/members/::low_aeo_readiness_score" xr:uid="{00000000-0004-0000-1500-00004A010000}"/>
    <hyperlink ref="A112" r:id="rId111" xr:uid="{00000000-0004-0000-1500-00004B010000}"/>
    <hyperlink ref="B112" location="FixPlan!A28" display="No Compression Header" xr:uid="{00000000-0004-0000-1500-00004C010000}"/>
    <hyperlink ref="E112" location="Technical!A1" display="https://africanmarketingconfederation.org/members/::no_compression_header" xr:uid="{00000000-0004-0000-1500-00004D010000}"/>
    <hyperlink ref="A113" r:id="rId112" xr:uid="{00000000-0004-0000-1500-00004E010000}"/>
    <hyperlink ref="B113" location="FixPlan!A29" display="No Cache-Control Header" xr:uid="{00000000-0004-0000-1500-00004F010000}"/>
    <hyperlink ref="E113" location="Technical!A1" display="https://africanmarketingconfederation.org/members/::no_cache-control_header" xr:uid="{00000000-0004-0000-1500-000050010000}"/>
    <hyperlink ref="A114" r:id="rId113" xr:uid="{00000000-0004-0000-1500-000051010000}"/>
    <hyperlink ref="B114" location="FixPlan!A30" display="No ETag Header" xr:uid="{00000000-0004-0000-1500-000052010000}"/>
    <hyperlink ref="E114" location="Technical!A1" display="https://africanmarketingconfederation.org/members/::no_etag_header" xr:uid="{00000000-0004-0000-1500-000053010000}"/>
    <hyperlink ref="A115" r:id="rId114" xr:uid="{00000000-0004-0000-1500-000054010000}"/>
    <hyperlink ref="B115" location="FixPlan!A31" display="No Question Headings" xr:uid="{00000000-0004-0000-1500-000055010000}"/>
    <hyperlink ref="E115" location="AEO!A1" display="https://africanmarketingconfederation.org/members/::no_question_headings" xr:uid="{00000000-0004-0000-1500-000056010000}"/>
    <hyperlink ref="A116" r:id="rId115" xr:uid="{00000000-0004-0000-1500-000057010000}"/>
    <hyperlink ref="B116" location="FixPlan!A32" display="No Answer-Friendly Structure" xr:uid="{00000000-0004-0000-1500-000058010000}"/>
    <hyperlink ref="E116" location="Technical!A1" display="https://africanmarketingconfederation.org/members/::no_answer-friendly_structure" xr:uid="{00000000-0004-0000-1500-000059010000}"/>
    <hyperlink ref="A117" r:id="rId116" xr:uid="{00000000-0004-0000-1500-00005A010000}"/>
    <hyperlink ref="B117" location="FixPlan!A33" display="No 40-60 Word Answer Paragraphs" xr:uid="{00000000-0004-0000-1500-00005B010000}"/>
    <hyperlink ref="E117" location="Technical!A1" display="https://africanmarketingconfederation.org/members/::no_40-60_word_answer_paragraphs" xr:uid="{00000000-0004-0000-1500-00005C010000}"/>
    <hyperlink ref="A118" r:id="rId117" xr:uid="{00000000-0004-0000-1500-00005D010000}"/>
    <hyperlink ref="B118" location="FixPlan!A34" display="AI Crawlers Not Explicitly Allowed" xr:uid="{00000000-0004-0000-1500-00005E010000}"/>
    <hyperlink ref="E118" location="Technical!A1" display="https://africanmarketingconfederation.org/members/::ai_crawlers_not_explicitly_allowed" xr:uid="{00000000-0004-0000-1500-00005F010000}"/>
    <hyperlink ref="A119" r:id="rId118" xr:uid="{00000000-0004-0000-1500-000060010000}"/>
    <hyperlink ref="B119" location="FixPlan!A20" display="Low AEO Readiness Score" xr:uid="{00000000-0004-0000-1500-000061010000}"/>
    <hyperlink ref="E119" location="AEO!A1" display="https://africanmarketingconfederation.org/sub-committees/::low_aeo_readiness_score" xr:uid="{00000000-0004-0000-1500-000062010000}"/>
    <hyperlink ref="A120" r:id="rId119" xr:uid="{00000000-0004-0000-1500-000063010000}"/>
    <hyperlink ref="B120" location="FixPlan!A28" display="No Compression Header" xr:uid="{00000000-0004-0000-1500-000064010000}"/>
    <hyperlink ref="E120" location="Technical!A1" display="https://africanmarketingconfederation.org/sub-committees/::no_compression_header" xr:uid="{00000000-0004-0000-1500-000065010000}"/>
    <hyperlink ref="A121" r:id="rId120" xr:uid="{00000000-0004-0000-1500-000066010000}"/>
    <hyperlink ref="B121" location="FixPlan!A29" display="No Cache-Control Header" xr:uid="{00000000-0004-0000-1500-000067010000}"/>
    <hyperlink ref="E121" location="Technical!A1" display="https://africanmarketingconfederation.org/sub-committees/::no_cache-control_header" xr:uid="{00000000-0004-0000-1500-000068010000}"/>
    <hyperlink ref="A122" r:id="rId121" xr:uid="{00000000-0004-0000-1500-000069010000}"/>
    <hyperlink ref="B122" location="FixPlan!A30" display="No ETag Header" xr:uid="{00000000-0004-0000-1500-00006A010000}"/>
    <hyperlink ref="E122" location="Technical!A1" display="https://africanmarketingconfederation.org/sub-committees/::no_etag_header" xr:uid="{00000000-0004-0000-1500-00006B010000}"/>
    <hyperlink ref="A123" r:id="rId122" xr:uid="{00000000-0004-0000-1500-00006C010000}"/>
    <hyperlink ref="B123" location="FixPlan!A31" display="No Question Headings" xr:uid="{00000000-0004-0000-1500-00006D010000}"/>
    <hyperlink ref="E123" location="AEO!A1" display="https://africanmarketingconfederation.org/sub-committees/::no_question_headings" xr:uid="{00000000-0004-0000-1500-00006E010000}"/>
    <hyperlink ref="A124" r:id="rId123" xr:uid="{00000000-0004-0000-1500-00006F010000}"/>
    <hyperlink ref="B124" location="FixPlan!A32" display="No Answer-Friendly Structure" xr:uid="{00000000-0004-0000-1500-000070010000}"/>
    <hyperlink ref="E124" location="Technical!A1" display="https://africanmarketingconfederation.org/sub-committees/::no_answer-friendly_structure" xr:uid="{00000000-0004-0000-1500-000071010000}"/>
    <hyperlink ref="A125" r:id="rId124" xr:uid="{00000000-0004-0000-1500-000072010000}"/>
    <hyperlink ref="B125" location="FixPlan!A33" display="No 40-60 Word Answer Paragraphs" xr:uid="{00000000-0004-0000-1500-000073010000}"/>
    <hyperlink ref="E125" location="Technical!A1" display="https://africanmarketingconfederation.org/sub-committees/::no_40-60_word_answer_paragraphs" xr:uid="{00000000-0004-0000-1500-000074010000}"/>
    <hyperlink ref="A126" r:id="rId125" xr:uid="{00000000-0004-0000-1500-000075010000}"/>
    <hyperlink ref="B126" location="FixPlan!A34" display="AI Crawlers Not Explicitly Allowed" xr:uid="{00000000-0004-0000-1500-000076010000}"/>
    <hyperlink ref="E126" location="Technical!A1" display="https://africanmarketingconfederation.org/sub-committees/::ai_crawlers_not_explicitly_allowed" xr:uid="{00000000-0004-0000-1500-000077010000}"/>
    <hyperlink ref="A127" r:id="rId126" xr:uid="{00000000-0004-0000-1500-000078010000}"/>
    <hyperlink ref="B127" location="FixPlan!A20" display="Low AEO Readiness Score" xr:uid="{00000000-0004-0000-1500-000079010000}"/>
    <hyperlink ref="E127" location="AEO!A1" display="https://africanmarketingconfederation.org/about-us/::low_aeo_readiness_score" xr:uid="{00000000-0004-0000-1500-00007A010000}"/>
    <hyperlink ref="A128" r:id="rId127" xr:uid="{00000000-0004-0000-1500-00007B010000}"/>
    <hyperlink ref="B128" location="FixPlan!A28" display="No Compression Header" xr:uid="{00000000-0004-0000-1500-00007C010000}"/>
    <hyperlink ref="E128" location="Technical!A1" display="https://africanmarketingconfederation.org/about-us/::no_compression_header" xr:uid="{00000000-0004-0000-1500-00007D010000}"/>
    <hyperlink ref="A129" r:id="rId128" xr:uid="{00000000-0004-0000-1500-00007E010000}"/>
    <hyperlink ref="B129" location="FixPlan!A29" display="No Cache-Control Header" xr:uid="{00000000-0004-0000-1500-00007F010000}"/>
    <hyperlink ref="E129" location="Technical!A1" display="https://africanmarketingconfederation.org/about-us/::no_cache-control_header" xr:uid="{00000000-0004-0000-1500-000080010000}"/>
    <hyperlink ref="A130" r:id="rId129" xr:uid="{00000000-0004-0000-1500-000081010000}"/>
    <hyperlink ref="B130" location="FixPlan!A30" display="No ETag Header" xr:uid="{00000000-0004-0000-1500-000082010000}"/>
    <hyperlink ref="E130" location="Technical!A1" display="https://africanmarketingconfederation.org/about-us/::no_etag_header" xr:uid="{00000000-0004-0000-1500-000083010000}"/>
    <hyperlink ref="A131" r:id="rId130" xr:uid="{00000000-0004-0000-1500-000084010000}"/>
    <hyperlink ref="B131" location="FixPlan!A35" display="Thin Content" xr:uid="{00000000-0004-0000-1500-000085010000}"/>
    <hyperlink ref="E131" location="Technical!A1" display="https://africanmarketingconfederation.org/about-us/::thin_content" xr:uid="{00000000-0004-0000-1500-000086010000}"/>
    <hyperlink ref="A132" r:id="rId131" xr:uid="{00000000-0004-0000-1500-000087010000}"/>
    <hyperlink ref="B132" location="FixPlan!A31" display="No Question Headings" xr:uid="{00000000-0004-0000-1500-000088010000}"/>
    <hyperlink ref="E132" location="AEO!A1" display="https://africanmarketingconfederation.org/about-us/::no_question_headings" xr:uid="{00000000-0004-0000-1500-000089010000}"/>
    <hyperlink ref="A133" r:id="rId132" xr:uid="{00000000-0004-0000-1500-00008A010000}"/>
    <hyperlink ref="B133" location="FixPlan!A32" display="No Answer-Friendly Structure" xr:uid="{00000000-0004-0000-1500-00008B010000}"/>
    <hyperlink ref="E133" location="Technical!A1" display="https://africanmarketingconfederation.org/about-us/::no_answer-friendly_structure" xr:uid="{00000000-0004-0000-1500-00008C010000}"/>
    <hyperlink ref="A134" r:id="rId133" xr:uid="{00000000-0004-0000-1500-00008D010000}"/>
    <hyperlink ref="B134" location="FixPlan!A33" display="No 40-60 Word Answer Paragraphs" xr:uid="{00000000-0004-0000-1500-00008E010000}"/>
    <hyperlink ref="E134" location="Technical!A1" display="https://africanmarketingconfederation.org/about-us/::no_40-60_word_answer_paragraphs" xr:uid="{00000000-0004-0000-1500-00008F010000}"/>
    <hyperlink ref="A135" r:id="rId134" xr:uid="{00000000-0004-0000-1500-000090010000}"/>
    <hyperlink ref="B135" location="FixPlan!A34" display="AI Crawlers Not Explicitly Allowed" xr:uid="{00000000-0004-0000-1500-000091010000}"/>
    <hyperlink ref="E135" location="Technical!A1" display="https://africanmarketingconfederation.org/about-us/::ai_crawlers_not_explicitly_allowed" xr:uid="{00000000-0004-0000-1500-000092010000}"/>
    <hyperlink ref="A136" r:id="rId135" xr:uid="{00000000-0004-0000-1500-000093010000}"/>
    <hyperlink ref="B136" location="FixPlan!A17" display="Multiple H1" xr:uid="{00000000-0004-0000-1500-000094010000}"/>
    <hyperlink ref="E136" location="Technical!A1" display="https://africanmarketingconfederation.org/awards-2026-1/::multiple_h1" xr:uid="{00000000-0004-0000-1500-000095010000}"/>
    <hyperlink ref="A137" r:id="rId136" xr:uid="{00000000-0004-0000-1500-000096010000}"/>
    <hyperlink ref="B137" location="FixPlan!A20" display="Low AEO Readiness Score" xr:uid="{00000000-0004-0000-1500-000097010000}"/>
    <hyperlink ref="E137" location="AEO!A1" display="https://africanmarketingconfederation.org/awards-2026-1/::low_aeo_readiness_score" xr:uid="{00000000-0004-0000-1500-000098010000}"/>
    <hyperlink ref="A138" r:id="rId137" xr:uid="{00000000-0004-0000-1500-000099010000}"/>
    <hyperlink ref="B138" location="FixPlan!A28" display="No Compression Header" xr:uid="{00000000-0004-0000-1500-00009A010000}"/>
    <hyperlink ref="E138" location="Technical!A1" display="https://africanmarketingconfederation.org/awards-2026-1/::no_compression_header" xr:uid="{00000000-0004-0000-1500-00009B010000}"/>
    <hyperlink ref="A139" r:id="rId138" xr:uid="{00000000-0004-0000-1500-00009C010000}"/>
    <hyperlink ref="B139" location="FixPlan!A29" display="No Cache-Control Header" xr:uid="{00000000-0004-0000-1500-00009D010000}"/>
    <hyperlink ref="E139" location="Technical!A1" display="https://africanmarketingconfederation.org/awards-2026-1/::no_cache-control_header" xr:uid="{00000000-0004-0000-1500-00009E010000}"/>
    <hyperlink ref="A140" r:id="rId139" xr:uid="{00000000-0004-0000-1500-00009F010000}"/>
    <hyperlink ref="B140" location="FixPlan!A30" display="No ETag Header" xr:uid="{00000000-0004-0000-1500-0000A0010000}"/>
    <hyperlink ref="E140" location="Technical!A1" display="https://africanmarketingconfederation.org/awards-2026-1/::no_etag_header" xr:uid="{00000000-0004-0000-1500-0000A1010000}"/>
    <hyperlink ref="A141" r:id="rId140" xr:uid="{00000000-0004-0000-1500-0000A2010000}"/>
    <hyperlink ref="B141" location="FixPlan!A31" display="No Question Headings" xr:uid="{00000000-0004-0000-1500-0000A3010000}"/>
    <hyperlink ref="E141" location="AEO!A1" display="https://africanmarketingconfederation.org/awards-2026-1/::no_question_headings" xr:uid="{00000000-0004-0000-1500-0000A4010000}"/>
    <hyperlink ref="A142" r:id="rId141" xr:uid="{00000000-0004-0000-1500-0000A5010000}"/>
    <hyperlink ref="B142" location="FixPlan!A32" display="No Answer-Friendly Structure" xr:uid="{00000000-0004-0000-1500-0000A6010000}"/>
    <hyperlink ref="E142" location="Technical!A1" display="https://africanmarketingconfederation.org/awards-2026-1/::no_answer-friendly_structure" xr:uid="{00000000-0004-0000-1500-0000A7010000}"/>
    <hyperlink ref="A143" r:id="rId142" xr:uid="{00000000-0004-0000-1500-0000A8010000}"/>
    <hyperlink ref="B143" location="FixPlan!A33" display="No 40-60 Word Answer Paragraphs" xr:uid="{00000000-0004-0000-1500-0000A9010000}"/>
    <hyperlink ref="E143" location="Technical!A1" display="https://africanmarketingconfederation.org/awards-2026-1/::no_40-60_word_answer_paragraphs" xr:uid="{00000000-0004-0000-1500-0000AA010000}"/>
    <hyperlink ref="A144" r:id="rId143" xr:uid="{00000000-0004-0000-1500-0000AB010000}"/>
    <hyperlink ref="B144" location="FixPlan!A34" display="AI Crawlers Not Explicitly Allowed" xr:uid="{00000000-0004-0000-1500-0000AC010000}"/>
    <hyperlink ref="E144" location="Technical!A1" display="https://africanmarketingconfederation.org/awards-2026-1/::ai_crawlers_not_explicitly_allowed" xr:uid="{00000000-0004-0000-1500-0000AD010000}"/>
    <hyperlink ref="A145" r:id="rId144" xr:uid="{00000000-0004-0000-1500-0000AE010000}"/>
    <hyperlink ref="B145" location="FixPlan!A17" display="Multiple H1" xr:uid="{00000000-0004-0000-1500-0000AF010000}"/>
    <hyperlink ref="E145" location="Technical!A1" display="https://africanmarketingconfederation.org/awards-2026-test/::multiple_h1" xr:uid="{00000000-0004-0000-1500-0000B0010000}"/>
    <hyperlink ref="A146" r:id="rId145" xr:uid="{00000000-0004-0000-1500-0000B1010000}"/>
    <hyperlink ref="B146" location="FixPlan!A20" display="Low AEO Readiness Score" xr:uid="{00000000-0004-0000-1500-0000B2010000}"/>
    <hyperlink ref="E146" location="AEO!A1" display="https://africanmarketingconfederation.org/awards-2026-test/::low_aeo_readiness_score" xr:uid="{00000000-0004-0000-1500-0000B3010000}"/>
    <hyperlink ref="A147" r:id="rId146" xr:uid="{00000000-0004-0000-1500-0000B4010000}"/>
    <hyperlink ref="B147" location="FixPlan!A28" display="No Compression Header" xr:uid="{00000000-0004-0000-1500-0000B5010000}"/>
    <hyperlink ref="E147" location="Technical!A1" display="https://africanmarketingconfederation.org/awards-2026-test/::no_compression_header" xr:uid="{00000000-0004-0000-1500-0000B6010000}"/>
    <hyperlink ref="A148" r:id="rId147" xr:uid="{00000000-0004-0000-1500-0000B7010000}"/>
    <hyperlink ref="B148" location="FixPlan!A29" display="No Cache-Control Header" xr:uid="{00000000-0004-0000-1500-0000B8010000}"/>
    <hyperlink ref="E148" location="Technical!A1" display="https://africanmarketingconfederation.org/awards-2026-test/::no_cache-control_header" xr:uid="{00000000-0004-0000-1500-0000B9010000}"/>
    <hyperlink ref="A149" r:id="rId148" xr:uid="{00000000-0004-0000-1500-0000BA010000}"/>
    <hyperlink ref="B149" location="FixPlan!A30" display="No ETag Header" xr:uid="{00000000-0004-0000-1500-0000BB010000}"/>
    <hyperlink ref="E149" location="Technical!A1" display="https://africanmarketingconfederation.org/awards-2026-test/::no_etag_header" xr:uid="{00000000-0004-0000-1500-0000BC010000}"/>
    <hyperlink ref="A150" r:id="rId149" xr:uid="{00000000-0004-0000-1500-0000BD010000}"/>
    <hyperlink ref="B150" location="FixPlan!A31" display="No Question Headings" xr:uid="{00000000-0004-0000-1500-0000BE010000}"/>
    <hyperlink ref="E150" location="AEO!A1" display="https://africanmarketingconfederation.org/awards-2026-test/::no_question_headings" xr:uid="{00000000-0004-0000-1500-0000BF010000}"/>
    <hyperlink ref="A151" r:id="rId150" xr:uid="{00000000-0004-0000-1500-0000C0010000}"/>
    <hyperlink ref="B151" location="FixPlan!A32" display="No Answer-Friendly Structure" xr:uid="{00000000-0004-0000-1500-0000C1010000}"/>
    <hyperlink ref="E151" location="Technical!A1" display="https://africanmarketingconfederation.org/awards-2026-test/::no_answer-friendly_structure" xr:uid="{00000000-0004-0000-1500-0000C2010000}"/>
    <hyperlink ref="A152" r:id="rId151" xr:uid="{00000000-0004-0000-1500-0000C3010000}"/>
    <hyperlink ref="B152" location="FixPlan!A33" display="No 40-60 Word Answer Paragraphs" xr:uid="{00000000-0004-0000-1500-0000C4010000}"/>
    <hyperlink ref="E152" location="Technical!A1" display="https://africanmarketingconfederation.org/awards-2026-test/::no_40-60_word_answer_paragraphs" xr:uid="{00000000-0004-0000-1500-0000C5010000}"/>
    <hyperlink ref="A153" r:id="rId152" xr:uid="{00000000-0004-0000-1500-0000C6010000}"/>
    <hyperlink ref="B153" location="FixPlan!A34" display="AI Crawlers Not Explicitly Allowed" xr:uid="{00000000-0004-0000-1500-0000C7010000}"/>
    <hyperlink ref="E153" location="Technical!A1" display="https://africanmarketingconfederation.org/awards-2026-test/::ai_crawlers_not_explicitly_allowed" xr:uid="{00000000-0004-0000-1500-0000C8010000}"/>
    <hyperlink ref="A154" r:id="rId153" xr:uid="{00000000-0004-0000-1500-0000C9010000}"/>
    <hyperlink ref="B154" location="FixPlan!A17" display="Multiple H1" xr:uid="{00000000-0004-0000-1500-0000CA010000}"/>
    <hyperlink ref="E154" location="Technical!A1" display="https://africanmarketingconfederation.org/speakers-2025/::multiple_h1" xr:uid="{00000000-0004-0000-1500-0000CB010000}"/>
    <hyperlink ref="A155" r:id="rId154" xr:uid="{00000000-0004-0000-1500-0000CC010000}"/>
    <hyperlink ref="B155" location="FixPlan!A20" display="Low AEO Readiness Score" xr:uid="{00000000-0004-0000-1500-0000CD010000}"/>
    <hyperlink ref="E155" location="AEO!A1" display="https://africanmarketingconfederation.org/speakers-2025/::low_aeo_readiness_score" xr:uid="{00000000-0004-0000-1500-0000CE010000}"/>
    <hyperlink ref="A156" r:id="rId155" xr:uid="{00000000-0004-0000-1500-0000CF010000}"/>
    <hyperlink ref="B156" location="FixPlan!A28" display="No Compression Header" xr:uid="{00000000-0004-0000-1500-0000D0010000}"/>
    <hyperlink ref="E156" location="Technical!A1" display="https://africanmarketingconfederation.org/speakers-2025/::no_compression_header" xr:uid="{00000000-0004-0000-1500-0000D1010000}"/>
    <hyperlink ref="A157" r:id="rId156" xr:uid="{00000000-0004-0000-1500-0000D2010000}"/>
    <hyperlink ref="B157" location="FixPlan!A29" display="No Cache-Control Header" xr:uid="{00000000-0004-0000-1500-0000D3010000}"/>
    <hyperlink ref="E157" location="Technical!A1" display="https://africanmarketingconfederation.org/speakers-2025/::no_cache-control_header" xr:uid="{00000000-0004-0000-1500-0000D4010000}"/>
    <hyperlink ref="A158" r:id="rId157" xr:uid="{00000000-0004-0000-1500-0000D5010000}"/>
    <hyperlink ref="B158" location="FixPlan!A30" display="No ETag Header" xr:uid="{00000000-0004-0000-1500-0000D6010000}"/>
    <hyperlink ref="E158" location="Technical!A1" display="https://africanmarketingconfederation.org/speakers-2025/::no_etag_header" xr:uid="{00000000-0004-0000-1500-0000D7010000}"/>
    <hyperlink ref="A159" r:id="rId158" xr:uid="{00000000-0004-0000-1500-0000D8010000}"/>
    <hyperlink ref="B159" location="FixPlan!A31" display="No Question Headings" xr:uid="{00000000-0004-0000-1500-0000D9010000}"/>
    <hyperlink ref="E159" location="AEO!A1" display="https://africanmarketingconfederation.org/speakers-2025/::no_question_headings" xr:uid="{00000000-0004-0000-1500-0000DA010000}"/>
    <hyperlink ref="A160" r:id="rId159" xr:uid="{00000000-0004-0000-1500-0000DB010000}"/>
    <hyperlink ref="B160" location="FixPlan!A32" display="No Answer-Friendly Structure" xr:uid="{00000000-0004-0000-1500-0000DC010000}"/>
    <hyperlink ref="E160" location="Technical!A1" display="https://africanmarketingconfederation.org/speakers-2025/::no_answer-friendly_structure" xr:uid="{00000000-0004-0000-1500-0000DD010000}"/>
    <hyperlink ref="A161" r:id="rId160" xr:uid="{00000000-0004-0000-1500-0000DE010000}"/>
    <hyperlink ref="B161" location="FixPlan!A33" display="No 40-60 Word Answer Paragraphs" xr:uid="{00000000-0004-0000-1500-0000DF010000}"/>
    <hyperlink ref="E161" location="Technical!A1" display="https://africanmarketingconfederation.org/speakers-2025/::no_40-60_word_answer_paragraphs" xr:uid="{00000000-0004-0000-1500-0000E0010000}"/>
    <hyperlink ref="A162" r:id="rId161" xr:uid="{00000000-0004-0000-1500-0000E1010000}"/>
    <hyperlink ref="B162" location="FixPlan!A34" display="AI Crawlers Not Explicitly Allowed" xr:uid="{00000000-0004-0000-1500-0000E2010000}"/>
    <hyperlink ref="E162" location="Technical!A1" display="https://africanmarketingconfederation.org/speakers-2025/::ai_crawlers_not_explicitly_allowed" xr:uid="{00000000-0004-0000-1500-0000E3010000}"/>
    <hyperlink ref="A163" r:id="rId162" xr:uid="{00000000-0004-0000-1500-0000E4010000}"/>
    <hyperlink ref="B163" location="FixPlan!A17" display="Multiple H1" xr:uid="{00000000-0004-0000-1500-0000E5010000}"/>
    <hyperlink ref="E163" location="Technical!A1" display="https://africanmarketingconfederation.org/amc-conference-2026-awards-nominations-thank-you/::multiple_h1" xr:uid="{00000000-0004-0000-1500-0000E6010000}"/>
    <hyperlink ref="A164" r:id="rId163" xr:uid="{00000000-0004-0000-1500-0000E7010000}"/>
    <hyperlink ref="B164" location="FixPlan!A20" display="Low AEO Readiness Score" xr:uid="{00000000-0004-0000-1500-0000E8010000}"/>
    <hyperlink ref="E164" location="AEO!A1" display="https://africanmarketingconfederation.org/amc-conference-2026-awards-nominations-thank-you/::low_aeo_readiness_score" xr:uid="{00000000-0004-0000-1500-0000E9010000}"/>
    <hyperlink ref="A165" r:id="rId164" xr:uid="{00000000-0004-0000-1500-0000EA010000}"/>
    <hyperlink ref="B165" location="FixPlan!A28" display="No Compression Header" xr:uid="{00000000-0004-0000-1500-0000EB010000}"/>
    <hyperlink ref="E165" location="Technical!A1" display="https://africanmarketingconfederation.org/amc-conference-2026-awards-nominations-thank-you/::no_compression_header" xr:uid="{00000000-0004-0000-1500-0000EC010000}"/>
    <hyperlink ref="A166" r:id="rId165" xr:uid="{00000000-0004-0000-1500-0000ED010000}"/>
    <hyperlink ref="B166" location="FixPlan!A29" display="No Cache-Control Header" xr:uid="{00000000-0004-0000-1500-0000EE010000}"/>
    <hyperlink ref="E166" location="Technical!A1" display="https://africanmarketingconfederation.org/amc-conference-2026-awards-nominations-thank-you/::no_cache-control_header" xr:uid="{00000000-0004-0000-1500-0000EF010000}"/>
    <hyperlink ref="A167" r:id="rId166" xr:uid="{00000000-0004-0000-1500-0000F0010000}"/>
    <hyperlink ref="B167" location="FixPlan!A30" display="No ETag Header" xr:uid="{00000000-0004-0000-1500-0000F1010000}"/>
    <hyperlink ref="E167" location="Technical!A1" display="https://africanmarketingconfederation.org/amc-conference-2026-awards-nominations-thank-you/::no_etag_header" xr:uid="{00000000-0004-0000-1500-0000F2010000}"/>
    <hyperlink ref="A168" r:id="rId167" xr:uid="{00000000-0004-0000-1500-0000F3010000}"/>
    <hyperlink ref="B168" location="FixPlan!A35" display="Thin Content" xr:uid="{00000000-0004-0000-1500-0000F4010000}"/>
    <hyperlink ref="E168" location="Technical!A1" display="https://africanmarketingconfederation.org/amc-conference-2026-awards-nominations-thank-you/::thin_content" xr:uid="{00000000-0004-0000-1500-0000F5010000}"/>
    <hyperlink ref="A169" r:id="rId168" xr:uid="{00000000-0004-0000-1500-0000F6010000}"/>
    <hyperlink ref="B169" location="FixPlan!A31" display="No Question Headings" xr:uid="{00000000-0004-0000-1500-0000F7010000}"/>
    <hyperlink ref="E169" location="AEO!A1" display="https://africanmarketingconfederation.org/amc-conference-2026-awards-nominations-thank-you/::no_question_headings" xr:uid="{00000000-0004-0000-1500-0000F8010000}"/>
    <hyperlink ref="A170" r:id="rId169" xr:uid="{00000000-0004-0000-1500-0000F9010000}"/>
    <hyperlink ref="B170" location="FixPlan!A32" display="No Answer-Friendly Structure" xr:uid="{00000000-0004-0000-1500-0000FA010000}"/>
    <hyperlink ref="E170" location="Technical!A1" display="https://africanmarketingconfederation.org/amc-conference-2026-awards-nominations-thank-you/::no_answer-friendly_structure" xr:uid="{00000000-0004-0000-1500-0000FB010000}"/>
    <hyperlink ref="A171" r:id="rId170" xr:uid="{00000000-0004-0000-1500-0000FC010000}"/>
    <hyperlink ref="B171" location="FixPlan!A33" display="No 40-60 Word Answer Paragraphs" xr:uid="{00000000-0004-0000-1500-0000FD010000}"/>
    <hyperlink ref="E171" location="Technical!A1" display="https://africanmarketingconfederation.org/amc-conference-2026-awards-nominations-thank-you/::no_40-60_word_answer_paragraphs" xr:uid="{00000000-0004-0000-1500-0000FE010000}"/>
    <hyperlink ref="A172" r:id="rId171" xr:uid="{00000000-0004-0000-1500-0000FF010000}"/>
    <hyperlink ref="B172" location="FixPlan!A34" display="AI Crawlers Not Explicitly Allowed" xr:uid="{00000000-0004-0000-1500-000000020000}"/>
    <hyperlink ref="E172" location="Technical!A1" display="https://africanmarketingconfederation.org/amc-conference-2026-awards-nominations-thank-you/::ai_crawlers_not_explicitly_allowed" xr:uid="{00000000-0004-0000-1500-000001020000}"/>
    <hyperlink ref="A173" r:id="rId172" xr:uid="{00000000-0004-0000-1500-000002020000}"/>
    <hyperlink ref="B173" location="FixPlan!A17" display="Multiple H1" xr:uid="{00000000-0004-0000-1500-000003020000}"/>
    <hyperlink ref="E173" location="Technical!A1" display="https://africanmarketingconfederation.org/amc-conference-2026-zambia-thank-you/::multiple_h1" xr:uid="{00000000-0004-0000-1500-000004020000}"/>
    <hyperlink ref="A174" r:id="rId173" xr:uid="{00000000-0004-0000-1500-000005020000}"/>
    <hyperlink ref="B174" location="FixPlan!A20" display="Low AEO Readiness Score" xr:uid="{00000000-0004-0000-1500-000006020000}"/>
    <hyperlink ref="E174" location="AEO!A1" display="https://africanmarketingconfederation.org/amc-conference-2026-zambia-thank-you/::low_aeo_readiness_score" xr:uid="{00000000-0004-0000-1500-000007020000}"/>
    <hyperlink ref="A175" r:id="rId174" xr:uid="{00000000-0004-0000-1500-000008020000}"/>
    <hyperlink ref="B175" location="FixPlan!A28" display="No Compression Header" xr:uid="{00000000-0004-0000-1500-000009020000}"/>
    <hyperlink ref="E175" location="Technical!A1" display="https://africanmarketingconfederation.org/amc-conference-2026-zambia-thank-you/::no_compression_header" xr:uid="{00000000-0004-0000-1500-00000A020000}"/>
    <hyperlink ref="A176" r:id="rId175" xr:uid="{00000000-0004-0000-1500-00000B020000}"/>
    <hyperlink ref="B176" location="FixPlan!A29" display="No Cache-Control Header" xr:uid="{00000000-0004-0000-1500-00000C020000}"/>
    <hyperlink ref="E176" location="Technical!A1" display="https://africanmarketingconfederation.org/amc-conference-2026-zambia-thank-you/::no_cache-control_header" xr:uid="{00000000-0004-0000-1500-00000D020000}"/>
    <hyperlink ref="A177" r:id="rId176" xr:uid="{00000000-0004-0000-1500-00000E020000}"/>
    <hyperlink ref="B177" location="FixPlan!A30" display="No ETag Header" xr:uid="{00000000-0004-0000-1500-00000F020000}"/>
    <hyperlink ref="E177" location="Technical!A1" display="https://africanmarketingconfederation.org/amc-conference-2026-zambia-thank-you/::no_etag_header" xr:uid="{00000000-0004-0000-1500-000010020000}"/>
    <hyperlink ref="A178" r:id="rId177" xr:uid="{00000000-0004-0000-1500-000011020000}"/>
    <hyperlink ref="B178" location="FixPlan!A35" display="Thin Content" xr:uid="{00000000-0004-0000-1500-000012020000}"/>
    <hyperlink ref="E178" location="Technical!A1" display="https://africanmarketingconfederation.org/amc-conference-2026-zambia-thank-you/::thin_content" xr:uid="{00000000-0004-0000-1500-000013020000}"/>
    <hyperlink ref="A179" r:id="rId178" xr:uid="{00000000-0004-0000-1500-000014020000}"/>
    <hyperlink ref="B179" location="FixPlan!A31" display="No Question Headings" xr:uid="{00000000-0004-0000-1500-000015020000}"/>
    <hyperlink ref="E179" location="AEO!A1" display="https://africanmarketingconfederation.org/amc-conference-2026-zambia-thank-you/::no_question_headings" xr:uid="{00000000-0004-0000-1500-000016020000}"/>
    <hyperlink ref="A180" r:id="rId179" xr:uid="{00000000-0004-0000-1500-000017020000}"/>
    <hyperlink ref="B180" location="FixPlan!A32" display="No Answer-Friendly Structure" xr:uid="{00000000-0004-0000-1500-000018020000}"/>
    <hyperlink ref="E180" location="Technical!A1" display="https://africanmarketingconfederation.org/amc-conference-2026-zambia-thank-you/::no_answer-friendly_structure" xr:uid="{00000000-0004-0000-1500-000019020000}"/>
    <hyperlink ref="A181" r:id="rId180" xr:uid="{00000000-0004-0000-1500-00001A020000}"/>
    <hyperlink ref="B181" location="FixPlan!A33" display="No 40-60 Word Answer Paragraphs" xr:uid="{00000000-0004-0000-1500-00001B020000}"/>
    <hyperlink ref="E181" location="Technical!A1" display="https://africanmarketingconfederation.org/amc-conference-2026-zambia-thank-you/::no_40-60_word_answer_paragraphs" xr:uid="{00000000-0004-0000-1500-00001C020000}"/>
    <hyperlink ref="A182" r:id="rId181" xr:uid="{00000000-0004-0000-1500-00001D020000}"/>
    <hyperlink ref="B182" location="FixPlan!A34" display="AI Crawlers Not Explicitly Allowed" xr:uid="{00000000-0004-0000-1500-00001E020000}"/>
    <hyperlink ref="E182" location="Technical!A1" display="https://africanmarketingconfederation.org/amc-conference-2026-zambia-thank-you/::ai_crawlers_not_explicitly_allowed" xr:uid="{00000000-0004-0000-1500-00001F020000}"/>
    <hyperlink ref="A183" r:id="rId182" xr:uid="{00000000-0004-0000-1500-000020020000}"/>
    <hyperlink ref="B183" location="FixPlan!A17" display="Multiple H1" xr:uid="{00000000-0004-0000-1500-000021020000}"/>
    <hyperlink ref="E183" location="Technical!A1" display="https://africanmarketingconfederation.org/amc-launch-event-zambia-thank-you-2026/::multiple_h1" xr:uid="{00000000-0004-0000-1500-000022020000}"/>
    <hyperlink ref="A184" r:id="rId183" xr:uid="{00000000-0004-0000-1500-000023020000}"/>
    <hyperlink ref="B184" location="FixPlan!A20" display="Low AEO Readiness Score" xr:uid="{00000000-0004-0000-1500-000024020000}"/>
    <hyperlink ref="E184" location="AEO!A1" display="https://africanmarketingconfederation.org/amc-launch-event-zambia-thank-you-2026/::low_aeo_readiness_score" xr:uid="{00000000-0004-0000-1500-000025020000}"/>
    <hyperlink ref="A185" r:id="rId184" xr:uid="{00000000-0004-0000-1500-000026020000}"/>
    <hyperlink ref="B185" location="FixPlan!A28" display="No Compression Header" xr:uid="{00000000-0004-0000-1500-000027020000}"/>
    <hyperlink ref="E185" location="Technical!A1" display="https://africanmarketingconfederation.org/amc-launch-event-zambia-thank-you-2026/::no_compression_header" xr:uid="{00000000-0004-0000-1500-000028020000}"/>
    <hyperlink ref="A186" r:id="rId185" xr:uid="{00000000-0004-0000-1500-000029020000}"/>
    <hyperlink ref="B186" location="FixPlan!A29" display="No Cache-Control Header" xr:uid="{00000000-0004-0000-1500-00002A020000}"/>
    <hyperlink ref="E186" location="Technical!A1" display="https://africanmarketingconfederation.org/amc-launch-event-zambia-thank-you-2026/::no_cache-control_header" xr:uid="{00000000-0004-0000-1500-00002B020000}"/>
    <hyperlink ref="A187" r:id="rId186" xr:uid="{00000000-0004-0000-1500-00002C020000}"/>
    <hyperlink ref="B187" location="FixPlan!A30" display="No ETag Header" xr:uid="{00000000-0004-0000-1500-00002D020000}"/>
    <hyperlink ref="E187" location="Technical!A1" display="https://africanmarketingconfederation.org/amc-launch-event-zambia-thank-you-2026/::no_etag_header" xr:uid="{00000000-0004-0000-1500-00002E020000}"/>
    <hyperlink ref="A188" r:id="rId187" xr:uid="{00000000-0004-0000-1500-00002F020000}"/>
    <hyperlink ref="B188" location="FixPlan!A35" display="Thin Content" xr:uid="{00000000-0004-0000-1500-000030020000}"/>
    <hyperlink ref="E188" location="Technical!A1" display="https://africanmarketingconfederation.org/amc-launch-event-zambia-thank-you-2026/::thin_content" xr:uid="{00000000-0004-0000-1500-000031020000}"/>
    <hyperlink ref="A189" r:id="rId188" xr:uid="{00000000-0004-0000-1500-000032020000}"/>
    <hyperlink ref="B189" location="FixPlan!A31" display="No Question Headings" xr:uid="{00000000-0004-0000-1500-000033020000}"/>
    <hyperlink ref="E189" location="AEO!A1" display="https://africanmarketingconfederation.org/amc-launch-event-zambia-thank-you-2026/::no_question_headings" xr:uid="{00000000-0004-0000-1500-000034020000}"/>
    <hyperlink ref="A190" r:id="rId189" xr:uid="{00000000-0004-0000-1500-000035020000}"/>
    <hyperlink ref="B190" location="FixPlan!A32" display="No Answer-Friendly Structure" xr:uid="{00000000-0004-0000-1500-000036020000}"/>
    <hyperlink ref="E190" location="Technical!A1" display="https://africanmarketingconfederation.org/amc-launch-event-zambia-thank-you-2026/::no_answer-friendly_structure" xr:uid="{00000000-0004-0000-1500-000037020000}"/>
    <hyperlink ref="A191" r:id="rId190" xr:uid="{00000000-0004-0000-1500-000038020000}"/>
    <hyperlink ref="B191" location="FixPlan!A33" display="No 40-60 Word Answer Paragraphs" xr:uid="{00000000-0004-0000-1500-000039020000}"/>
    <hyperlink ref="E191" location="Technical!A1" display="https://africanmarketingconfederation.org/amc-launch-event-zambia-thank-you-2026/::no_40-60_word_answer_paragraphs" xr:uid="{00000000-0004-0000-1500-00003A020000}"/>
    <hyperlink ref="A192" r:id="rId191" xr:uid="{00000000-0004-0000-1500-00003B020000}"/>
    <hyperlink ref="B192" location="FixPlan!A34" display="AI Crawlers Not Explicitly Allowed" xr:uid="{00000000-0004-0000-1500-00003C020000}"/>
    <hyperlink ref="E192" location="Technical!A1" display="https://africanmarketingconfederation.org/amc-launch-event-zambia-thank-you-2026/::ai_crawlers_not_explicitly_allowed" xr:uid="{00000000-0004-0000-1500-00003D020000}"/>
    <hyperlink ref="A193" r:id="rId192" xr:uid="{00000000-0004-0000-1500-00003E020000}"/>
    <hyperlink ref="B193" location="FixPlan!A20" display="Low AEO Readiness Score" xr:uid="{00000000-0004-0000-1500-00003F020000}"/>
    <hyperlink ref="E193" location="AEO!A1" display="https://africanmarketingconfederation.org/amc-marketing-conference-2024/awards-2025/::low_aeo_readiness_score" xr:uid="{00000000-0004-0000-1500-000040020000}"/>
    <hyperlink ref="A194" r:id="rId193" xr:uid="{00000000-0004-0000-1500-000041020000}"/>
    <hyperlink ref="B194" location="FixPlan!A28" display="No Compression Header" xr:uid="{00000000-0004-0000-1500-000042020000}"/>
    <hyperlink ref="E194" location="Technical!A1" display="https://africanmarketingconfederation.org/amc-marketing-conference-2024/awards-2025/::no_compression_header" xr:uid="{00000000-0004-0000-1500-000043020000}"/>
    <hyperlink ref="A195" r:id="rId194" xr:uid="{00000000-0004-0000-1500-000044020000}"/>
    <hyperlink ref="B195" location="FixPlan!A29" display="No Cache-Control Header" xr:uid="{00000000-0004-0000-1500-000045020000}"/>
    <hyperlink ref="E195" location="Technical!A1" display="https://africanmarketingconfederation.org/amc-marketing-conference-2024/awards-2025/::no_cache-control_header" xr:uid="{00000000-0004-0000-1500-000046020000}"/>
    <hyperlink ref="A196" r:id="rId195" xr:uid="{00000000-0004-0000-1500-000047020000}"/>
    <hyperlink ref="B196" location="FixPlan!A30" display="No ETag Header" xr:uid="{00000000-0004-0000-1500-000048020000}"/>
    <hyperlink ref="E196" location="Technical!A1" display="https://africanmarketingconfederation.org/amc-marketing-conference-2024/awards-2025/::no_etag_header" xr:uid="{00000000-0004-0000-1500-000049020000}"/>
    <hyperlink ref="A197" r:id="rId196" xr:uid="{00000000-0004-0000-1500-00004A020000}"/>
    <hyperlink ref="B197" location="FixPlan!A31" display="No Question Headings" xr:uid="{00000000-0004-0000-1500-00004B020000}"/>
    <hyperlink ref="E197" location="AEO!A1" display="https://africanmarketingconfederation.org/amc-marketing-conference-2024/awards-2025/::no_question_headings" xr:uid="{00000000-0004-0000-1500-00004C020000}"/>
    <hyperlink ref="A198" r:id="rId197" xr:uid="{00000000-0004-0000-1500-00004D020000}"/>
    <hyperlink ref="B198" location="FixPlan!A32" display="No Answer-Friendly Structure" xr:uid="{00000000-0004-0000-1500-00004E020000}"/>
    <hyperlink ref="E198" location="Technical!A1" display="https://africanmarketingconfederation.org/amc-marketing-conference-2024/awards-2025/::no_answer-friendly_structure" xr:uid="{00000000-0004-0000-1500-00004F020000}"/>
    <hyperlink ref="A199" r:id="rId198" xr:uid="{00000000-0004-0000-1500-000050020000}"/>
    <hyperlink ref="B199" location="FixPlan!A33" display="No 40-60 Word Answer Paragraphs" xr:uid="{00000000-0004-0000-1500-000051020000}"/>
    <hyperlink ref="E199" location="Technical!A1" display="https://africanmarketingconfederation.org/amc-marketing-conference-2024/awards-2025/::no_40-60_word_answer_paragraphs" xr:uid="{00000000-0004-0000-1500-000052020000}"/>
    <hyperlink ref="A200" r:id="rId199" xr:uid="{00000000-0004-0000-1500-000053020000}"/>
    <hyperlink ref="B200" location="FixPlan!A34" display="AI Crawlers Not Explicitly Allowed" xr:uid="{00000000-0004-0000-1500-000054020000}"/>
    <hyperlink ref="E200" location="Technical!A1" display="https://africanmarketingconfederation.org/amc-marketing-conference-2024/awards-2025/::ai_crawlers_not_explicitly_allowed" xr:uid="{00000000-0004-0000-1500-000055020000}"/>
    <hyperlink ref="A201" r:id="rId200" xr:uid="{00000000-0004-0000-1500-000056020000}"/>
    <hyperlink ref="B201" location="FixPlan!A17" display="Multiple H1" xr:uid="{00000000-0004-0000-1500-000057020000}"/>
    <hyperlink ref="E201" location="Technical!A1" display="https://africanmarketingconfederation.org/amc-conference-2025-highlights/::multiple_h1" xr:uid="{00000000-0004-0000-1500-000058020000}"/>
    <hyperlink ref="A202" r:id="rId201" xr:uid="{00000000-0004-0000-1500-000059020000}"/>
    <hyperlink ref="B202" location="FixPlan!A20" display="Low AEO Readiness Score" xr:uid="{00000000-0004-0000-1500-00005A020000}"/>
    <hyperlink ref="E202" location="AEO!A1" display="https://africanmarketingconfederation.org/amc-conference-2025-highlights/::low_aeo_readiness_score" xr:uid="{00000000-0004-0000-1500-00005B020000}"/>
    <hyperlink ref="A203" r:id="rId202" xr:uid="{00000000-0004-0000-1500-00005C020000}"/>
    <hyperlink ref="B203" location="FixPlan!A26" display="Image Filename Quality Issues" xr:uid="{00000000-0004-0000-1500-00005D020000}"/>
    <hyperlink ref="E203" location="Technical!A1" display="https://africanmarketingconfederation.org/amc-conference-2025-highlights/::image_filename_quality_issues" xr:uid="{00000000-0004-0000-1500-00005E020000}"/>
    <hyperlink ref="A204" r:id="rId203" xr:uid="{00000000-0004-0000-1500-00005F020000}"/>
    <hyperlink ref="B204" location="FixPlan!A28" display="No Compression Header" xr:uid="{00000000-0004-0000-1500-000060020000}"/>
    <hyperlink ref="E204" location="Technical!A1" display="https://africanmarketingconfederation.org/amc-conference-2025-highlights/::no_compression_header" xr:uid="{00000000-0004-0000-1500-000061020000}"/>
    <hyperlink ref="A205" r:id="rId204" xr:uid="{00000000-0004-0000-1500-000062020000}"/>
    <hyperlink ref="B205" location="FixPlan!A29" display="No Cache-Control Header" xr:uid="{00000000-0004-0000-1500-000063020000}"/>
    <hyperlink ref="E205" location="Technical!A1" display="https://africanmarketingconfederation.org/amc-conference-2025-highlights/::no_cache-control_header" xr:uid="{00000000-0004-0000-1500-000064020000}"/>
    <hyperlink ref="A206" r:id="rId205" xr:uid="{00000000-0004-0000-1500-000065020000}"/>
    <hyperlink ref="B206" location="FixPlan!A30" display="No ETag Header" xr:uid="{00000000-0004-0000-1500-000066020000}"/>
    <hyperlink ref="E206" location="Technical!A1" display="https://africanmarketingconfederation.org/amc-conference-2025-highlights/::no_etag_header" xr:uid="{00000000-0004-0000-1500-000067020000}"/>
    <hyperlink ref="A207" r:id="rId206" xr:uid="{00000000-0004-0000-1500-000068020000}"/>
    <hyperlink ref="B207" location="FixPlan!A31" display="No Question Headings" xr:uid="{00000000-0004-0000-1500-000069020000}"/>
    <hyperlink ref="E207" location="AEO!A1" display="https://africanmarketingconfederation.org/amc-conference-2025-highlights/::no_question_headings" xr:uid="{00000000-0004-0000-1500-00006A020000}"/>
    <hyperlink ref="A208" r:id="rId207" xr:uid="{00000000-0004-0000-1500-00006B020000}"/>
    <hyperlink ref="B208" location="FixPlan!A32" display="No Answer-Friendly Structure" xr:uid="{00000000-0004-0000-1500-00006C020000}"/>
    <hyperlink ref="E208" location="Technical!A1" display="https://africanmarketingconfederation.org/amc-conference-2025-highlights/::no_answer-friendly_structure" xr:uid="{00000000-0004-0000-1500-00006D020000}"/>
    <hyperlink ref="A209" r:id="rId208" xr:uid="{00000000-0004-0000-1500-00006E020000}"/>
    <hyperlink ref="B209" location="FixPlan!A33" display="No 40-60 Word Answer Paragraphs" xr:uid="{00000000-0004-0000-1500-00006F020000}"/>
    <hyperlink ref="E209" location="Technical!A1" display="https://africanmarketingconfederation.org/amc-conference-2025-highlights/::no_40-60_word_answer_paragraphs" xr:uid="{00000000-0004-0000-1500-000070020000}"/>
    <hyperlink ref="A210" r:id="rId209" xr:uid="{00000000-0004-0000-1500-000071020000}"/>
    <hyperlink ref="B210" location="FixPlan!A34" display="AI Crawlers Not Explicitly Allowed" xr:uid="{00000000-0004-0000-1500-000072020000}"/>
    <hyperlink ref="E210" location="Technical!A1" display="https://africanmarketingconfederation.org/amc-conference-2025-highlights/::ai_crawlers_not_explicitly_allowed" xr:uid="{00000000-0004-0000-1500-000073020000}"/>
    <hyperlink ref="A211" r:id="rId210" xr:uid="{00000000-0004-0000-1500-000074020000}"/>
    <hyperlink ref="B211" location="FixPlan!A19" display="Missing H1" xr:uid="{00000000-0004-0000-1500-000075020000}"/>
    <hyperlink ref="E211" location="Technical!A1" display="https://africanmarketingconfederation.org/amc-conference-2022/::missing_h1" xr:uid="{00000000-0004-0000-1500-000076020000}"/>
    <hyperlink ref="A212" r:id="rId211" xr:uid="{00000000-0004-0000-1500-000077020000}"/>
    <hyperlink ref="B212" location="FixPlan!A20" display="Low AEO Readiness Score" xr:uid="{00000000-0004-0000-1500-000078020000}"/>
    <hyperlink ref="E212" location="AEO!A1" display="https://africanmarketingconfederation.org/amc-conference-2022/::low_aeo_readiness_score" xr:uid="{00000000-0004-0000-1500-000079020000}"/>
    <hyperlink ref="A213" r:id="rId212" xr:uid="{00000000-0004-0000-1500-00007A020000}"/>
    <hyperlink ref="B213" location="FixPlan!A28" display="No Compression Header" xr:uid="{00000000-0004-0000-1500-00007B020000}"/>
    <hyperlink ref="E213" location="Technical!A1" display="https://africanmarketingconfederation.org/amc-conference-2022/::no_compression_header" xr:uid="{00000000-0004-0000-1500-00007C020000}"/>
    <hyperlink ref="A214" r:id="rId213" xr:uid="{00000000-0004-0000-1500-00007D020000}"/>
    <hyperlink ref="B214" location="FixPlan!A29" display="No Cache-Control Header" xr:uid="{00000000-0004-0000-1500-00007E020000}"/>
    <hyperlink ref="E214" location="Technical!A1" display="https://africanmarketingconfederation.org/amc-conference-2022/::no_cache-control_header" xr:uid="{00000000-0004-0000-1500-00007F020000}"/>
    <hyperlink ref="A215" r:id="rId214" xr:uid="{00000000-0004-0000-1500-000080020000}"/>
    <hyperlink ref="B215" location="FixPlan!A30" display="No ETag Header" xr:uid="{00000000-0004-0000-1500-000081020000}"/>
    <hyperlink ref="E215" location="Technical!A1" display="https://africanmarketingconfederation.org/amc-conference-2022/::no_etag_header" xr:uid="{00000000-0004-0000-1500-000082020000}"/>
    <hyperlink ref="A216" r:id="rId215" xr:uid="{00000000-0004-0000-1500-000083020000}"/>
    <hyperlink ref="B216" location="FixPlan!A35" display="Thin Content" xr:uid="{00000000-0004-0000-1500-000084020000}"/>
    <hyperlink ref="E216" location="Technical!A1" display="https://africanmarketingconfederation.org/amc-conference-2022/::thin_content" xr:uid="{00000000-0004-0000-1500-000085020000}"/>
    <hyperlink ref="A217" r:id="rId216" xr:uid="{00000000-0004-0000-1500-000086020000}"/>
    <hyperlink ref="B217" location="FixPlan!A31" display="No Question Headings" xr:uid="{00000000-0004-0000-1500-000087020000}"/>
    <hyperlink ref="E217" location="AEO!A1" display="https://africanmarketingconfederation.org/amc-conference-2022/::no_question_headings" xr:uid="{00000000-0004-0000-1500-000088020000}"/>
    <hyperlink ref="A218" r:id="rId217" xr:uid="{00000000-0004-0000-1500-000089020000}"/>
    <hyperlink ref="B218" location="FixPlan!A32" display="No Answer-Friendly Structure" xr:uid="{00000000-0004-0000-1500-00008A020000}"/>
    <hyperlink ref="E218" location="Technical!A1" display="https://africanmarketingconfederation.org/amc-conference-2022/::no_answer-friendly_structure" xr:uid="{00000000-0004-0000-1500-00008B020000}"/>
    <hyperlink ref="A219" r:id="rId218" xr:uid="{00000000-0004-0000-1500-00008C020000}"/>
    <hyperlink ref="B219" location="FixPlan!A33" display="No 40-60 Word Answer Paragraphs" xr:uid="{00000000-0004-0000-1500-00008D020000}"/>
    <hyperlink ref="E219" location="Technical!A1" display="https://africanmarketingconfederation.org/amc-conference-2022/::no_40-60_word_answer_paragraphs" xr:uid="{00000000-0004-0000-1500-00008E020000}"/>
    <hyperlink ref="A220" r:id="rId219" xr:uid="{00000000-0004-0000-1500-00008F020000}"/>
    <hyperlink ref="B220" location="FixPlan!A34" display="AI Crawlers Not Explicitly Allowed" xr:uid="{00000000-0004-0000-1500-000090020000}"/>
    <hyperlink ref="E220" location="Technical!A1" display="https://africanmarketingconfederation.org/amc-conference-2022/::ai_crawlers_not_explicitly_allowed" xr:uid="{00000000-0004-0000-1500-000091020000}"/>
    <hyperlink ref="A221" r:id="rId220" xr:uid="{00000000-0004-0000-1500-000092020000}"/>
    <hyperlink ref="B221" location="FixPlan!A20" display="Low AEO Readiness Score" xr:uid="{00000000-0004-0000-1500-000093020000}"/>
    <hyperlink ref="E221" location="AEO!A1" display="https://africanmarketingconfederation.org/amc-conference-2023/gallery/::low_aeo_readiness_score" xr:uid="{00000000-0004-0000-1500-000094020000}"/>
    <hyperlink ref="A222" r:id="rId221" xr:uid="{00000000-0004-0000-1500-000095020000}"/>
    <hyperlink ref="B222" location="FixPlan!A28" display="No Compression Header" xr:uid="{00000000-0004-0000-1500-000096020000}"/>
    <hyperlink ref="E222" location="Technical!A1" display="https://africanmarketingconfederation.org/amc-conference-2023/gallery/::no_compression_header" xr:uid="{00000000-0004-0000-1500-000097020000}"/>
    <hyperlink ref="A223" r:id="rId222" xr:uid="{00000000-0004-0000-1500-000098020000}"/>
    <hyperlink ref="B223" location="FixPlan!A29" display="No Cache-Control Header" xr:uid="{00000000-0004-0000-1500-000099020000}"/>
    <hyperlink ref="E223" location="Technical!A1" display="https://africanmarketingconfederation.org/amc-conference-2023/gallery/::no_cache-control_header" xr:uid="{00000000-0004-0000-1500-00009A020000}"/>
    <hyperlink ref="A224" r:id="rId223" xr:uid="{00000000-0004-0000-1500-00009B020000}"/>
    <hyperlink ref="B224" location="FixPlan!A30" display="No ETag Header" xr:uid="{00000000-0004-0000-1500-00009C020000}"/>
    <hyperlink ref="E224" location="Technical!A1" display="https://africanmarketingconfederation.org/amc-conference-2023/gallery/::no_etag_header" xr:uid="{00000000-0004-0000-1500-00009D020000}"/>
    <hyperlink ref="A225" r:id="rId224" xr:uid="{00000000-0004-0000-1500-00009E020000}"/>
    <hyperlink ref="B225" location="FixPlan!A35" display="Thin Content" xr:uid="{00000000-0004-0000-1500-00009F020000}"/>
    <hyperlink ref="E225" location="Technical!A1" display="https://africanmarketingconfederation.org/amc-conference-2023/gallery/::thin_content" xr:uid="{00000000-0004-0000-1500-0000A0020000}"/>
    <hyperlink ref="A226" r:id="rId225" xr:uid="{00000000-0004-0000-1500-0000A1020000}"/>
    <hyperlink ref="B226" location="FixPlan!A31" display="No Question Headings" xr:uid="{00000000-0004-0000-1500-0000A2020000}"/>
    <hyperlink ref="E226" location="AEO!A1" display="https://africanmarketingconfederation.org/amc-conference-2023/gallery/::no_question_headings" xr:uid="{00000000-0004-0000-1500-0000A3020000}"/>
    <hyperlink ref="A227" r:id="rId226" xr:uid="{00000000-0004-0000-1500-0000A4020000}"/>
    <hyperlink ref="B227" location="FixPlan!A32" display="No Answer-Friendly Structure" xr:uid="{00000000-0004-0000-1500-0000A5020000}"/>
    <hyperlink ref="E227" location="Technical!A1" display="https://africanmarketingconfederation.org/amc-conference-2023/gallery/::no_answer-friendly_structure" xr:uid="{00000000-0004-0000-1500-0000A6020000}"/>
    <hyperlink ref="A228" r:id="rId227" xr:uid="{00000000-0004-0000-1500-0000A7020000}"/>
    <hyperlink ref="B228" location="FixPlan!A33" display="No 40-60 Word Answer Paragraphs" xr:uid="{00000000-0004-0000-1500-0000A8020000}"/>
    <hyperlink ref="E228" location="Technical!A1" display="https://africanmarketingconfederation.org/amc-conference-2023/gallery/::no_40-60_word_answer_paragraphs" xr:uid="{00000000-0004-0000-1500-0000A9020000}"/>
    <hyperlink ref="A229" r:id="rId228" xr:uid="{00000000-0004-0000-1500-0000AA020000}"/>
    <hyperlink ref="B229" location="FixPlan!A34" display="AI Crawlers Not Explicitly Allowed" xr:uid="{00000000-0004-0000-1500-0000AB020000}"/>
    <hyperlink ref="E229" location="Technical!A1" display="https://africanmarketingconfederation.org/amc-conference-2023/gallery/::ai_crawlers_not_explicitly_allowed" xr:uid="{00000000-0004-0000-1500-0000AC020000}"/>
    <hyperlink ref="A230" r:id="rId229" xr:uid="{00000000-0004-0000-1500-0000AD020000}"/>
    <hyperlink ref="B230" location="FixPlan!A20" display="Low AEO Readiness Score" xr:uid="{00000000-0004-0000-1500-0000AE020000}"/>
    <hyperlink ref="E230" location="AEO!A1" display="https://africanmarketingconfederation.org/conference-registrations-2024/::low_aeo_readiness_score" xr:uid="{00000000-0004-0000-1500-0000AF020000}"/>
    <hyperlink ref="A231" r:id="rId230" xr:uid="{00000000-0004-0000-1500-0000B0020000}"/>
    <hyperlink ref="B231" location="FixPlan!A28" display="No Compression Header" xr:uid="{00000000-0004-0000-1500-0000B1020000}"/>
    <hyperlink ref="E231" location="Technical!A1" display="https://africanmarketingconfederation.org/conference-registrations-2024/::no_compression_header" xr:uid="{00000000-0004-0000-1500-0000B2020000}"/>
    <hyperlink ref="A232" r:id="rId231" xr:uid="{00000000-0004-0000-1500-0000B3020000}"/>
    <hyperlink ref="B232" location="FixPlan!A29" display="No Cache-Control Header" xr:uid="{00000000-0004-0000-1500-0000B4020000}"/>
    <hyperlink ref="E232" location="Technical!A1" display="https://africanmarketingconfederation.org/conference-registrations-2024/::no_cache-control_header" xr:uid="{00000000-0004-0000-1500-0000B5020000}"/>
    <hyperlink ref="A233" r:id="rId232" xr:uid="{00000000-0004-0000-1500-0000B6020000}"/>
    <hyperlink ref="B233" location="FixPlan!A30" display="No ETag Header" xr:uid="{00000000-0004-0000-1500-0000B7020000}"/>
    <hyperlink ref="E233" location="Technical!A1" display="https://africanmarketingconfederation.org/conference-registrations-2024/::no_etag_header" xr:uid="{00000000-0004-0000-1500-0000B8020000}"/>
    <hyperlink ref="A234" r:id="rId233" xr:uid="{00000000-0004-0000-1500-0000B9020000}"/>
    <hyperlink ref="B234" location="FixPlan!A31" display="No Question Headings" xr:uid="{00000000-0004-0000-1500-0000BA020000}"/>
    <hyperlink ref="E234" location="AEO!A1" display="https://africanmarketingconfederation.org/conference-registrations-2024/::no_question_headings" xr:uid="{00000000-0004-0000-1500-0000BB020000}"/>
    <hyperlink ref="A235" r:id="rId234" xr:uid="{00000000-0004-0000-1500-0000BC020000}"/>
    <hyperlink ref="B235" location="FixPlan!A32" display="No Answer-Friendly Structure" xr:uid="{00000000-0004-0000-1500-0000BD020000}"/>
    <hyperlink ref="E235" location="Technical!A1" display="https://africanmarketingconfederation.org/conference-registrations-2024/::no_answer-friendly_structure" xr:uid="{00000000-0004-0000-1500-0000BE020000}"/>
    <hyperlink ref="A236" r:id="rId235" xr:uid="{00000000-0004-0000-1500-0000BF020000}"/>
    <hyperlink ref="B236" location="FixPlan!A33" display="No 40-60 Word Answer Paragraphs" xr:uid="{00000000-0004-0000-1500-0000C0020000}"/>
    <hyperlink ref="E236" location="Technical!A1" display="https://africanmarketingconfederation.org/conference-registrations-2024/::no_40-60_word_answer_paragraphs" xr:uid="{00000000-0004-0000-1500-0000C1020000}"/>
    <hyperlink ref="A237" r:id="rId236" xr:uid="{00000000-0004-0000-1500-0000C2020000}"/>
    <hyperlink ref="B237" location="FixPlan!A34" display="AI Crawlers Not Explicitly Allowed" xr:uid="{00000000-0004-0000-1500-0000C3020000}"/>
    <hyperlink ref="E237" location="Technical!A1" display="https://africanmarketingconfederation.org/conference-registrations-2024/::ai_crawlers_not_explicitly_allowed" xr:uid="{00000000-0004-0000-1500-0000C4020000}"/>
    <hyperlink ref="A238" r:id="rId237" xr:uid="{00000000-0004-0000-1500-0000C5020000}"/>
    <hyperlink ref="B238" location="FixPlan!A20" display="Low AEO Readiness Score" xr:uid="{00000000-0004-0000-1500-0000C6020000}"/>
    <hyperlink ref="E238" location="AEO!A1" display="https://africanmarketingconfederation.org/elementor-31820/::low_aeo_readiness_score" xr:uid="{00000000-0004-0000-1500-0000C7020000}"/>
    <hyperlink ref="A239" r:id="rId238" xr:uid="{00000000-0004-0000-1500-0000C8020000}"/>
    <hyperlink ref="B239" location="FixPlan!A28" display="No Compression Header" xr:uid="{00000000-0004-0000-1500-0000C9020000}"/>
    <hyperlink ref="E239" location="Technical!A1" display="https://africanmarketingconfederation.org/elementor-31820/::no_compression_header" xr:uid="{00000000-0004-0000-1500-0000CA020000}"/>
    <hyperlink ref="A240" r:id="rId239" xr:uid="{00000000-0004-0000-1500-0000CB020000}"/>
    <hyperlink ref="B240" location="FixPlan!A29" display="No Cache-Control Header" xr:uid="{00000000-0004-0000-1500-0000CC020000}"/>
    <hyperlink ref="E240" location="Technical!A1" display="https://africanmarketingconfederation.org/elementor-31820/::no_cache-control_header" xr:uid="{00000000-0004-0000-1500-0000CD020000}"/>
    <hyperlink ref="A241" r:id="rId240" xr:uid="{00000000-0004-0000-1500-0000CE020000}"/>
    <hyperlink ref="B241" location="FixPlan!A30" display="No ETag Header" xr:uid="{00000000-0004-0000-1500-0000CF020000}"/>
    <hyperlink ref="E241" location="Technical!A1" display="https://africanmarketingconfederation.org/elementor-31820/::no_etag_header" xr:uid="{00000000-0004-0000-1500-0000D0020000}"/>
    <hyperlink ref="A242" r:id="rId241" xr:uid="{00000000-0004-0000-1500-0000D1020000}"/>
    <hyperlink ref="B242" location="FixPlan!A31" display="No Question Headings" xr:uid="{00000000-0004-0000-1500-0000D2020000}"/>
    <hyperlink ref="E242" location="AEO!A1" display="https://africanmarketingconfederation.org/elementor-31820/::no_question_headings" xr:uid="{00000000-0004-0000-1500-0000D3020000}"/>
    <hyperlink ref="A243" r:id="rId242" xr:uid="{00000000-0004-0000-1500-0000D4020000}"/>
    <hyperlink ref="B243" location="FixPlan!A32" display="No Answer-Friendly Structure" xr:uid="{00000000-0004-0000-1500-0000D5020000}"/>
    <hyperlink ref="E243" location="Technical!A1" display="https://africanmarketingconfederation.org/elementor-31820/::no_answer-friendly_structure" xr:uid="{00000000-0004-0000-1500-0000D6020000}"/>
    <hyperlink ref="A244" r:id="rId243" xr:uid="{00000000-0004-0000-1500-0000D7020000}"/>
    <hyperlink ref="B244" location="FixPlan!A33" display="No 40-60 Word Answer Paragraphs" xr:uid="{00000000-0004-0000-1500-0000D8020000}"/>
    <hyperlink ref="E244" location="Technical!A1" display="https://africanmarketingconfederation.org/elementor-31820/::no_40-60_word_answer_paragraphs" xr:uid="{00000000-0004-0000-1500-0000D9020000}"/>
    <hyperlink ref="A245" r:id="rId244" xr:uid="{00000000-0004-0000-1500-0000DA020000}"/>
    <hyperlink ref="B245" location="FixPlan!A34" display="AI Crawlers Not Explicitly Allowed" xr:uid="{00000000-0004-0000-1500-0000DB020000}"/>
    <hyperlink ref="E245" location="Technical!A1" display="https://africanmarketingconfederation.org/elementor-31820/::ai_crawlers_not_explicitly_allowed" xr:uid="{00000000-0004-0000-1500-0000DC020000}"/>
    <hyperlink ref="A246" r:id="rId245" xr:uid="{00000000-0004-0000-1500-0000DD020000}"/>
    <hyperlink ref="B246" location="FixPlan!A17" display="Multiple H1" xr:uid="{00000000-0004-0000-1500-0000DE020000}"/>
    <hyperlink ref="E246" location="Technical!A1" display="https://africanmarketingconfederation.org/amc-conference-2024-recap/::multiple_h1" xr:uid="{00000000-0004-0000-1500-0000DF020000}"/>
    <hyperlink ref="A247" r:id="rId246" xr:uid="{00000000-0004-0000-1500-0000E0020000}"/>
    <hyperlink ref="B247" location="FixPlan!A20" display="Low AEO Readiness Score" xr:uid="{00000000-0004-0000-1500-0000E1020000}"/>
    <hyperlink ref="E247" location="AEO!A1" display="https://africanmarketingconfederation.org/amc-conference-2024-recap/::low_aeo_readiness_score" xr:uid="{00000000-0004-0000-1500-0000E2020000}"/>
    <hyperlink ref="A248" r:id="rId247" xr:uid="{00000000-0004-0000-1500-0000E3020000}"/>
    <hyperlink ref="B248" location="FixPlan!A28" display="No Compression Header" xr:uid="{00000000-0004-0000-1500-0000E4020000}"/>
    <hyperlink ref="E248" location="Technical!A1" display="https://africanmarketingconfederation.org/amc-conference-2024-recap/::no_compression_header" xr:uid="{00000000-0004-0000-1500-0000E5020000}"/>
    <hyperlink ref="A249" r:id="rId248" xr:uid="{00000000-0004-0000-1500-0000E6020000}"/>
    <hyperlink ref="B249" location="FixPlan!A29" display="No Cache-Control Header" xr:uid="{00000000-0004-0000-1500-0000E7020000}"/>
    <hyperlink ref="E249" location="Technical!A1" display="https://africanmarketingconfederation.org/amc-conference-2024-recap/::no_cache-control_header" xr:uid="{00000000-0004-0000-1500-0000E8020000}"/>
    <hyperlink ref="A250" r:id="rId249" xr:uid="{00000000-0004-0000-1500-0000E9020000}"/>
    <hyperlink ref="B250" location="FixPlan!A30" display="No ETag Header" xr:uid="{00000000-0004-0000-1500-0000EA020000}"/>
    <hyperlink ref="E250" location="Technical!A1" display="https://africanmarketingconfederation.org/amc-conference-2024-recap/::no_etag_header" xr:uid="{00000000-0004-0000-1500-0000EB020000}"/>
    <hyperlink ref="A251" r:id="rId250" xr:uid="{00000000-0004-0000-1500-0000EC020000}"/>
    <hyperlink ref="B251" location="FixPlan!A31" display="No Question Headings" xr:uid="{00000000-0004-0000-1500-0000ED020000}"/>
    <hyperlink ref="E251" location="AEO!A1" display="https://africanmarketingconfederation.org/amc-conference-2024-recap/::no_question_headings" xr:uid="{00000000-0004-0000-1500-0000EE020000}"/>
    <hyperlink ref="A252" r:id="rId251" xr:uid="{00000000-0004-0000-1500-0000EF020000}"/>
    <hyperlink ref="B252" location="FixPlan!A32" display="No Answer-Friendly Structure" xr:uid="{00000000-0004-0000-1500-0000F0020000}"/>
    <hyperlink ref="E252" location="Technical!A1" display="https://africanmarketingconfederation.org/amc-conference-2024-recap/::no_answer-friendly_structure" xr:uid="{00000000-0004-0000-1500-0000F1020000}"/>
    <hyperlink ref="A253" r:id="rId252" xr:uid="{00000000-0004-0000-1500-0000F2020000}"/>
    <hyperlink ref="B253" location="FixPlan!A33" display="No 40-60 Word Answer Paragraphs" xr:uid="{00000000-0004-0000-1500-0000F3020000}"/>
    <hyperlink ref="E253" location="Technical!A1" display="https://africanmarketingconfederation.org/amc-conference-2024-recap/::no_40-60_word_answer_paragraphs" xr:uid="{00000000-0004-0000-1500-0000F4020000}"/>
    <hyperlink ref="A254" r:id="rId253" xr:uid="{00000000-0004-0000-1500-0000F5020000}"/>
    <hyperlink ref="B254" location="FixPlan!A34" display="AI Crawlers Not Explicitly Allowed" xr:uid="{00000000-0004-0000-1500-0000F6020000}"/>
    <hyperlink ref="E254" location="Technical!A1" display="https://africanmarketingconfederation.org/amc-conference-2024-recap/::ai_crawlers_not_explicitly_allowed" xr:uid="{00000000-0004-0000-1500-0000F7020000}"/>
    <hyperlink ref="A255" r:id="rId254" xr:uid="{00000000-0004-0000-1500-0000F8020000}"/>
    <hyperlink ref="B255" location="FixPlan!A17" display="Multiple H1" xr:uid="{00000000-0004-0000-1500-0000F9020000}"/>
    <hyperlink ref="E255" location="Technical!A1" display="https://africanmarketingconfederation.org/amc-marketing-conference-2024/amc-programme-2025/::multiple_h1" xr:uid="{00000000-0004-0000-1500-0000FA020000}"/>
    <hyperlink ref="A256" r:id="rId255" xr:uid="{00000000-0004-0000-1500-0000FB020000}"/>
    <hyperlink ref="B256" location="FixPlan!A20" display="Low AEO Readiness Score" xr:uid="{00000000-0004-0000-1500-0000FC020000}"/>
    <hyperlink ref="E256" location="AEO!A1" display="https://africanmarketingconfederation.org/amc-marketing-conference-2024/amc-programme-2025/::low_aeo_readiness_score" xr:uid="{00000000-0004-0000-1500-0000FD020000}"/>
    <hyperlink ref="A257" r:id="rId256" xr:uid="{00000000-0004-0000-1500-0000FE020000}"/>
    <hyperlink ref="B257" location="FixPlan!A28" display="No Compression Header" xr:uid="{00000000-0004-0000-1500-0000FF020000}"/>
    <hyperlink ref="E257" location="Technical!A1" display="https://africanmarketingconfederation.org/amc-marketing-conference-2024/amc-programme-2025/::no_compression_header" xr:uid="{00000000-0004-0000-1500-000000030000}"/>
    <hyperlink ref="A258" r:id="rId257" xr:uid="{00000000-0004-0000-1500-000001030000}"/>
    <hyperlink ref="B258" location="FixPlan!A29" display="No Cache-Control Header" xr:uid="{00000000-0004-0000-1500-000002030000}"/>
    <hyperlink ref="E258" location="Technical!A1" display="https://africanmarketingconfederation.org/amc-marketing-conference-2024/amc-programme-2025/::no_cache-control_header" xr:uid="{00000000-0004-0000-1500-000003030000}"/>
    <hyperlink ref="A259" r:id="rId258" xr:uid="{00000000-0004-0000-1500-000004030000}"/>
    <hyperlink ref="B259" location="FixPlan!A30" display="No ETag Header" xr:uid="{00000000-0004-0000-1500-000005030000}"/>
    <hyperlink ref="E259" location="Technical!A1" display="https://africanmarketingconfederation.org/amc-marketing-conference-2024/amc-programme-2025/::no_etag_header" xr:uid="{00000000-0004-0000-1500-000006030000}"/>
    <hyperlink ref="A260" r:id="rId259" xr:uid="{00000000-0004-0000-1500-000007030000}"/>
    <hyperlink ref="B260" location="FixPlan!A35" display="Thin Content" xr:uid="{00000000-0004-0000-1500-000008030000}"/>
    <hyperlink ref="E260" location="Technical!A1" display="https://africanmarketingconfederation.org/amc-marketing-conference-2024/amc-programme-2025/::thin_content" xr:uid="{00000000-0004-0000-1500-000009030000}"/>
    <hyperlink ref="A261" r:id="rId260" xr:uid="{00000000-0004-0000-1500-00000A030000}"/>
    <hyperlink ref="B261" location="FixPlan!A31" display="No Question Headings" xr:uid="{00000000-0004-0000-1500-00000B030000}"/>
    <hyperlink ref="E261" location="AEO!A1" display="https://africanmarketingconfederation.org/amc-marketing-conference-2024/amc-programme-2025/::no_question_headings" xr:uid="{00000000-0004-0000-1500-00000C030000}"/>
    <hyperlink ref="A262" r:id="rId261" xr:uid="{00000000-0004-0000-1500-00000D030000}"/>
    <hyperlink ref="B262" location="FixPlan!A32" display="No Answer-Friendly Structure" xr:uid="{00000000-0004-0000-1500-00000E030000}"/>
    <hyperlink ref="E262" location="Technical!A1" display="https://africanmarketingconfederation.org/amc-marketing-conference-2024/amc-programme-2025/::no_answer-friendly_structure" xr:uid="{00000000-0004-0000-1500-00000F030000}"/>
    <hyperlink ref="A263" r:id="rId262" xr:uid="{00000000-0004-0000-1500-000010030000}"/>
    <hyperlink ref="B263" location="FixPlan!A33" display="No 40-60 Word Answer Paragraphs" xr:uid="{00000000-0004-0000-1500-000011030000}"/>
    <hyperlink ref="E263" location="Technical!A1" display="https://africanmarketingconfederation.org/amc-marketing-conference-2024/amc-programme-2025/::no_40-60_word_answer_paragraphs" xr:uid="{00000000-0004-0000-1500-000012030000}"/>
    <hyperlink ref="A264" r:id="rId263" xr:uid="{00000000-0004-0000-1500-000013030000}"/>
    <hyperlink ref="B264" location="FixPlan!A34" display="AI Crawlers Not Explicitly Allowed" xr:uid="{00000000-0004-0000-1500-000014030000}"/>
    <hyperlink ref="E264" location="Technical!A1" display="https://africanmarketingconfederation.org/amc-marketing-conference-2024/amc-programme-2025/::ai_crawlers_not_explicitly_allowed" xr:uid="{00000000-0004-0000-1500-000015030000}"/>
    <hyperlink ref="A265" r:id="rId264" xr:uid="{00000000-0004-0000-1500-000016030000}"/>
    <hyperlink ref="B265" location="FixPlan!A17" display="Multiple H1" xr:uid="{00000000-0004-0000-1500-000017030000}"/>
    <hyperlink ref="E265" location="Technical!A1" display="https://africanmarketingconfederation.org/amc-conference-2025/::multiple_h1" xr:uid="{00000000-0004-0000-1500-000018030000}"/>
    <hyperlink ref="A266" r:id="rId265" xr:uid="{00000000-0004-0000-1500-000019030000}"/>
    <hyperlink ref="B266" location="FixPlan!A20" display="Low AEO Readiness Score" xr:uid="{00000000-0004-0000-1500-00001A030000}"/>
    <hyperlink ref="E266" location="AEO!A1" display="https://africanmarketingconfederation.org/amc-conference-2025/::low_aeo_readiness_score" xr:uid="{00000000-0004-0000-1500-00001B030000}"/>
    <hyperlink ref="A267" r:id="rId266" xr:uid="{00000000-0004-0000-1500-00001C030000}"/>
    <hyperlink ref="B267" location="FixPlan!A28" display="No Compression Header" xr:uid="{00000000-0004-0000-1500-00001D030000}"/>
    <hyperlink ref="E267" location="Technical!A1" display="https://africanmarketingconfederation.org/amc-conference-2025/::no_compression_header" xr:uid="{00000000-0004-0000-1500-00001E030000}"/>
    <hyperlink ref="A268" r:id="rId267" xr:uid="{00000000-0004-0000-1500-00001F030000}"/>
    <hyperlink ref="B268" location="FixPlan!A29" display="No Cache-Control Header" xr:uid="{00000000-0004-0000-1500-000020030000}"/>
    <hyperlink ref="E268" location="Technical!A1" display="https://africanmarketingconfederation.org/amc-conference-2025/::no_cache-control_header" xr:uid="{00000000-0004-0000-1500-000021030000}"/>
    <hyperlink ref="A269" r:id="rId268" xr:uid="{00000000-0004-0000-1500-000022030000}"/>
    <hyperlink ref="B269" location="FixPlan!A30" display="No ETag Header" xr:uid="{00000000-0004-0000-1500-000023030000}"/>
    <hyperlink ref="E269" location="Technical!A1" display="https://africanmarketingconfederation.org/amc-conference-2025/::no_etag_header" xr:uid="{00000000-0004-0000-1500-000024030000}"/>
    <hyperlink ref="A270" r:id="rId269" xr:uid="{00000000-0004-0000-1500-000025030000}"/>
    <hyperlink ref="B270" location="FixPlan!A31" display="No Question Headings" xr:uid="{00000000-0004-0000-1500-000026030000}"/>
    <hyperlink ref="E270" location="AEO!A1" display="https://africanmarketingconfederation.org/amc-conference-2025/::no_question_headings" xr:uid="{00000000-0004-0000-1500-000027030000}"/>
    <hyperlink ref="A271" r:id="rId270" xr:uid="{00000000-0004-0000-1500-000028030000}"/>
    <hyperlink ref="B271" location="FixPlan!A32" display="No Answer-Friendly Structure" xr:uid="{00000000-0004-0000-1500-000029030000}"/>
    <hyperlink ref="E271" location="Technical!A1" display="https://africanmarketingconfederation.org/amc-conference-2025/::no_answer-friendly_structure" xr:uid="{00000000-0004-0000-1500-00002A030000}"/>
    <hyperlink ref="A272" r:id="rId271" xr:uid="{00000000-0004-0000-1500-00002B030000}"/>
    <hyperlink ref="B272" location="FixPlan!A33" display="No 40-60 Word Answer Paragraphs" xr:uid="{00000000-0004-0000-1500-00002C030000}"/>
    <hyperlink ref="E272" location="Technical!A1" display="https://africanmarketingconfederation.org/amc-conference-2025/::no_40-60_word_answer_paragraphs" xr:uid="{00000000-0004-0000-1500-00002D030000}"/>
    <hyperlink ref="A273" r:id="rId272" xr:uid="{00000000-0004-0000-1500-00002E030000}"/>
    <hyperlink ref="B273" location="FixPlan!A34" display="AI Crawlers Not Explicitly Allowed" xr:uid="{00000000-0004-0000-1500-00002F030000}"/>
    <hyperlink ref="E273" location="Technical!A1" display="https://africanmarketingconfederation.org/amc-conference-2025/::ai_crawlers_not_explicitly_allowed" xr:uid="{00000000-0004-0000-1500-000030030000}"/>
    <hyperlink ref="A274" r:id="rId273" xr:uid="{00000000-0004-0000-1500-000031030000}"/>
    <hyperlink ref="B274" location="FixPlan!A20" display="Low AEO Readiness Score" xr:uid="{00000000-0004-0000-1500-000032030000}"/>
    <hyperlink ref="E274" location="AEO!A1" display="https://africanmarketingconfederation.org/amc-sponsors-2025/::low_aeo_readiness_score" xr:uid="{00000000-0004-0000-1500-000033030000}"/>
    <hyperlink ref="A275" r:id="rId274" xr:uid="{00000000-0004-0000-1500-000034030000}"/>
    <hyperlink ref="B275" location="FixPlan!A28" display="No Compression Header" xr:uid="{00000000-0004-0000-1500-000035030000}"/>
    <hyperlink ref="E275" location="Technical!A1" display="https://africanmarketingconfederation.org/amc-sponsors-2025/::no_compression_header" xr:uid="{00000000-0004-0000-1500-000036030000}"/>
    <hyperlink ref="A276" r:id="rId275" xr:uid="{00000000-0004-0000-1500-000037030000}"/>
    <hyperlink ref="B276" location="FixPlan!A29" display="No Cache-Control Header" xr:uid="{00000000-0004-0000-1500-000038030000}"/>
    <hyperlink ref="E276" location="Technical!A1" display="https://africanmarketingconfederation.org/amc-sponsors-2025/::no_cache-control_header" xr:uid="{00000000-0004-0000-1500-000039030000}"/>
    <hyperlink ref="A277" r:id="rId276" xr:uid="{00000000-0004-0000-1500-00003A030000}"/>
    <hyperlink ref="B277" location="FixPlan!A30" display="No ETag Header" xr:uid="{00000000-0004-0000-1500-00003B030000}"/>
    <hyperlink ref="E277" location="Technical!A1" display="https://africanmarketingconfederation.org/amc-sponsors-2025/::no_etag_header" xr:uid="{00000000-0004-0000-1500-00003C030000}"/>
    <hyperlink ref="A278" r:id="rId277" xr:uid="{00000000-0004-0000-1500-00003D030000}"/>
    <hyperlink ref="B278" location="FixPlan!A31" display="No Question Headings" xr:uid="{00000000-0004-0000-1500-00003E030000}"/>
    <hyperlink ref="E278" location="AEO!A1" display="https://africanmarketingconfederation.org/amc-sponsors-2025/::no_question_headings" xr:uid="{00000000-0004-0000-1500-00003F030000}"/>
    <hyperlink ref="A279" r:id="rId278" xr:uid="{00000000-0004-0000-1500-000040030000}"/>
    <hyperlink ref="B279" location="FixPlan!A32" display="No Answer-Friendly Structure" xr:uid="{00000000-0004-0000-1500-000041030000}"/>
    <hyperlink ref="E279" location="Technical!A1" display="https://africanmarketingconfederation.org/amc-sponsors-2025/::no_answer-friendly_structure" xr:uid="{00000000-0004-0000-1500-000042030000}"/>
    <hyperlink ref="A280" r:id="rId279" xr:uid="{00000000-0004-0000-1500-000043030000}"/>
    <hyperlink ref="B280" location="FixPlan!A33" display="No 40-60 Word Answer Paragraphs" xr:uid="{00000000-0004-0000-1500-000044030000}"/>
    <hyperlink ref="E280" location="Technical!A1" display="https://africanmarketingconfederation.org/amc-sponsors-2025/::no_40-60_word_answer_paragraphs" xr:uid="{00000000-0004-0000-1500-000045030000}"/>
    <hyperlink ref="A281" r:id="rId280" xr:uid="{00000000-0004-0000-1500-000046030000}"/>
    <hyperlink ref="B281" location="FixPlan!A34" display="AI Crawlers Not Explicitly Allowed" xr:uid="{00000000-0004-0000-1500-000047030000}"/>
    <hyperlink ref="E281" location="Technical!A1" display="https://africanmarketingconfederation.org/amc-sponsors-2025/::ai_crawlers_not_explicitly_allowed" xr:uid="{00000000-0004-0000-1500-000048030000}"/>
    <hyperlink ref="A282" r:id="rId281" xr:uid="{00000000-0004-0000-1500-000049030000}"/>
    <hyperlink ref="B282" location="FixPlan!A19" display="Missing H1" xr:uid="{00000000-0004-0000-1500-00004A030000}"/>
    <hyperlink ref="E282" location="Technical!A1" display="https://africanmarketingconfederation.org/amc-conference-2022-prospectus/::missing_h1" xr:uid="{00000000-0004-0000-1500-00004B030000}"/>
    <hyperlink ref="A283" r:id="rId282" xr:uid="{00000000-0004-0000-1500-00004C030000}"/>
    <hyperlink ref="B283" location="FixPlan!A20" display="Low AEO Readiness Score" xr:uid="{00000000-0004-0000-1500-00004D030000}"/>
    <hyperlink ref="E283" location="AEO!A1" display="https://africanmarketingconfederation.org/amc-conference-2022-prospectus/::low_aeo_readiness_score" xr:uid="{00000000-0004-0000-1500-00004E030000}"/>
    <hyperlink ref="A284" r:id="rId283" xr:uid="{00000000-0004-0000-1500-00004F030000}"/>
    <hyperlink ref="B284" location="FixPlan!A28" display="No Compression Header" xr:uid="{00000000-0004-0000-1500-000050030000}"/>
    <hyperlink ref="E284" location="Technical!A1" display="https://africanmarketingconfederation.org/amc-conference-2022-prospectus/::no_compression_header" xr:uid="{00000000-0004-0000-1500-000051030000}"/>
    <hyperlink ref="A285" r:id="rId284" xr:uid="{00000000-0004-0000-1500-000052030000}"/>
    <hyperlink ref="B285" location="FixPlan!A29" display="No Cache-Control Header" xr:uid="{00000000-0004-0000-1500-000053030000}"/>
    <hyperlink ref="E285" location="Technical!A1" display="https://africanmarketingconfederation.org/amc-conference-2022-prospectus/::no_cache-control_header" xr:uid="{00000000-0004-0000-1500-000054030000}"/>
    <hyperlink ref="A286" r:id="rId285" xr:uid="{00000000-0004-0000-1500-000055030000}"/>
    <hyperlink ref="B286" location="FixPlan!A30" display="No ETag Header" xr:uid="{00000000-0004-0000-1500-000056030000}"/>
    <hyperlink ref="E286" location="Technical!A1" display="https://africanmarketingconfederation.org/amc-conference-2022-prospectus/::no_etag_header" xr:uid="{00000000-0004-0000-1500-000057030000}"/>
    <hyperlink ref="A287" r:id="rId286" xr:uid="{00000000-0004-0000-1500-000058030000}"/>
    <hyperlink ref="B287" location="FixPlan!A35" display="Thin Content" xr:uid="{00000000-0004-0000-1500-000059030000}"/>
    <hyperlink ref="E287" location="Technical!A1" display="https://africanmarketingconfederation.org/amc-conference-2022-prospectus/::thin_content" xr:uid="{00000000-0004-0000-1500-00005A030000}"/>
    <hyperlink ref="A288" r:id="rId287" xr:uid="{00000000-0004-0000-1500-00005B030000}"/>
    <hyperlink ref="B288" location="FixPlan!A31" display="No Question Headings" xr:uid="{00000000-0004-0000-1500-00005C030000}"/>
    <hyperlink ref="E288" location="AEO!A1" display="https://africanmarketingconfederation.org/amc-conference-2022-prospectus/::no_question_headings" xr:uid="{00000000-0004-0000-1500-00005D030000}"/>
    <hyperlink ref="A289" r:id="rId288" xr:uid="{00000000-0004-0000-1500-00005E030000}"/>
    <hyperlink ref="B289" location="FixPlan!A32" display="No Answer-Friendly Structure" xr:uid="{00000000-0004-0000-1500-00005F030000}"/>
    <hyperlink ref="E289" location="Technical!A1" display="https://africanmarketingconfederation.org/amc-conference-2022-prospectus/::no_answer-friendly_structure" xr:uid="{00000000-0004-0000-1500-000060030000}"/>
    <hyperlink ref="A290" r:id="rId289" xr:uid="{00000000-0004-0000-1500-000061030000}"/>
    <hyperlink ref="B290" location="FixPlan!A33" display="No 40-60 Word Answer Paragraphs" xr:uid="{00000000-0004-0000-1500-000062030000}"/>
    <hyperlink ref="E290" location="Technical!A1" display="https://africanmarketingconfederation.org/amc-conference-2022-prospectus/::no_40-60_word_answer_paragraphs" xr:uid="{00000000-0004-0000-1500-000063030000}"/>
    <hyperlink ref="A291" r:id="rId290" xr:uid="{00000000-0004-0000-1500-000064030000}"/>
    <hyperlink ref="B291" location="FixPlan!A34" display="AI Crawlers Not Explicitly Allowed" xr:uid="{00000000-0004-0000-1500-000065030000}"/>
    <hyperlink ref="E291" location="Technical!A1" display="https://africanmarketingconfederation.org/amc-conference-2022-prospectus/::ai_crawlers_not_explicitly_allowed" xr:uid="{00000000-0004-0000-1500-000066030000}"/>
    <hyperlink ref="A292" r:id="rId291" xr:uid="{00000000-0004-0000-1500-000067030000}"/>
    <hyperlink ref="B292" location="FixPlan!A19" display="Missing H1" xr:uid="{00000000-0004-0000-1500-000068030000}"/>
    <hyperlink ref="E292" location="Technical!A1" display="https://africanmarketingconfederation.org/test-payment-gate/::missing_h1" xr:uid="{00000000-0004-0000-1500-000069030000}"/>
    <hyperlink ref="A293" r:id="rId292" xr:uid="{00000000-0004-0000-1500-00006A030000}"/>
    <hyperlink ref="B293" location="FixPlan!A20" display="Low AEO Readiness Score" xr:uid="{00000000-0004-0000-1500-00006B030000}"/>
    <hyperlink ref="E293" location="AEO!A1" display="https://africanmarketingconfederation.org/test-payment-gate/::low_aeo_readiness_score" xr:uid="{00000000-0004-0000-1500-00006C030000}"/>
    <hyperlink ref="A294" r:id="rId293" xr:uid="{00000000-0004-0000-1500-00006D030000}"/>
    <hyperlink ref="B294" location="FixPlan!A28" display="No Compression Header" xr:uid="{00000000-0004-0000-1500-00006E030000}"/>
    <hyperlink ref="E294" location="Technical!A1" display="https://africanmarketingconfederation.org/test-payment-gate/::no_compression_header" xr:uid="{00000000-0004-0000-1500-00006F030000}"/>
    <hyperlink ref="A295" r:id="rId294" xr:uid="{00000000-0004-0000-1500-000070030000}"/>
    <hyperlink ref="B295" location="FixPlan!A29" display="No Cache-Control Header" xr:uid="{00000000-0004-0000-1500-000071030000}"/>
    <hyperlink ref="E295" location="Technical!A1" display="https://africanmarketingconfederation.org/test-payment-gate/::no_cache-control_header" xr:uid="{00000000-0004-0000-1500-000072030000}"/>
    <hyperlink ref="A296" r:id="rId295" xr:uid="{00000000-0004-0000-1500-000073030000}"/>
    <hyperlink ref="B296" location="FixPlan!A30" display="No ETag Header" xr:uid="{00000000-0004-0000-1500-000074030000}"/>
    <hyperlink ref="E296" location="Technical!A1" display="https://africanmarketingconfederation.org/test-payment-gate/::no_etag_header" xr:uid="{00000000-0004-0000-1500-000075030000}"/>
    <hyperlink ref="A297" r:id="rId296" xr:uid="{00000000-0004-0000-1500-000076030000}"/>
    <hyperlink ref="B297" location="FixPlan!A35" display="Thin Content" xr:uid="{00000000-0004-0000-1500-000077030000}"/>
    <hyperlink ref="E297" location="Technical!A1" display="https://africanmarketingconfederation.org/test-payment-gate/::thin_content" xr:uid="{00000000-0004-0000-1500-000078030000}"/>
    <hyperlink ref="A298" r:id="rId297" xr:uid="{00000000-0004-0000-1500-000079030000}"/>
    <hyperlink ref="B298" location="FixPlan!A31" display="No Question Headings" xr:uid="{00000000-0004-0000-1500-00007A030000}"/>
    <hyperlink ref="E298" location="AEO!A1" display="https://africanmarketingconfederation.org/test-payment-gate/::no_question_headings" xr:uid="{00000000-0004-0000-1500-00007B030000}"/>
    <hyperlink ref="A299" r:id="rId298" xr:uid="{00000000-0004-0000-1500-00007C030000}"/>
    <hyperlink ref="B299" location="FixPlan!A32" display="No Answer-Friendly Structure" xr:uid="{00000000-0004-0000-1500-00007D030000}"/>
    <hyperlink ref="E299" location="Technical!A1" display="https://africanmarketingconfederation.org/test-payment-gate/::no_answer-friendly_structure" xr:uid="{00000000-0004-0000-1500-00007E030000}"/>
    <hyperlink ref="A300" r:id="rId299" xr:uid="{00000000-0004-0000-1500-00007F030000}"/>
    <hyperlink ref="B300" location="FixPlan!A33" display="No 40-60 Word Answer Paragraphs" xr:uid="{00000000-0004-0000-1500-000080030000}"/>
    <hyperlink ref="E300" location="Technical!A1" display="https://africanmarketingconfederation.org/test-payment-gate/::no_40-60_word_answer_paragraphs" xr:uid="{00000000-0004-0000-1500-000081030000}"/>
    <hyperlink ref="A301" r:id="rId300" xr:uid="{00000000-0004-0000-1500-000082030000}"/>
    <hyperlink ref="B301" location="FixPlan!A34" display="AI Crawlers Not Explicitly Allowed" xr:uid="{00000000-0004-0000-1500-000083030000}"/>
    <hyperlink ref="E301" location="Technical!A1" display="https://africanmarketingconfederation.org/test-payment-gate/::ai_crawlers_not_explicitly_allowed" xr:uid="{00000000-0004-0000-1500-000084030000}"/>
    <hyperlink ref="A302" r:id="rId301" xr:uid="{00000000-0004-0000-1500-000085030000}"/>
    <hyperlink ref="B302" location="FixPlan!A19" display="Missing H1" xr:uid="{00000000-0004-0000-1500-000086030000}"/>
    <hyperlink ref="E302" location="Technical!A1" display="https://africanmarketingconfederation.org/checkout/::missing_h1" xr:uid="{00000000-0004-0000-1500-000087030000}"/>
    <hyperlink ref="A303" r:id="rId302" xr:uid="{00000000-0004-0000-1500-000088030000}"/>
    <hyperlink ref="B303" location="FixPlan!A20" display="Low AEO Readiness Score" xr:uid="{00000000-0004-0000-1500-000089030000}"/>
    <hyperlink ref="E303" location="AEO!A1" display="https://africanmarketingconfederation.org/checkout/::low_aeo_readiness_score" xr:uid="{00000000-0004-0000-1500-00008A030000}"/>
    <hyperlink ref="A304" r:id="rId303" xr:uid="{00000000-0004-0000-1500-00008B030000}"/>
    <hyperlink ref="B304" location="FixPlan!A28" display="No Compression Header" xr:uid="{00000000-0004-0000-1500-00008C030000}"/>
    <hyperlink ref="E304" location="Technical!A1" display="https://africanmarketingconfederation.org/checkout/::no_compression_header" xr:uid="{00000000-0004-0000-1500-00008D030000}"/>
    <hyperlink ref="A305" r:id="rId304" xr:uid="{00000000-0004-0000-1500-00008E030000}"/>
    <hyperlink ref="B305" location="FixPlan!A29" display="No Cache-Control Header" xr:uid="{00000000-0004-0000-1500-00008F030000}"/>
    <hyperlink ref="E305" location="Technical!A1" display="https://africanmarketingconfederation.org/checkout/::no_cache-control_header" xr:uid="{00000000-0004-0000-1500-000090030000}"/>
    <hyperlink ref="A306" r:id="rId305" xr:uid="{00000000-0004-0000-1500-000091030000}"/>
    <hyperlink ref="B306" location="FixPlan!A30" display="No ETag Header" xr:uid="{00000000-0004-0000-1500-000092030000}"/>
    <hyperlink ref="E306" location="Technical!A1" display="https://africanmarketingconfederation.org/checkout/::no_etag_header" xr:uid="{00000000-0004-0000-1500-000093030000}"/>
    <hyperlink ref="A307" r:id="rId306" xr:uid="{00000000-0004-0000-1500-000094030000}"/>
    <hyperlink ref="B307" location="FixPlan!A35" display="Thin Content" xr:uid="{00000000-0004-0000-1500-000095030000}"/>
    <hyperlink ref="E307" location="Technical!A1" display="https://africanmarketingconfederation.org/checkout/::thin_content" xr:uid="{00000000-0004-0000-1500-000096030000}"/>
    <hyperlink ref="A308" r:id="rId307" xr:uid="{00000000-0004-0000-1500-000097030000}"/>
    <hyperlink ref="B308" location="FixPlan!A31" display="No Question Headings" xr:uid="{00000000-0004-0000-1500-000098030000}"/>
    <hyperlink ref="E308" location="AEO!A1" display="https://africanmarketingconfederation.org/checkout/::no_question_headings" xr:uid="{00000000-0004-0000-1500-000099030000}"/>
    <hyperlink ref="A309" r:id="rId308" xr:uid="{00000000-0004-0000-1500-00009A030000}"/>
    <hyperlink ref="B309" location="FixPlan!A32" display="No Answer-Friendly Structure" xr:uid="{00000000-0004-0000-1500-00009B030000}"/>
    <hyperlink ref="E309" location="Technical!A1" display="https://africanmarketingconfederation.org/checkout/::no_answer-friendly_structure" xr:uid="{00000000-0004-0000-1500-00009C030000}"/>
    <hyperlink ref="A310" r:id="rId309" xr:uid="{00000000-0004-0000-1500-00009D030000}"/>
    <hyperlink ref="B310" location="FixPlan!A33" display="No 40-60 Word Answer Paragraphs" xr:uid="{00000000-0004-0000-1500-00009E030000}"/>
    <hyperlink ref="E310" location="Technical!A1" display="https://africanmarketingconfederation.org/checkout/::no_40-60_word_answer_paragraphs" xr:uid="{00000000-0004-0000-1500-00009F030000}"/>
    <hyperlink ref="A311" r:id="rId310" xr:uid="{00000000-0004-0000-1500-0000A0030000}"/>
    <hyperlink ref="B311" location="FixPlan!A34" display="AI Crawlers Not Explicitly Allowed" xr:uid="{00000000-0004-0000-1500-0000A1030000}"/>
    <hyperlink ref="E311" location="Technical!A1" display="https://africanmarketingconfederation.org/checkout/::ai_crawlers_not_explicitly_allowed" xr:uid="{00000000-0004-0000-1500-0000A2030000}"/>
    <hyperlink ref="A312" r:id="rId311" xr:uid="{00000000-0004-0000-1500-0000A3030000}"/>
    <hyperlink ref="B312" location="FixPlan!A20" display="Low AEO Readiness Score" xr:uid="{00000000-0004-0000-1500-0000A4030000}"/>
    <hyperlink ref="E312" location="AEO!A1" display="https://africanmarketingconfederation.org/amc-marketing-conference-2024/amc-preregister-2025/::low_aeo_readiness_score" xr:uid="{00000000-0004-0000-1500-0000A5030000}"/>
    <hyperlink ref="A313" r:id="rId312" xr:uid="{00000000-0004-0000-1500-0000A6030000}"/>
    <hyperlink ref="B313" location="FixPlan!A28" display="No Compression Header" xr:uid="{00000000-0004-0000-1500-0000A7030000}"/>
    <hyperlink ref="E313" location="Technical!A1" display="https://africanmarketingconfederation.org/amc-marketing-conference-2024/amc-preregister-2025/::no_compression_header" xr:uid="{00000000-0004-0000-1500-0000A8030000}"/>
    <hyperlink ref="A314" r:id="rId313" xr:uid="{00000000-0004-0000-1500-0000A9030000}"/>
    <hyperlink ref="B314" location="FixPlan!A29" display="No Cache-Control Header" xr:uid="{00000000-0004-0000-1500-0000AA030000}"/>
    <hyperlink ref="E314" location="Technical!A1" display="https://africanmarketingconfederation.org/amc-marketing-conference-2024/amc-preregister-2025/::no_cache-control_header" xr:uid="{00000000-0004-0000-1500-0000AB030000}"/>
    <hyperlink ref="A315" r:id="rId314" xr:uid="{00000000-0004-0000-1500-0000AC030000}"/>
    <hyperlink ref="B315" location="FixPlan!A30" display="No ETag Header" xr:uid="{00000000-0004-0000-1500-0000AD030000}"/>
    <hyperlink ref="E315" location="Technical!A1" display="https://africanmarketingconfederation.org/amc-marketing-conference-2024/amc-preregister-2025/::no_etag_header" xr:uid="{00000000-0004-0000-1500-0000AE030000}"/>
    <hyperlink ref="A316" r:id="rId315" xr:uid="{00000000-0004-0000-1500-0000AF030000}"/>
    <hyperlink ref="B316" location="FixPlan!A31" display="No Question Headings" xr:uid="{00000000-0004-0000-1500-0000B0030000}"/>
    <hyperlink ref="E316" location="AEO!A1" display="https://africanmarketingconfederation.org/amc-marketing-conference-2024/amc-preregister-2025/::no_question_headings" xr:uid="{00000000-0004-0000-1500-0000B1030000}"/>
    <hyperlink ref="A317" r:id="rId316" xr:uid="{00000000-0004-0000-1500-0000B2030000}"/>
    <hyperlink ref="B317" location="FixPlan!A32" display="No Answer-Friendly Structure" xr:uid="{00000000-0004-0000-1500-0000B3030000}"/>
    <hyperlink ref="E317" location="Technical!A1" display="https://africanmarketingconfederation.org/amc-marketing-conference-2024/amc-preregister-2025/::no_answer-friendly_structure" xr:uid="{00000000-0004-0000-1500-0000B4030000}"/>
    <hyperlink ref="A318" r:id="rId317" xr:uid="{00000000-0004-0000-1500-0000B5030000}"/>
    <hyperlink ref="B318" location="FixPlan!A33" display="No 40-60 Word Answer Paragraphs" xr:uid="{00000000-0004-0000-1500-0000B6030000}"/>
    <hyperlink ref="E318" location="Technical!A1" display="https://africanmarketingconfederation.org/amc-marketing-conference-2024/amc-preregister-2025/::no_40-60_word_answer_paragraphs" xr:uid="{00000000-0004-0000-1500-0000B7030000}"/>
    <hyperlink ref="A319" r:id="rId318" xr:uid="{00000000-0004-0000-1500-0000B8030000}"/>
    <hyperlink ref="B319" location="FixPlan!A34" display="AI Crawlers Not Explicitly Allowed" xr:uid="{00000000-0004-0000-1500-0000B9030000}"/>
    <hyperlink ref="E319" location="Technical!A1" display="https://africanmarketingconfederation.org/amc-marketing-conference-2024/amc-preregister-2025/::ai_crawlers_not_explicitly_allowed" xr:uid="{00000000-0004-0000-1500-0000BA030000}"/>
    <hyperlink ref="A320" r:id="rId319" xr:uid="{00000000-0004-0000-1500-0000BB030000}"/>
    <hyperlink ref="B320" location="FixPlan!A20" display="Low AEO Readiness Score" xr:uid="{00000000-0004-0000-1500-0000BC030000}"/>
    <hyperlink ref="E320" location="AEO!A1" display="https://africanmarketingconfederation.org/conference-faq-2025/::low_aeo_readiness_score" xr:uid="{00000000-0004-0000-1500-0000BD030000}"/>
    <hyperlink ref="A321" r:id="rId320" xr:uid="{00000000-0004-0000-1500-0000BE030000}"/>
    <hyperlink ref="B321" location="FixPlan!A28" display="No Compression Header" xr:uid="{00000000-0004-0000-1500-0000BF030000}"/>
    <hyperlink ref="E321" location="Technical!A1" display="https://africanmarketingconfederation.org/conference-faq-2025/::no_compression_header" xr:uid="{00000000-0004-0000-1500-0000C0030000}"/>
    <hyperlink ref="A322" r:id="rId321" xr:uid="{00000000-0004-0000-1500-0000C1030000}"/>
    <hyperlink ref="B322" location="FixPlan!A29" display="No Cache-Control Header" xr:uid="{00000000-0004-0000-1500-0000C2030000}"/>
    <hyperlink ref="E322" location="Technical!A1" display="https://africanmarketingconfederation.org/conference-faq-2025/::no_cache-control_header" xr:uid="{00000000-0004-0000-1500-0000C3030000}"/>
    <hyperlink ref="A323" r:id="rId322" xr:uid="{00000000-0004-0000-1500-0000C4030000}"/>
    <hyperlink ref="B323" location="FixPlan!A30" display="No ETag Header" xr:uid="{00000000-0004-0000-1500-0000C5030000}"/>
    <hyperlink ref="E323" location="Technical!A1" display="https://africanmarketingconfederation.org/conference-faq-2025/::no_etag_header" xr:uid="{00000000-0004-0000-1500-0000C6030000}"/>
    <hyperlink ref="A324" r:id="rId323" xr:uid="{00000000-0004-0000-1500-0000C7030000}"/>
    <hyperlink ref="B324" location="FixPlan!A31" display="No Question Headings" xr:uid="{00000000-0004-0000-1500-0000C8030000}"/>
    <hyperlink ref="E324" location="AEO!A1" display="https://africanmarketingconfederation.org/conference-faq-2025/::no_question_headings" xr:uid="{00000000-0004-0000-1500-0000C9030000}"/>
    <hyperlink ref="A325" r:id="rId324" xr:uid="{00000000-0004-0000-1500-0000CA030000}"/>
    <hyperlink ref="B325" location="FixPlan!A32" display="No Answer-Friendly Structure" xr:uid="{00000000-0004-0000-1500-0000CB030000}"/>
    <hyperlink ref="E325" location="Technical!A1" display="https://africanmarketingconfederation.org/conference-faq-2025/::no_answer-friendly_structure" xr:uid="{00000000-0004-0000-1500-0000CC030000}"/>
    <hyperlink ref="A326" r:id="rId325" xr:uid="{00000000-0004-0000-1500-0000CD030000}"/>
    <hyperlink ref="B326" location="FixPlan!A33" display="No 40-60 Word Answer Paragraphs" xr:uid="{00000000-0004-0000-1500-0000CE030000}"/>
    <hyperlink ref="E326" location="Technical!A1" display="https://africanmarketingconfederation.org/conference-faq-2025/::no_40-60_word_answer_paragraphs" xr:uid="{00000000-0004-0000-1500-0000CF030000}"/>
    <hyperlink ref="A327" r:id="rId326" xr:uid="{00000000-0004-0000-1500-0000D0030000}"/>
    <hyperlink ref="B327" location="FixPlan!A34" display="AI Crawlers Not Explicitly Allowed" xr:uid="{00000000-0004-0000-1500-0000D1030000}"/>
    <hyperlink ref="E327" location="Technical!A1" display="https://africanmarketingconfederation.org/conference-faq-2025/::ai_crawlers_not_explicitly_allowed" xr:uid="{00000000-0004-0000-1500-0000D2030000}"/>
    <hyperlink ref="A328" r:id="rId327" xr:uid="{00000000-0004-0000-1500-0000D3030000}"/>
    <hyperlink ref="B328" location="FixPlan!A20" display="Low AEO Readiness Score" xr:uid="{00000000-0004-0000-1500-0000D4030000}"/>
    <hyperlink ref="E328" location="AEO!A1" display="https://africanmarketingconfederation.org/amc-marketing-conference-2024/amc-conference-2025-ghana-sponsors/::low_aeo_readiness_score" xr:uid="{00000000-0004-0000-1500-0000D5030000}"/>
    <hyperlink ref="A329" r:id="rId328" xr:uid="{00000000-0004-0000-1500-0000D6030000}"/>
    <hyperlink ref="B329" location="FixPlan!A28" display="No Compression Header" xr:uid="{00000000-0004-0000-1500-0000D7030000}"/>
    <hyperlink ref="E329" location="Technical!A1" display="https://africanmarketingconfederation.org/amc-marketing-conference-2024/amc-conference-2025-ghana-sponsors/::no_compression_header" xr:uid="{00000000-0004-0000-1500-0000D8030000}"/>
    <hyperlink ref="A330" r:id="rId329" xr:uid="{00000000-0004-0000-1500-0000D9030000}"/>
    <hyperlink ref="B330" location="FixPlan!A29" display="No Cache-Control Header" xr:uid="{00000000-0004-0000-1500-0000DA030000}"/>
    <hyperlink ref="E330" location="Technical!A1" display="https://africanmarketingconfederation.org/amc-marketing-conference-2024/amc-conference-2025-ghana-sponsors/::no_cache-control_header" xr:uid="{00000000-0004-0000-1500-0000DB030000}"/>
    <hyperlink ref="A331" r:id="rId330" xr:uid="{00000000-0004-0000-1500-0000DC030000}"/>
    <hyperlink ref="B331" location="FixPlan!A30" display="No ETag Header" xr:uid="{00000000-0004-0000-1500-0000DD030000}"/>
    <hyperlink ref="E331" location="Technical!A1" display="https://africanmarketingconfederation.org/amc-marketing-conference-2024/amc-conference-2025-ghana-sponsors/::no_etag_header" xr:uid="{00000000-0004-0000-1500-0000DE030000}"/>
    <hyperlink ref="A332" r:id="rId331" xr:uid="{00000000-0004-0000-1500-0000DF030000}"/>
    <hyperlink ref="B332" location="FixPlan!A35" display="Thin Content" xr:uid="{00000000-0004-0000-1500-0000E0030000}"/>
    <hyperlink ref="E332" location="Technical!A1" display="https://africanmarketingconfederation.org/amc-marketing-conference-2024/amc-conference-2025-ghana-sponsors/::thin_content" xr:uid="{00000000-0004-0000-1500-0000E1030000}"/>
    <hyperlink ref="A333" r:id="rId332" xr:uid="{00000000-0004-0000-1500-0000E2030000}"/>
    <hyperlink ref="B333" location="FixPlan!A31" display="No Question Headings" xr:uid="{00000000-0004-0000-1500-0000E3030000}"/>
    <hyperlink ref="E333" location="AEO!A1" display="https://africanmarketingconfederation.org/amc-marketing-conference-2024/amc-conference-2025-ghana-sponsors/::no_question_headings" xr:uid="{00000000-0004-0000-1500-0000E4030000}"/>
    <hyperlink ref="A334" r:id="rId333" xr:uid="{00000000-0004-0000-1500-0000E5030000}"/>
    <hyperlink ref="B334" location="FixPlan!A32" display="No Answer-Friendly Structure" xr:uid="{00000000-0004-0000-1500-0000E6030000}"/>
    <hyperlink ref="E334" location="Technical!A1" display="https://africanmarketingconfederation.org/amc-marketing-conference-2024/amc-conference-2025-ghana-sponsors/::no_answer-friendly_structure" xr:uid="{00000000-0004-0000-1500-0000E7030000}"/>
    <hyperlink ref="A335" r:id="rId334" xr:uid="{00000000-0004-0000-1500-0000E8030000}"/>
    <hyperlink ref="B335" location="FixPlan!A33" display="No 40-60 Word Answer Paragraphs" xr:uid="{00000000-0004-0000-1500-0000E9030000}"/>
    <hyperlink ref="E335" location="Technical!A1" display="https://africanmarketingconfederation.org/amc-marketing-conference-2024/amc-conference-2025-ghana-sponsors/::no_40-60_word_answer_paragraphs" xr:uid="{00000000-0004-0000-1500-0000EA030000}"/>
    <hyperlink ref="A336" r:id="rId335" xr:uid="{00000000-0004-0000-1500-0000EB030000}"/>
    <hyperlink ref="B336" location="FixPlan!A34" display="AI Crawlers Not Explicitly Allowed" xr:uid="{00000000-0004-0000-1500-0000EC030000}"/>
    <hyperlink ref="E336" location="Technical!A1" display="https://africanmarketingconfederation.org/amc-marketing-conference-2024/amc-conference-2025-ghana-sponsors/::ai_crawlers_not_explicitly_allowed" xr:uid="{00000000-0004-0000-1500-0000ED030000}"/>
    <hyperlink ref="A337" r:id="rId336" xr:uid="{00000000-0004-0000-1500-0000EE030000}"/>
    <hyperlink ref="B337" location="FixPlan!A20" display="Low AEO Readiness Score" xr:uid="{00000000-0004-0000-1500-0000EF030000}"/>
    <hyperlink ref="E337" location="AEO!A1" display="https://africanmarketingconfederation.org/amc-marketing-conference-2024/amc-launch-event-2025/::low_aeo_readiness_score" xr:uid="{00000000-0004-0000-1500-0000F0030000}"/>
    <hyperlink ref="A338" r:id="rId337" xr:uid="{00000000-0004-0000-1500-0000F1030000}"/>
    <hyperlink ref="B338" location="FixPlan!A28" display="No Compression Header" xr:uid="{00000000-0004-0000-1500-0000F2030000}"/>
    <hyperlink ref="E338" location="Technical!A1" display="https://africanmarketingconfederation.org/amc-marketing-conference-2024/amc-launch-event-2025/::no_compression_header" xr:uid="{00000000-0004-0000-1500-0000F3030000}"/>
    <hyperlink ref="A339" r:id="rId338" xr:uid="{00000000-0004-0000-1500-0000F4030000}"/>
    <hyperlink ref="B339" location="FixPlan!A29" display="No Cache-Control Header" xr:uid="{00000000-0004-0000-1500-0000F5030000}"/>
    <hyperlink ref="E339" location="Technical!A1" display="https://africanmarketingconfederation.org/amc-marketing-conference-2024/amc-launch-event-2025/::no_cache-control_header" xr:uid="{00000000-0004-0000-1500-0000F6030000}"/>
    <hyperlink ref="A340" r:id="rId339" xr:uid="{00000000-0004-0000-1500-0000F7030000}"/>
    <hyperlink ref="B340" location="FixPlan!A30" display="No ETag Header" xr:uid="{00000000-0004-0000-1500-0000F8030000}"/>
    <hyperlink ref="E340" location="Technical!A1" display="https://africanmarketingconfederation.org/amc-marketing-conference-2024/amc-launch-event-2025/::no_etag_header" xr:uid="{00000000-0004-0000-1500-0000F9030000}"/>
    <hyperlink ref="A341" r:id="rId340" xr:uid="{00000000-0004-0000-1500-0000FA030000}"/>
    <hyperlink ref="B341" location="FixPlan!A31" display="No Question Headings" xr:uid="{00000000-0004-0000-1500-0000FB030000}"/>
    <hyperlink ref="E341" location="AEO!A1" display="https://africanmarketingconfederation.org/amc-marketing-conference-2024/amc-launch-event-2025/::no_question_headings" xr:uid="{00000000-0004-0000-1500-0000FC030000}"/>
    <hyperlink ref="A342" r:id="rId341" xr:uid="{00000000-0004-0000-1500-0000FD030000}"/>
    <hyperlink ref="B342" location="FixPlan!A32" display="No Answer-Friendly Structure" xr:uid="{00000000-0004-0000-1500-0000FE030000}"/>
    <hyperlink ref="E342" location="Technical!A1" display="https://africanmarketingconfederation.org/amc-marketing-conference-2024/amc-launch-event-2025/::no_answer-friendly_structure" xr:uid="{00000000-0004-0000-1500-0000FF030000}"/>
    <hyperlink ref="A343" r:id="rId342" xr:uid="{00000000-0004-0000-1500-000000040000}"/>
    <hyperlink ref="B343" location="FixPlan!A33" display="No 40-60 Word Answer Paragraphs" xr:uid="{00000000-0004-0000-1500-000001040000}"/>
    <hyperlink ref="E343" location="Technical!A1" display="https://africanmarketingconfederation.org/amc-marketing-conference-2024/amc-launch-event-2025/::no_40-60_word_answer_paragraphs" xr:uid="{00000000-0004-0000-1500-000002040000}"/>
    <hyperlink ref="A344" r:id="rId343" xr:uid="{00000000-0004-0000-1500-000003040000}"/>
    <hyperlink ref="B344" location="FixPlan!A34" display="AI Crawlers Not Explicitly Allowed" xr:uid="{00000000-0004-0000-1500-000004040000}"/>
    <hyperlink ref="E344" location="Technical!A1" display="https://africanmarketingconfederation.org/amc-marketing-conference-2024/amc-launch-event-2025/::ai_crawlers_not_explicitly_allowed" xr:uid="{00000000-0004-0000-1500-000005040000}"/>
    <hyperlink ref="A345" r:id="rId344" xr:uid="{00000000-0004-0000-1500-000006040000}"/>
    <hyperlink ref="B345" location="FixPlan!A19" display="Missing H1" xr:uid="{00000000-0004-0000-1500-000007040000}"/>
    <hyperlink ref="E345" location="Technical!A1" display="https://africanmarketingconfederation.org/amc-forum-payments/::missing_h1" xr:uid="{00000000-0004-0000-1500-000008040000}"/>
    <hyperlink ref="A346" r:id="rId345" xr:uid="{00000000-0004-0000-1500-000009040000}"/>
    <hyperlink ref="B346" location="FixPlan!A20" display="Low AEO Readiness Score" xr:uid="{00000000-0004-0000-1500-00000A040000}"/>
    <hyperlink ref="E346" location="AEO!A1" display="https://africanmarketingconfederation.org/amc-forum-payments/::low_aeo_readiness_score" xr:uid="{00000000-0004-0000-1500-00000B040000}"/>
    <hyperlink ref="A347" r:id="rId346" xr:uid="{00000000-0004-0000-1500-00000C040000}"/>
    <hyperlink ref="B347" location="FixPlan!A28" display="No Compression Header" xr:uid="{00000000-0004-0000-1500-00000D040000}"/>
    <hyperlink ref="E347" location="Technical!A1" display="https://africanmarketingconfederation.org/amc-forum-payments/::no_compression_header" xr:uid="{00000000-0004-0000-1500-00000E040000}"/>
    <hyperlink ref="A348" r:id="rId347" xr:uid="{00000000-0004-0000-1500-00000F040000}"/>
    <hyperlink ref="B348" location="FixPlan!A29" display="No Cache-Control Header" xr:uid="{00000000-0004-0000-1500-000010040000}"/>
    <hyperlink ref="E348" location="Technical!A1" display="https://africanmarketingconfederation.org/amc-forum-payments/::no_cache-control_header" xr:uid="{00000000-0004-0000-1500-000011040000}"/>
    <hyperlink ref="A349" r:id="rId348" xr:uid="{00000000-0004-0000-1500-000012040000}"/>
    <hyperlink ref="B349" location="FixPlan!A30" display="No ETag Header" xr:uid="{00000000-0004-0000-1500-000013040000}"/>
    <hyperlink ref="E349" location="Technical!A1" display="https://africanmarketingconfederation.org/amc-forum-payments/::no_etag_header" xr:uid="{00000000-0004-0000-1500-000014040000}"/>
    <hyperlink ref="A350" r:id="rId349" xr:uid="{00000000-0004-0000-1500-000015040000}"/>
    <hyperlink ref="B350" location="FixPlan!A35" display="Thin Content" xr:uid="{00000000-0004-0000-1500-000016040000}"/>
    <hyperlink ref="E350" location="Technical!A1" display="https://africanmarketingconfederation.org/amc-forum-payments/::thin_content" xr:uid="{00000000-0004-0000-1500-000017040000}"/>
    <hyperlink ref="A351" r:id="rId350" xr:uid="{00000000-0004-0000-1500-000018040000}"/>
    <hyperlink ref="B351" location="FixPlan!A31" display="No Question Headings" xr:uid="{00000000-0004-0000-1500-000019040000}"/>
    <hyperlink ref="E351" location="AEO!A1" display="https://africanmarketingconfederation.org/amc-forum-payments/::no_question_headings" xr:uid="{00000000-0004-0000-1500-00001A040000}"/>
    <hyperlink ref="A352" r:id="rId351" xr:uid="{00000000-0004-0000-1500-00001B040000}"/>
    <hyperlink ref="B352" location="FixPlan!A32" display="No Answer-Friendly Structure" xr:uid="{00000000-0004-0000-1500-00001C040000}"/>
    <hyperlink ref="E352" location="Technical!A1" display="https://africanmarketingconfederation.org/amc-forum-payments/::no_answer-friendly_structure" xr:uid="{00000000-0004-0000-1500-00001D040000}"/>
    <hyperlink ref="A353" r:id="rId352" xr:uid="{00000000-0004-0000-1500-00001E040000}"/>
    <hyperlink ref="B353" location="FixPlan!A33" display="No 40-60 Word Answer Paragraphs" xr:uid="{00000000-0004-0000-1500-00001F040000}"/>
    <hyperlink ref="E353" location="Technical!A1" display="https://africanmarketingconfederation.org/amc-forum-payments/::no_40-60_word_answer_paragraphs" xr:uid="{00000000-0004-0000-1500-000020040000}"/>
    <hyperlink ref="A354" r:id="rId353" xr:uid="{00000000-0004-0000-1500-000021040000}"/>
    <hyperlink ref="B354" location="FixPlan!A34" display="AI Crawlers Not Explicitly Allowed" xr:uid="{00000000-0004-0000-1500-000022040000}"/>
    <hyperlink ref="E354" location="Technical!A1" display="https://africanmarketingconfederation.org/amc-forum-payments/::ai_crawlers_not_explicitly_allowed" xr:uid="{00000000-0004-0000-1500-000023040000}"/>
    <hyperlink ref="A355" r:id="rId354" xr:uid="{00000000-0004-0000-1500-000024040000}"/>
    <hyperlink ref="B355" location="FixPlan!A20" display="Low AEO Readiness Score" xr:uid="{00000000-0004-0000-1500-000025040000}"/>
    <hyperlink ref="E355" location="AEO!A1" display="https://africanmarketingconfederation.org/amc-conference-2023/::low_aeo_readiness_score" xr:uid="{00000000-0004-0000-1500-000026040000}"/>
    <hyperlink ref="A356" r:id="rId355" xr:uid="{00000000-0004-0000-1500-000027040000}"/>
    <hyperlink ref="B356" location="FixPlan!A28" display="No Compression Header" xr:uid="{00000000-0004-0000-1500-000028040000}"/>
    <hyperlink ref="E356" location="Technical!A1" display="https://africanmarketingconfederation.org/amc-conference-2023/::no_compression_header" xr:uid="{00000000-0004-0000-1500-000029040000}"/>
    <hyperlink ref="A357" r:id="rId356" xr:uid="{00000000-0004-0000-1500-00002A040000}"/>
    <hyperlink ref="B357" location="FixPlan!A29" display="No Cache-Control Header" xr:uid="{00000000-0004-0000-1500-00002B040000}"/>
    <hyperlink ref="E357" location="Technical!A1" display="https://africanmarketingconfederation.org/amc-conference-2023/::no_cache-control_header" xr:uid="{00000000-0004-0000-1500-00002C040000}"/>
    <hyperlink ref="A358" r:id="rId357" xr:uid="{00000000-0004-0000-1500-00002D040000}"/>
    <hyperlink ref="B358" location="FixPlan!A30" display="No ETag Header" xr:uid="{00000000-0004-0000-1500-00002E040000}"/>
    <hyperlink ref="E358" location="Technical!A1" display="https://africanmarketingconfederation.org/amc-conference-2023/::no_etag_header" xr:uid="{00000000-0004-0000-1500-00002F040000}"/>
    <hyperlink ref="A359" r:id="rId358" xr:uid="{00000000-0004-0000-1500-000030040000}"/>
    <hyperlink ref="B359" location="FixPlan!A31" display="No Question Headings" xr:uid="{00000000-0004-0000-1500-000031040000}"/>
    <hyperlink ref="E359" location="AEO!A1" display="https://africanmarketingconfederation.org/amc-conference-2023/::no_question_headings" xr:uid="{00000000-0004-0000-1500-000032040000}"/>
    <hyperlink ref="A360" r:id="rId359" xr:uid="{00000000-0004-0000-1500-000033040000}"/>
    <hyperlink ref="B360" location="FixPlan!A32" display="No Answer-Friendly Structure" xr:uid="{00000000-0004-0000-1500-000034040000}"/>
    <hyperlink ref="E360" location="Technical!A1" display="https://africanmarketingconfederation.org/amc-conference-2023/::no_answer-friendly_structure" xr:uid="{00000000-0004-0000-1500-000035040000}"/>
    <hyperlink ref="A361" r:id="rId360" xr:uid="{00000000-0004-0000-1500-000036040000}"/>
    <hyperlink ref="B361" location="FixPlan!A33" display="No 40-60 Word Answer Paragraphs" xr:uid="{00000000-0004-0000-1500-000037040000}"/>
    <hyperlink ref="E361" location="Technical!A1" display="https://africanmarketingconfederation.org/amc-conference-2023/::no_40-60_word_answer_paragraphs" xr:uid="{00000000-0004-0000-1500-000038040000}"/>
    <hyperlink ref="A362" r:id="rId361" xr:uid="{00000000-0004-0000-1500-000039040000}"/>
    <hyperlink ref="B362" location="FixPlan!A34" display="AI Crawlers Not Explicitly Allowed" xr:uid="{00000000-0004-0000-1500-00003A040000}"/>
    <hyperlink ref="E362" location="Technical!A1" display="https://africanmarketingconfederation.org/amc-conference-2023/::ai_crawlers_not_explicitly_allowed" xr:uid="{00000000-0004-0000-1500-00003B040000}"/>
    <hyperlink ref="A363" r:id="rId362" xr:uid="{00000000-0004-0000-1500-00003C040000}"/>
    <hyperlink ref="B363" location="FixPlan!A17" display="Multiple H1" xr:uid="{00000000-0004-0000-1500-00003D040000}"/>
    <hyperlink ref="E363" location="Technical!A1" display="https://africanmarketingconfederation.org/amc-awards-2024/::multiple_h1" xr:uid="{00000000-0004-0000-1500-00003E040000}"/>
    <hyperlink ref="A364" r:id="rId363" xr:uid="{00000000-0004-0000-1500-00003F040000}"/>
    <hyperlink ref="B364" location="FixPlan!A20" display="Low AEO Readiness Score" xr:uid="{00000000-0004-0000-1500-000040040000}"/>
    <hyperlink ref="E364" location="AEO!A1" display="https://africanmarketingconfederation.org/amc-awards-2024/::low_aeo_readiness_score" xr:uid="{00000000-0004-0000-1500-000041040000}"/>
    <hyperlink ref="A365" r:id="rId364" xr:uid="{00000000-0004-0000-1500-000042040000}"/>
    <hyperlink ref="B365" location="FixPlan!A28" display="No Compression Header" xr:uid="{00000000-0004-0000-1500-000043040000}"/>
    <hyperlink ref="E365" location="Technical!A1" display="https://africanmarketingconfederation.org/amc-awards-2024/::no_compression_header" xr:uid="{00000000-0004-0000-1500-000044040000}"/>
    <hyperlink ref="A366" r:id="rId365" xr:uid="{00000000-0004-0000-1500-000045040000}"/>
    <hyperlink ref="B366" location="FixPlan!A29" display="No Cache-Control Header" xr:uid="{00000000-0004-0000-1500-000046040000}"/>
    <hyperlink ref="E366" location="Technical!A1" display="https://africanmarketingconfederation.org/amc-awards-2024/::no_cache-control_header" xr:uid="{00000000-0004-0000-1500-000047040000}"/>
    <hyperlink ref="A367" r:id="rId366" xr:uid="{00000000-0004-0000-1500-000048040000}"/>
    <hyperlink ref="B367" location="FixPlan!A30" display="No ETag Header" xr:uid="{00000000-0004-0000-1500-000049040000}"/>
    <hyperlink ref="E367" location="Technical!A1" display="https://africanmarketingconfederation.org/amc-awards-2024/::no_etag_header" xr:uid="{00000000-0004-0000-1500-00004A040000}"/>
    <hyperlink ref="A368" r:id="rId367" xr:uid="{00000000-0004-0000-1500-00004B040000}"/>
    <hyperlink ref="B368" location="FixPlan!A31" display="No Question Headings" xr:uid="{00000000-0004-0000-1500-00004C040000}"/>
    <hyperlink ref="E368" location="AEO!A1" display="https://africanmarketingconfederation.org/amc-awards-2024/::no_question_headings" xr:uid="{00000000-0004-0000-1500-00004D040000}"/>
    <hyperlink ref="A369" r:id="rId368" xr:uid="{00000000-0004-0000-1500-00004E040000}"/>
    <hyperlink ref="B369" location="FixPlan!A32" display="No Answer-Friendly Structure" xr:uid="{00000000-0004-0000-1500-00004F040000}"/>
    <hyperlink ref="E369" location="Technical!A1" display="https://africanmarketingconfederation.org/amc-awards-2024/::no_answer-friendly_structure" xr:uid="{00000000-0004-0000-1500-000050040000}"/>
    <hyperlink ref="A370" r:id="rId369" xr:uid="{00000000-0004-0000-1500-000051040000}"/>
    <hyperlink ref="B370" location="FixPlan!A33" display="No 40-60 Word Answer Paragraphs" xr:uid="{00000000-0004-0000-1500-000052040000}"/>
    <hyperlink ref="E370" location="Technical!A1" display="https://africanmarketingconfederation.org/amc-awards-2024/::no_40-60_word_answer_paragraphs" xr:uid="{00000000-0004-0000-1500-000053040000}"/>
    <hyperlink ref="A371" r:id="rId370" xr:uid="{00000000-0004-0000-1500-000054040000}"/>
    <hyperlink ref="B371" location="FixPlan!A34" display="AI Crawlers Not Explicitly Allowed" xr:uid="{00000000-0004-0000-1500-000055040000}"/>
    <hyperlink ref="E371" location="Technical!A1" display="https://africanmarketingconfederation.org/amc-awards-2024/::ai_crawlers_not_explicitly_allowed" xr:uid="{00000000-0004-0000-1500-000056040000}"/>
    <hyperlink ref="A372" r:id="rId371" xr:uid="{00000000-0004-0000-1500-000057040000}"/>
    <hyperlink ref="B372" location="FixPlan!A20" display="Low AEO Readiness Score" xr:uid="{00000000-0004-0000-1500-000058040000}"/>
    <hyperlink ref="E372" location="AEO!A1" display="https://africanmarketingconfederation.org/amc-forum-mombasa/::low_aeo_readiness_score" xr:uid="{00000000-0004-0000-1500-000059040000}"/>
    <hyperlink ref="A373" r:id="rId372" xr:uid="{00000000-0004-0000-1500-00005A040000}"/>
    <hyperlink ref="B373" location="FixPlan!A28" display="No Compression Header" xr:uid="{00000000-0004-0000-1500-00005B040000}"/>
    <hyperlink ref="E373" location="Technical!A1" display="https://africanmarketingconfederation.org/amc-forum-mombasa/::no_compression_header" xr:uid="{00000000-0004-0000-1500-00005C040000}"/>
    <hyperlink ref="A374" r:id="rId373" xr:uid="{00000000-0004-0000-1500-00005D040000}"/>
    <hyperlink ref="B374" location="FixPlan!A29" display="No Cache-Control Header" xr:uid="{00000000-0004-0000-1500-00005E040000}"/>
    <hyperlink ref="E374" location="Technical!A1" display="https://africanmarketingconfederation.org/amc-forum-mombasa/::no_cache-control_header" xr:uid="{00000000-0004-0000-1500-00005F040000}"/>
    <hyperlink ref="A375" r:id="rId374" xr:uid="{00000000-0004-0000-1500-000060040000}"/>
    <hyperlink ref="B375" location="FixPlan!A30" display="No ETag Header" xr:uid="{00000000-0004-0000-1500-000061040000}"/>
    <hyperlink ref="E375" location="Technical!A1" display="https://africanmarketingconfederation.org/amc-forum-mombasa/::no_etag_header" xr:uid="{00000000-0004-0000-1500-000062040000}"/>
    <hyperlink ref="A376" r:id="rId375" xr:uid="{00000000-0004-0000-1500-000063040000}"/>
    <hyperlink ref="B376" location="FixPlan!A31" display="No Question Headings" xr:uid="{00000000-0004-0000-1500-000064040000}"/>
    <hyperlink ref="E376" location="AEO!A1" display="https://africanmarketingconfederation.org/amc-forum-mombasa/::no_question_headings" xr:uid="{00000000-0004-0000-1500-000065040000}"/>
    <hyperlink ref="A377" r:id="rId376" xr:uid="{00000000-0004-0000-1500-000066040000}"/>
    <hyperlink ref="B377" location="FixPlan!A32" display="No Answer-Friendly Structure" xr:uid="{00000000-0004-0000-1500-000067040000}"/>
    <hyperlink ref="E377" location="Technical!A1" display="https://africanmarketingconfederation.org/amc-forum-mombasa/::no_answer-friendly_structure" xr:uid="{00000000-0004-0000-1500-000068040000}"/>
    <hyperlink ref="A378" r:id="rId377" xr:uid="{00000000-0004-0000-1500-000069040000}"/>
    <hyperlink ref="B378" location="FixPlan!A33" display="No 40-60 Word Answer Paragraphs" xr:uid="{00000000-0004-0000-1500-00006A040000}"/>
    <hyperlink ref="E378" location="Technical!A1" display="https://africanmarketingconfederation.org/amc-forum-mombasa/::no_40-60_word_answer_paragraphs" xr:uid="{00000000-0004-0000-1500-00006B040000}"/>
    <hyperlink ref="A379" r:id="rId378" xr:uid="{00000000-0004-0000-1500-00006C040000}"/>
    <hyperlink ref="B379" location="FixPlan!A34" display="AI Crawlers Not Explicitly Allowed" xr:uid="{00000000-0004-0000-1500-00006D040000}"/>
    <hyperlink ref="E379" location="Technical!A1" display="https://africanmarketingconfederation.org/amc-forum-mombasa/::ai_crawlers_not_explicitly_allowed" xr:uid="{00000000-0004-0000-1500-00006E040000}"/>
    <hyperlink ref="A380" r:id="rId379" xr:uid="{00000000-0004-0000-1500-00006F040000}"/>
    <hyperlink ref="B380" location="FixPlan!A20" display="Low AEO Readiness Score" xr:uid="{00000000-0004-0000-1500-000070040000}"/>
    <hyperlink ref="E380" location="AEO!A1" display="https://africanmarketingconfederation.org/amc-marketing-conference-2024/::low_aeo_readiness_score" xr:uid="{00000000-0004-0000-1500-000071040000}"/>
    <hyperlink ref="A381" r:id="rId380" xr:uid="{00000000-0004-0000-1500-000072040000}"/>
    <hyperlink ref="B381" location="FixPlan!A28" display="No Compression Header" xr:uid="{00000000-0004-0000-1500-000073040000}"/>
    <hyperlink ref="E381" location="Technical!A1" display="https://africanmarketingconfederation.org/amc-marketing-conference-2024/::no_compression_header" xr:uid="{00000000-0004-0000-1500-000074040000}"/>
    <hyperlink ref="A382" r:id="rId381" xr:uid="{00000000-0004-0000-1500-000075040000}"/>
    <hyperlink ref="B382" location="FixPlan!A29" display="No Cache-Control Header" xr:uid="{00000000-0004-0000-1500-000076040000}"/>
    <hyperlink ref="E382" location="Technical!A1" display="https://africanmarketingconfederation.org/amc-marketing-conference-2024/::no_cache-control_header" xr:uid="{00000000-0004-0000-1500-000077040000}"/>
    <hyperlink ref="A383" r:id="rId382" xr:uid="{00000000-0004-0000-1500-000078040000}"/>
    <hyperlink ref="B383" location="FixPlan!A30" display="No ETag Header" xr:uid="{00000000-0004-0000-1500-000079040000}"/>
    <hyperlink ref="E383" location="Technical!A1" display="https://africanmarketingconfederation.org/amc-marketing-conference-2024/::no_etag_header" xr:uid="{00000000-0004-0000-1500-00007A040000}"/>
    <hyperlink ref="A384" r:id="rId383" xr:uid="{00000000-0004-0000-1500-00007B040000}"/>
    <hyperlink ref="B384" location="FixPlan!A31" display="No Question Headings" xr:uid="{00000000-0004-0000-1500-00007C040000}"/>
    <hyperlink ref="E384" location="AEO!A1" display="https://africanmarketingconfederation.org/amc-marketing-conference-2024/::no_question_headings" xr:uid="{00000000-0004-0000-1500-00007D040000}"/>
    <hyperlink ref="A385" r:id="rId384" xr:uid="{00000000-0004-0000-1500-00007E040000}"/>
    <hyperlink ref="B385" location="FixPlan!A32" display="No Answer-Friendly Structure" xr:uid="{00000000-0004-0000-1500-00007F040000}"/>
    <hyperlink ref="E385" location="Technical!A1" display="https://africanmarketingconfederation.org/amc-marketing-conference-2024/::no_answer-friendly_structure" xr:uid="{00000000-0004-0000-1500-000080040000}"/>
    <hyperlink ref="A386" r:id="rId385" xr:uid="{00000000-0004-0000-1500-000081040000}"/>
    <hyperlink ref="B386" location="FixPlan!A33" display="No 40-60 Word Answer Paragraphs" xr:uid="{00000000-0004-0000-1500-000082040000}"/>
    <hyperlink ref="E386" location="Technical!A1" display="https://africanmarketingconfederation.org/amc-marketing-conference-2024/::no_40-60_word_answer_paragraphs" xr:uid="{00000000-0004-0000-1500-000083040000}"/>
    <hyperlink ref="A387" r:id="rId386" xr:uid="{00000000-0004-0000-1500-000084040000}"/>
    <hyperlink ref="B387" location="FixPlan!A34" display="AI Crawlers Not Explicitly Allowed" xr:uid="{00000000-0004-0000-1500-000085040000}"/>
    <hyperlink ref="E387" location="Technical!A1" display="https://africanmarketingconfederation.org/amc-marketing-conference-2024/::ai_crawlers_not_explicitly_allowed" xr:uid="{00000000-0004-0000-1500-000086040000}"/>
    <hyperlink ref="A388" r:id="rId387" xr:uid="{00000000-0004-0000-1500-000087040000}"/>
    <hyperlink ref="B388" location="FixPlan!A17" display="Multiple H1" xr:uid="{00000000-0004-0000-1500-000088040000}"/>
    <hyperlink ref="E388" location="Technical!A1" display="https://africanmarketingconfederation.org/amc-marketing-conference-2024/amc-speakers-presentations-2024/::multiple_h1" xr:uid="{00000000-0004-0000-1500-000089040000}"/>
    <hyperlink ref="A389" r:id="rId388" xr:uid="{00000000-0004-0000-1500-00008A040000}"/>
    <hyperlink ref="B389" location="FixPlan!A20" display="Low AEO Readiness Score" xr:uid="{00000000-0004-0000-1500-00008B040000}"/>
    <hyperlink ref="E389" location="AEO!A1" display="https://africanmarketingconfederation.org/amc-marketing-conference-2024/amc-speakers-presentations-2024/::low_aeo_readiness_score" xr:uid="{00000000-0004-0000-1500-00008C040000}"/>
    <hyperlink ref="A390" r:id="rId389" xr:uid="{00000000-0004-0000-1500-00008D040000}"/>
    <hyperlink ref="B390" location="FixPlan!A28" display="No Compression Header" xr:uid="{00000000-0004-0000-1500-00008E040000}"/>
    <hyperlink ref="E390" location="Technical!A1" display="https://africanmarketingconfederation.org/amc-marketing-conference-2024/amc-speakers-presentations-2024/::no_compression_header" xr:uid="{00000000-0004-0000-1500-00008F040000}"/>
    <hyperlink ref="A391" r:id="rId390" xr:uid="{00000000-0004-0000-1500-000090040000}"/>
    <hyperlink ref="B391" location="FixPlan!A29" display="No Cache-Control Header" xr:uid="{00000000-0004-0000-1500-000091040000}"/>
    <hyperlink ref="E391" location="Technical!A1" display="https://africanmarketingconfederation.org/amc-marketing-conference-2024/amc-speakers-presentations-2024/::no_cache-control_header" xr:uid="{00000000-0004-0000-1500-000092040000}"/>
    <hyperlink ref="A392" r:id="rId391" xr:uid="{00000000-0004-0000-1500-000093040000}"/>
    <hyperlink ref="B392" location="FixPlan!A30" display="No ETag Header" xr:uid="{00000000-0004-0000-1500-000094040000}"/>
    <hyperlink ref="E392" location="Technical!A1" display="https://africanmarketingconfederation.org/amc-marketing-conference-2024/amc-speakers-presentations-2024/::no_etag_header" xr:uid="{00000000-0004-0000-1500-000095040000}"/>
    <hyperlink ref="A393" r:id="rId392" xr:uid="{00000000-0004-0000-1500-000096040000}"/>
    <hyperlink ref="B393" location="FixPlan!A35" display="Thin Content" xr:uid="{00000000-0004-0000-1500-000097040000}"/>
    <hyperlink ref="E393" location="Technical!A1" display="https://africanmarketingconfederation.org/amc-marketing-conference-2024/amc-speakers-presentations-2024/::thin_content" xr:uid="{00000000-0004-0000-1500-000098040000}"/>
    <hyperlink ref="A394" r:id="rId393" xr:uid="{00000000-0004-0000-1500-000099040000}"/>
    <hyperlink ref="B394" location="FixPlan!A31" display="No Question Headings" xr:uid="{00000000-0004-0000-1500-00009A040000}"/>
    <hyperlink ref="E394" location="AEO!A1" display="https://africanmarketingconfederation.org/amc-marketing-conference-2024/amc-speakers-presentations-2024/::no_question_headings" xr:uid="{00000000-0004-0000-1500-00009B040000}"/>
    <hyperlink ref="A395" r:id="rId394" xr:uid="{00000000-0004-0000-1500-00009C040000}"/>
    <hyperlink ref="B395" location="FixPlan!A32" display="No Answer-Friendly Structure" xr:uid="{00000000-0004-0000-1500-00009D040000}"/>
    <hyperlink ref="E395" location="Technical!A1" display="https://africanmarketingconfederation.org/amc-marketing-conference-2024/amc-speakers-presentations-2024/::no_answer-friendly_structure" xr:uid="{00000000-0004-0000-1500-00009E040000}"/>
    <hyperlink ref="A396" r:id="rId395" xr:uid="{00000000-0004-0000-1500-00009F040000}"/>
    <hyperlink ref="B396" location="FixPlan!A33" display="No 40-60 Word Answer Paragraphs" xr:uid="{00000000-0004-0000-1500-0000A0040000}"/>
    <hyperlink ref="E396" location="Technical!A1" display="https://africanmarketingconfederation.org/amc-marketing-conference-2024/amc-speakers-presentations-2024/::no_40-60_word_answer_paragraphs" xr:uid="{00000000-0004-0000-1500-0000A1040000}"/>
    <hyperlink ref="A397" r:id="rId396" xr:uid="{00000000-0004-0000-1500-0000A2040000}"/>
    <hyperlink ref="B397" location="FixPlan!A34" display="AI Crawlers Not Explicitly Allowed" xr:uid="{00000000-0004-0000-1500-0000A3040000}"/>
    <hyperlink ref="E397" location="Technical!A1" display="https://africanmarketingconfederation.org/amc-marketing-conference-2024/amc-speakers-presentations-2024/::ai_crawlers_not_explicitly_allowed" xr:uid="{00000000-0004-0000-1500-0000A4040000}"/>
    <hyperlink ref="A398" r:id="rId397" xr:uid="{00000000-0004-0000-1500-0000A5040000}"/>
    <hyperlink ref="B398" location="FixPlan!A17" display="Multiple H1" xr:uid="{00000000-0004-0000-1500-0000A6040000}"/>
    <hyperlink ref="E398" location="Technical!A1" display="https://africanmarketingconfederation.org/amc-marketing-conference-2024/testimony-thank-you-page/::multiple_h1" xr:uid="{00000000-0004-0000-1500-0000A7040000}"/>
    <hyperlink ref="A399" r:id="rId398" xr:uid="{00000000-0004-0000-1500-0000A8040000}"/>
    <hyperlink ref="B399" location="FixPlan!A20" display="Low AEO Readiness Score" xr:uid="{00000000-0004-0000-1500-0000A9040000}"/>
    <hyperlink ref="E399" location="AEO!A1" display="https://africanmarketingconfederation.org/amc-marketing-conference-2024/testimony-thank-you-page/::low_aeo_readiness_score" xr:uid="{00000000-0004-0000-1500-0000AA040000}"/>
    <hyperlink ref="A400" r:id="rId399" xr:uid="{00000000-0004-0000-1500-0000AB040000}"/>
    <hyperlink ref="B400" location="FixPlan!A28" display="No Compression Header" xr:uid="{00000000-0004-0000-1500-0000AC040000}"/>
    <hyperlink ref="E400" location="Technical!A1" display="https://africanmarketingconfederation.org/amc-marketing-conference-2024/testimony-thank-you-page/::no_compression_header" xr:uid="{00000000-0004-0000-1500-0000AD040000}"/>
    <hyperlink ref="A401" r:id="rId400" xr:uid="{00000000-0004-0000-1500-0000AE040000}"/>
    <hyperlink ref="B401" location="FixPlan!A29" display="No Cache-Control Header" xr:uid="{00000000-0004-0000-1500-0000AF040000}"/>
    <hyperlink ref="E401" location="Technical!A1" display="https://africanmarketingconfederation.org/amc-marketing-conference-2024/testimony-thank-you-page/::no_cache-control_header" xr:uid="{00000000-0004-0000-1500-0000B0040000}"/>
    <hyperlink ref="A402" r:id="rId401" xr:uid="{00000000-0004-0000-1500-0000B1040000}"/>
    <hyperlink ref="B402" location="FixPlan!A30" display="No ETag Header" xr:uid="{00000000-0004-0000-1500-0000B2040000}"/>
    <hyperlink ref="E402" location="Technical!A1" display="https://africanmarketingconfederation.org/amc-marketing-conference-2024/testimony-thank-you-page/::no_etag_header" xr:uid="{00000000-0004-0000-1500-0000B3040000}"/>
    <hyperlink ref="A403" r:id="rId402" xr:uid="{00000000-0004-0000-1500-0000B4040000}"/>
    <hyperlink ref="B403" location="FixPlan!A35" display="Thin Content" xr:uid="{00000000-0004-0000-1500-0000B5040000}"/>
    <hyperlink ref="E403" location="Technical!A1" display="https://africanmarketingconfederation.org/amc-marketing-conference-2024/testimony-thank-you-page/::thin_content" xr:uid="{00000000-0004-0000-1500-0000B6040000}"/>
    <hyperlink ref="A404" r:id="rId403" xr:uid="{00000000-0004-0000-1500-0000B7040000}"/>
    <hyperlink ref="B404" location="FixPlan!A31" display="No Question Headings" xr:uid="{00000000-0004-0000-1500-0000B8040000}"/>
    <hyperlink ref="E404" location="AEO!A1" display="https://africanmarketingconfederation.org/amc-marketing-conference-2024/testimony-thank-you-page/::no_question_headings" xr:uid="{00000000-0004-0000-1500-0000B9040000}"/>
    <hyperlink ref="A405" r:id="rId404" xr:uid="{00000000-0004-0000-1500-0000BA040000}"/>
    <hyperlink ref="B405" location="FixPlan!A32" display="No Answer-Friendly Structure" xr:uid="{00000000-0004-0000-1500-0000BB040000}"/>
    <hyperlink ref="E405" location="Technical!A1" display="https://africanmarketingconfederation.org/amc-marketing-conference-2024/testimony-thank-you-page/::no_answer-friendly_structure" xr:uid="{00000000-0004-0000-1500-0000BC040000}"/>
    <hyperlink ref="A406" r:id="rId405" xr:uid="{00000000-0004-0000-1500-0000BD040000}"/>
    <hyperlink ref="B406" location="FixPlan!A33" display="No 40-60 Word Answer Paragraphs" xr:uid="{00000000-0004-0000-1500-0000BE040000}"/>
    <hyperlink ref="E406" location="Technical!A1" display="https://africanmarketingconfederation.org/amc-marketing-conference-2024/testimony-thank-you-page/::no_40-60_word_answer_paragraphs" xr:uid="{00000000-0004-0000-1500-0000BF040000}"/>
    <hyperlink ref="A407" r:id="rId406" xr:uid="{00000000-0004-0000-1500-0000C0040000}"/>
    <hyperlink ref="B407" location="FixPlan!A34" display="AI Crawlers Not Explicitly Allowed" xr:uid="{00000000-0004-0000-1500-0000C1040000}"/>
    <hyperlink ref="E407" location="Technical!A1" display="https://africanmarketingconfederation.org/amc-marketing-conference-2024/testimony-thank-you-page/::ai_crawlers_not_explicitly_allowed" xr:uid="{00000000-0004-0000-1500-0000C2040000}"/>
    <hyperlink ref="A408" r:id="rId407" xr:uid="{00000000-0004-0000-1500-0000C3040000}"/>
    <hyperlink ref="B408" location="FixPlan!A20" display="Low AEO Readiness Score" xr:uid="{00000000-0004-0000-1500-0000C4040000}"/>
    <hyperlink ref="E408" location="AEO!A1" display="https://africanmarketingconfederation.org/amc-sign-up-now-form-2025/::low_aeo_readiness_score" xr:uid="{00000000-0004-0000-1500-0000C5040000}"/>
    <hyperlink ref="A409" r:id="rId408" xr:uid="{00000000-0004-0000-1500-0000C6040000}"/>
    <hyperlink ref="B409" location="FixPlan!A28" display="No Compression Header" xr:uid="{00000000-0004-0000-1500-0000C7040000}"/>
    <hyperlink ref="E409" location="Technical!A1" display="https://africanmarketingconfederation.org/amc-sign-up-now-form-2025/::no_compression_header" xr:uid="{00000000-0004-0000-1500-0000C8040000}"/>
    <hyperlink ref="A410" r:id="rId409" xr:uid="{00000000-0004-0000-1500-0000C9040000}"/>
    <hyperlink ref="B410" location="FixPlan!A29" display="No Cache-Control Header" xr:uid="{00000000-0004-0000-1500-0000CA040000}"/>
    <hyperlink ref="E410" location="Technical!A1" display="https://africanmarketingconfederation.org/amc-sign-up-now-form-2025/::no_cache-control_header" xr:uid="{00000000-0004-0000-1500-0000CB040000}"/>
    <hyperlink ref="A411" r:id="rId410" xr:uid="{00000000-0004-0000-1500-0000CC040000}"/>
    <hyperlink ref="B411" location="FixPlan!A30" display="No ETag Header" xr:uid="{00000000-0004-0000-1500-0000CD040000}"/>
    <hyperlink ref="E411" location="Technical!A1" display="https://africanmarketingconfederation.org/amc-sign-up-now-form-2025/::no_etag_header" xr:uid="{00000000-0004-0000-1500-0000CE040000}"/>
    <hyperlink ref="A412" r:id="rId411" xr:uid="{00000000-0004-0000-1500-0000CF040000}"/>
    <hyperlink ref="B412" location="FixPlan!A31" display="No Question Headings" xr:uid="{00000000-0004-0000-1500-0000D0040000}"/>
    <hyperlink ref="E412" location="AEO!A1" display="https://africanmarketingconfederation.org/amc-sign-up-now-form-2025/::no_question_headings" xr:uid="{00000000-0004-0000-1500-0000D1040000}"/>
    <hyperlink ref="A413" r:id="rId412" xr:uid="{00000000-0004-0000-1500-0000D2040000}"/>
    <hyperlink ref="B413" location="FixPlan!A32" display="No Answer-Friendly Structure" xr:uid="{00000000-0004-0000-1500-0000D3040000}"/>
    <hyperlink ref="E413" location="Technical!A1" display="https://africanmarketingconfederation.org/amc-sign-up-now-form-2025/::no_answer-friendly_structure" xr:uid="{00000000-0004-0000-1500-0000D4040000}"/>
    <hyperlink ref="A414" r:id="rId413" xr:uid="{00000000-0004-0000-1500-0000D5040000}"/>
    <hyperlink ref="B414" location="FixPlan!A33" display="No 40-60 Word Answer Paragraphs" xr:uid="{00000000-0004-0000-1500-0000D6040000}"/>
    <hyperlink ref="E414" location="Technical!A1" display="https://africanmarketingconfederation.org/amc-sign-up-now-form-2025/::no_40-60_word_answer_paragraphs" xr:uid="{00000000-0004-0000-1500-0000D7040000}"/>
    <hyperlink ref="A415" r:id="rId414" xr:uid="{00000000-0004-0000-1500-0000D8040000}"/>
    <hyperlink ref="B415" location="FixPlan!A34" display="AI Crawlers Not Explicitly Allowed" xr:uid="{00000000-0004-0000-1500-0000D9040000}"/>
    <hyperlink ref="E415" location="Technical!A1" display="https://africanmarketingconfederation.org/amc-sign-up-now-form-2025/::ai_crawlers_not_explicitly_allowed" xr:uid="{00000000-0004-0000-1500-0000DA040000}"/>
    <hyperlink ref="A416" r:id="rId415" xr:uid="{00000000-0004-0000-1500-0000DB040000}"/>
    <hyperlink ref="B416" location="FixPlan!A20" display="Low AEO Readiness Score" xr:uid="{00000000-0004-0000-1500-0000DC040000}"/>
    <hyperlink ref="E416" location="AEO!A1" display="https://africanmarketingconfederation.org/amc-testimony-page-2024/::low_aeo_readiness_score" xr:uid="{00000000-0004-0000-1500-0000DD040000}"/>
    <hyperlink ref="A417" r:id="rId416" xr:uid="{00000000-0004-0000-1500-0000DE040000}"/>
    <hyperlink ref="B417" location="FixPlan!A28" display="No Compression Header" xr:uid="{00000000-0004-0000-1500-0000DF040000}"/>
    <hyperlink ref="E417" location="Technical!A1" display="https://africanmarketingconfederation.org/amc-testimony-page-2024/::no_compression_header" xr:uid="{00000000-0004-0000-1500-0000E0040000}"/>
    <hyperlink ref="A418" r:id="rId417" xr:uid="{00000000-0004-0000-1500-0000E1040000}"/>
    <hyperlink ref="B418" location="FixPlan!A29" display="No Cache-Control Header" xr:uid="{00000000-0004-0000-1500-0000E2040000}"/>
    <hyperlink ref="E418" location="Technical!A1" display="https://africanmarketingconfederation.org/amc-testimony-page-2024/::no_cache-control_header" xr:uid="{00000000-0004-0000-1500-0000E3040000}"/>
    <hyperlink ref="A419" r:id="rId418" xr:uid="{00000000-0004-0000-1500-0000E4040000}"/>
    <hyperlink ref="B419" location="FixPlan!A30" display="No ETag Header" xr:uid="{00000000-0004-0000-1500-0000E5040000}"/>
    <hyperlink ref="E419" location="Technical!A1" display="https://africanmarketingconfederation.org/amc-testimony-page-2024/::no_etag_header" xr:uid="{00000000-0004-0000-1500-0000E6040000}"/>
    <hyperlink ref="A420" r:id="rId419" xr:uid="{00000000-0004-0000-1500-0000E7040000}"/>
    <hyperlink ref="B420" location="FixPlan!A31" display="No Question Headings" xr:uid="{00000000-0004-0000-1500-0000E8040000}"/>
    <hyperlink ref="E420" location="AEO!A1" display="https://africanmarketingconfederation.org/amc-testimony-page-2024/::no_question_headings" xr:uid="{00000000-0004-0000-1500-0000E9040000}"/>
    <hyperlink ref="A421" r:id="rId420" xr:uid="{00000000-0004-0000-1500-0000EA040000}"/>
    <hyperlink ref="B421" location="FixPlan!A32" display="No Answer-Friendly Structure" xr:uid="{00000000-0004-0000-1500-0000EB040000}"/>
    <hyperlink ref="E421" location="Technical!A1" display="https://africanmarketingconfederation.org/amc-testimony-page-2024/::no_answer-friendly_structure" xr:uid="{00000000-0004-0000-1500-0000EC040000}"/>
    <hyperlink ref="A422" r:id="rId421" xr:uid="{00000000-0004-0000-1500-0000ED040000}"/>
    <hyperlink ref="B422" location="FixPlan!A33" display="No 40-60 Word Answer Paragraphs" xr:uid="{00000000-0004-0000-1500-0000EE040000}"/>
    <hyperlink ref="E422" location="Technical!A1" display="https://africanmarketingconfederation.org/amc-testimony-page-2024/::no_40-60_word_answer_paragraphs" xr:uid="{00000000-0004-0000-1500-0000EF040000}"/>
    <hyperlink ref="A423" r:id="rId422" xr:uid="{00000000-0004-0000-1500-0000F0040000}"/>
    <hyperlink ref="B423" location="FixPlan!A34" display="AI Crawlers Not Explicitly Allowed" xr:uid="{00000000-0004-0000-1500-0000F1040000}"/>
    <hyperlink ref="E423" location="Technical!A1" display="https://africanmarketingconfederation.org/amc-testimony-page-2024/::ai_crawlers_not_explicitly_allowed" xr:uid="{00000000-0004-0000-1500-0000F2040000}"/>
    <hyperlink ref="A424" r:id="rId423" xr:uid="{00000000-0004-0000-1500-0000F3040000}"/>
    <hyperlink ref="B424" location="FixPlan!A7" display="Non-200 Status" xr:uid="{00000000-0004-0000-1500-0000F4040000}"/>
    <hyperlink ref="E424" location="Technical!A1" display="https://africanmarketingconfederation.org/amc-conference-sponsors/::non-200_status" xr:uid="{00000000-0004-0000-1500-0000F5040000}"/>
    <hyperlink ref="A425" r:id="rId424" xr:uid="{00000000-0004-0000-1500-0000F6040000}"/>
    <hyperlink ref="B425" location="FixPlan!A8" display="Missing Title" xr:uid="{00000000-0004-0000-1500-0000F7040000}"/>
    <hyperlink ref="E425" location="Technical!A1" display="https://africanmarketingconfederation.org/amc-conference-sponsors/::missing_title" xr:uid="{00000000-0004-0000-1500-0000F8040000}"/>
    <hyperlink ref="A426" r:id="rId425" xr:uid="{00000000-0004-0000-1500-0000F9040000}"/>
    <hyperlink ref="B426" location="FixPlan!A18" display="Missing Meta Description" xr:uid="{00000000-0004-0000-1500-0000FA040000}"/>
    <hyperlink ref="E426" location="Technical!A1" display="https://africanmarketingconfederation.org/amc-conference-sponsors/::missing_meta_description" xr:uid="{00000000-0004-0000-1500-0000FB040000}"/>
    <hyperlink ref="A427" r:id="rId426" xr:uid="{00000000-0004-0000-1500-0000FC040000}"/>
    <hyperlink ref="B427" location="FixPlan!A20" display="Low AEO Readiness Score" xr:uid="{00000000-0004-0000-1500-0000FD040000}"/>
    <hyperlink ref="E427" location="AEO!A1" display="https://africanmarketingconfederation.org/amc-conference-sponsors/::low_aeo_readiness_score" xr:uid="{00000000-0004-0000-1500-0000FE040000}"/>
    <hyperlink ref="A428" r:id="rId427" xr:uid="{00000000-0004-0000-1500-0000FF040000}"/>
    <hyperlink ref="B428" location="FixPlan!A28" display="No Compression Header" xr:uid="{00000000-0004-0000-1500-000000050000}"/>
    <hyperlink ref="E428" location="Technical!A1" display="https://africanmarketingconfederation.org/amc-conference-sponsors/::no_compression_header" xr:uid="{00000000-0004-0000-1500-000001050000}"/>
    <hyperlink ref="A429" r:id="rId428" xr:uid="{00000000-0004-0000-1500-000002050000}"/>
    <hyperlink ref="B429" location="FixPlan!A29" display="No Cache-Control Header" xr:uid="{00000000-0004-0000-1500-000003050000}"/>
    <hyperlink ref="E429" location="Technical!A1" display="https://africanmarketingconfederation.org/amc-conference-sponsors/::no_cache-control_header" xr:uid="{00000000-0004-0000-1500-000004050000}"/>
    <hyperlink ref="A430" r:id="rId429" xr:uid="{00000000-0004-0000-1500-000005050000}"/>
    <hyperlink ref="B430" location="FixPlan!A30" display="No ETag Header" xr:uid="{00000000-0004-0000-1500-000006050000}"/>
    <hyperlink ref="E430" location="Technical!A1" display="https://africanmarketingconfederation.org/amc-conference-sponsors/::no_etag_header" xr:uid="{00000000-0004-0000-1500-000007050000}"/>
    <hyperlink ref="A431" r:id="rId430" xr:uid="{00000000-0004-0000-1500-000008050000}"/>
    <hyperlink ref="B431" location="FixPlan!A31" display="No Question Headings" xr:uid="{00000000-0004-0000-1500-000009050000}"/>
    <hyperlink ref="E431" location="AEO!A1" display="https://africanmarketingconfederation.org/amc-conference-sponsors/::no_question_headings" xr:uid="{00000000-0004-0000-1500-00000A050000}"/>
    <hyperlink ref="A432" r:id="rId431" xr:uid="{00000000-0004-0000-1500-00000B050000}"/>
    <hyperlink ref="B432" location="FixPlan!A32" display="No Answer-Friendly Structure" xr:uid="{00000000-0004-0000-1500-00000C050000}"/>
    <hyperlink ref="E432" location="Technical!A1" display="https://africanmarketingconfederation.org/amc-conference-sponsors/::no_answer-friendly_structure" xr:uid="{00000000-0004-0000-1500-00000D050000}"/>
    <hyperlink ref="A433" r:id="rId432" xr:uid="{00000000-0004-0000-1500-00000E050000}"/>
    <hyperlink ref="B433" location="FixPlan!A33" display="No 40-60 Word Answer Paragraphs" xr:uid="{00000000-0004-0000-1500-00000F050000}"/>
    <hyperlink ref="E433" location="Technical!A1" display="https://africanmarketingconfederation.org/amc-conference-sponsors/::no_40-60_word_answer_paragraphs" xr:uid="{00000000-0004-0000-1500-000010050000}"/>
    <hyperlink ref="A434" r:id="rId433" xr:uid="{00000000-0004-0000-1500-000011050000}"/>
    <hyperlink ref="B434" location="FixPlan!A27" display="Low Regional Authority" xr:uid="{00000000-0004-0000-1500-000012050000}"/>
    <hyperlink ref="E434" location="Technical!A1" display="https://africanmarketingconfederation.org/amc-conference-sponsors/::low_regional_authority" xr:uid="{00000000-0004-0000-1500-000013050000}"/>
    <hyperlink ref="A435" r:id="rId434" xr:uid="{00000000-0004-0000-1500-000014050000}"/>
    <hyperlink ref="B435" location="FixPlan!A34" display="AI Crawlers Not Explicitly Allowed" xr:uid="{00000000-0004-0000-1500-000015050000}"/>
    <hyperlink ref="E435" location="Technical!A1" display="https://africanmarketingconfederation.org/amc-conference-sponsors/::ai_crawlers_not_explicitly_allowed" xr:uid="{00000000-0004-0000-1500-000016050000}"/>
    <hyperlink ref="A436" r:id="rId435" xr:uid="{00000000-0004-0000-1500-000017050000}"/>
    <hyperlink ref="B436" location="FixPlan!A7" display="Non-200 Status" xr:uid="{00000000-0004-0000-1500-000018050000}"/>
    <hyperlink ref="E436" location="Technical!A1" display="https://africanmarketingconfederation.org/amc-marketing-conference-2024/speakers-2024/::non-200_status" xr:uid="{00000000-0004-0000-1500-000019050000}"/>
    <hyperlink ref="A437" r:id="rId436" xr:uid="{00000000-0004-0000-1500-00001A050000}"/>
    <hyperlink ref="B437" location="FixPlan!A8" display="Missing Title" xr:uid="{00000000-0004-0000-1500-00001B050000}"/>
    <hyperlink ref="E437" location="Technical!A1" display="https://africanmarketingconfederation.org/amc-marketing-conference-2024/speakers-2024/::missing_title" xr:uid="{00000000-0004-0000-1500-00001C050000}"/>
    <hyperlink ref="A438" r:id="rId437" xr:uid="{00000000-0004-0000-1500-00001D050000}"/>
    <hyperlink ref="B438" location="FixPlan!A18" display="Missing Meta Description" xr:uid="{00000000-0004-0000-1500-00001E050000}"/>
    <hyperlink ref="E438" location="Technical!A1" display="https://africanmarketingconfederation.org/amc-marketing-conference-2024/speakers-2024/::missing_meta_description" xr:uid="{00000000-0004-0000-1500-00001F050000}"/>
    <hyperlink ref="A439" r:id="rId438" xr:uid="{00000000-0004-0000-1500-000020050000}"/>
    <hyperlink ref="B439" location="FixPlan!A20" display="Low AEO Readiness Score" xr:uid="{00000000-0004-0000-1500-000021050000}"/>
    <hyperlink ref="E439" location="AEO!A1" display="https://africanmarketingconfederation.org/amc-marketing-conference-2024/speakers-2024/::low_aeo_readiness_score" xr:uid="{00000000-0004-0000-1500-000022050000}"/>
    <hyperlink ref="A440" r:id="rId439" xr:uid="{00000000-0004-0000-1500-000023050000}"/>
    <hyperlink ref="B440" location="FixPlan!A28" display="No Compression Header" xr:uid="{00000000-0004-0000-1500-000024050000}"/>
    <hyperlink ref="E440" location="Technical!A1" display="https://africanmarketingconfederation.org/amc-marketing-conference-2024/speakers-2024/::no_compression_header" xr:uid="{00000000-0004-0000-1500-000025050000}"/>
    <hyperlink ref="A441" r:id="rId440" xr:uid="{00000000-0004-0000-1500-000026050000}"/>
    <hyperlink ref="B441" location="FixPlan!A29" display="No Cache-Control Header" xr:uid="{00000000-0004-0000-1500-000027050000}"/>
    <hyperlink ref="E441" location="Technical!A1" display="https://africanmarketingconfederation.org/amc-marketing-conference-2024/speakers-2024/::no_cache-control_header" xr:uid="{00000000-0004-0000-1500-000028050000}"/>
    <hyperlink ref="A442" r:id="rId441" xr:uid="{00000000-0004-0000-1500-000029050000}"/>
    <hyperlink ref="B442" location="FixPlan!A30" display="No ETag Header" xr:uid="{00000000-0004-0000-1500-00002A050000}"/>
    <hyperlink ref="E442" location="Technical!A1" display="https://africanmarketingconfederation.org/amc-marketing-conference-2024/speakers-2024/::no_etag_header" xr:uid="{00000000-0004-0000-1500-00002B050000}"/>
    <hyperlink ref="A443" r:id="rId442" xr:uid="{00000000-0004-0000-1500-00002C050000}"/>
    <hyperlink ref="B443" location="FixPlan!A31" display="No Question Headings" xr:uid="{00000000-0004-0000-1500-00002D050000}"/>
    <hyperlink ref="E443" location="AEO!A1" display="https://africanmarketingconfederation.org/amc-marketing-conference-2024/speakers-2024/::no_question_headings" xr:uid="{00000000-0004-0000-1500-00002E050000}"/>
    <hyperlink ref="A444" r:id="rId443" xr:uid="{00000000-0004-0000-1500-00002F050000}"/>
    <hyperlink ref="B444" location="FixPlan!A32" display="No Answer-Friendly Structure" xr:uid="{00000000-0004-0000-1500-000030050000}"/>
    <hyperlink ref="E444" location="Technical!A1" display="https://africanmarketingconfederation.org/amc-marketing-conference-2024/speakers-2024/::no_answer-friendly_structure" xr:uid="{00000000-0004-0000-1500-000031050000}"/>
    <hyperlink ref="A445" r:id="rId444" xr:uid="{00000000-0004-0000-1500-000032050000}"/>
    <hyperlink ref="B445" location="FixPlan!A33" display="No 40-60 Word Answer Paragraphs" xr:uid="{00000000-0004-0000-1500-000033050000}"/>
    <hyperlink ref="E445" location="Technical!A1" display="https://africanmarketingconfederation.org/amc-marketing-conference-2024/speakers-2024/::no_40-60_word_answer_paragraphs" xr:uid="{00000000-0004-0000-1500-000034050000}"/>
    <hyperlink ref="A446" r:id="rId445" xr:uid="{00000000-0004-0000-1500-000035050000}"/>
    <hyperlink ref="B446" location="FixPlan!A27" display="Low Regional Authority" xr:uid="{00000000-0004-0000-1500-000036050000}"/>
    <hyperlink ref="E446" location="Technical!A1" display="https://africanmarketingconfederation.org/amc-marketing-conference-2024/speakers-2024/::low_regional_authority" xr:uid="{00000000-0004-0000-1500-000037050000}"/>
    <hyperlink ref="A447" r:id="rId446" xr:uid="{00000000-0004-0000-1500-000038050000}"/>
    <hyperlink ref="B447" location="FixPlan!A34" display="AI Crawlers Not Explicitly Allowed" xr:uid="{00000000-0004-0000-1500-000039050000}"/>
    <hyperlink ref="E447" location="Technical!A1" display="https://africanmarketingconfederation.org/amc-marketing-conference-2024/speakers-2024/::ai_crawlers_not_explicitly_allowed" xr:uid="{00000000-0004-0000-1500-00003A050000}"/>
    <hyperlink ref="A448" r:id="rId447" xr:uid="{00000000-0004-0000-1500-00003B050000}"/>
    <hyperlink ref="B448" location="FixPlan!A19" display="Missing H1" xr:uid="{00000000-0004-0000-1500-00003C050000}"/>
    <hyperlink ref="E448" location="Technical!A1" display="https://africanmarketingconfederation.org/thank-you-for-registering-2024-registrations/::missing_h1" xr:uid="{00000000-0004-0000-1500-00003D050000}"/>
    <hyperlink ref="A449" r:id="rId448" xr:uid="{00000000-0004-0000-1500-00003E050000}"/>
    <hyperlink ref="B449" location="FixPlan!A20" display="Low AEO Readiness Score" xr:uid="{00000000-0004-0000-1500-00003F050000}"/>
    <hyperlink ref="E449" location="AEO!A1" display="https://africanmarketingconfederation.org/thank-you-for-registering-2024-registrations/::low_aeo_readiness_score" xr:uid="{00000000-0004-0000-1500-000040050000}"/>
    <hyperlink ref="A450" r:id="rId449" xr:uid="{00000000-0004-0000-1500-000041050000}"/>
    <hyperlink ref="B450" location="FixPlan!A28" display="No Compression Header" xr:uid="{00000000-0004-0000-1500-000042050000}"/>
    <hyperlink ref="E450" location="Technical!A1" display="https://africanmarketingconfederation.org/thank-you-for-registering-2024-registrations/::no_compression_header" xr:uid="{00000000-0004-0000-1500-000043050000}"/>
    <hyperlink ref="A451" r:id="rId450" xr:uid="{00000000-0004-0000-1500-000044050000}"/>
    <hyperlink ref="B451" location="FixPlan!A29" display="No Cache-Control Header" xr:uid="{00000000-0004-0000-1500-000045050000}"/>
    <hyperlink ref="E451" location="Technical!A1" display="https://africanmarketingconfederation.org/thank-you-for-registering-2024-registrations/::no_cache-control_header" xr:uid="{00000000-0004-0000-1500-000046050000}"/>
    <hyperlink ref="A452" r:id="rId451" xr:uid="{00000000-0004-0000-1500-000047050000}"/>
    <hyperlink ref="B452" location="FixPlan!A30" display="No ETag Header" xr:uid="{00000000-0004-0000-1500-000048050000}"/>
    <hyperlink ref="E452" location="Technical!A1" display="https://africanmarketingconfederation.org/thank-you-for-registering-2024-registrations/::no_etag_header" xr:uid="{00000000-0004-0000-1500-000049050000}"/>
    <hyperlink ref="A453" r:id="rId452" xr:uid="{00000000-0004-0000-1500-00004A050000}"/>
    <hyperlink ref="B453" location="FixPlan!A35" display="Thin Content" xr:uid="{00000000-0004-0000-1500-00004B050000}"/>
    <hyperlink ref="E453" location="Technical!A1" display="https://africanmarketingconfederation.org/thank-you-for-registering-2024-registrations/::thin_content" xr:uid="{00000000-0004-0000-1500-00004C050000}"/>
    <hyperlink ref="A454" r:id="rId453" xr:uid="{00000000-0004-0000-1500-00004D050000}"/>
    <hyperlink ref="B454" location="FixPlan!A31" display="No Question Headings" xr:uid="{00000000-0004-0000-1500-00004E050000}"/>
    <hyperlink ref="E454" location="AEO!A1" display="https://africanmarketingconfederation.org/thank-you-for-registering-2024-registrations/::no_question_headings" xr:uid="{00000000-0004-0000-1500-00004F050000}"/>
    <hyperlink ref="A455" r:id="rId454" xr:uid="{00000000-0004-0000-1500-000050050000}"/>
    <hyperlink ref="B455" location="FixPlan!A32" display="No Answer-Friendly Structure" xr:uid="{00000000-0004-0000-1500-000051050000}"/>
    <hyperlink ref="E455" location="Technical!A1" display="https://africanmarketingconfederation.org/thank-you-for-registering-2024-registrations/::no_answer-friendly_structure" xr:uid="{00000000-0004-0000-1500-000052050000}"/>
    <hyperlink ref="A456" r:id="rId455" xr:uid="{00000000-0004-0000-1500-000053050000}"/>
    <hyperlink ref="B456" location="FixPlan!A33" display="No 40-60 Word Answer Paragraphs" xr:uid="{00000000-0004-0000-1500-000054050000}"/>
    <hyperlink ref="E456" location="Technical!A1" display="https://africanmarketingconfederation.org/thank-you-for-registering-2024-registrations/::no_40-60_word_answer_paragraphs" xr:uid="{00000000-0004-0000-1500-000055050000}"/>
    <hyperlink ref="A457" r:id="rId456" xr:uid="{00000000-0004-0000-1500-000056050000}"/>
    <hyperlink ref="B457" location="FixPlan!A34" display="AI Crawlers Not Explicitly Allowed" xr:uid="{00000000-0004-0000-1500-000057050000}"/>
    <hyperlink ref="E457" location="Technical!A1" display="https://africanmarketingconfederation.org/thank-you-for-registering-2024-registrations/::ai_crawlers_not_explicitly_allowed" xr:uid="{00000000-0004-0000-1500-000058050000}"/>
    <hyperlink ref="A458" r:id="rId457" xr:uid="{00000000-0004-0000-1500-000059050000}"/>
    <hyperlink ref="B458" location="FixPlan!A19" display="Missing H1" xr:uid="{00000000-0004-0000-1500-00005A050000}"/>
    <hyperlink ref="E458" location="Technical!A1" display="https://africanmarketingconfederation.org/download-prospectus-2024/::missing_h1" xr:uid="{00000000-0004-0000-1500-00005B050000}"/>
    <hyperlink ref="A459" r:id="rId458" xr:uid="{00000000-0004-0000-1500-00005C050000}"/>
    <hyperlink ref="B459" location="FixPlan!A20" display="Low AEO Readiness Score" xr:uid="{00000000-0004-0000-1500-00005D050000}"/>
    <hyperlink ref="E459" location="AEO!A1" display="https://africanmarketingconfederation.org/download-prospectus-2024/::low_aeo_readiness_score" xr:uid="{00000000-0004-0000-1500-00005E050000}"/>
    <hyperlink ref="A460" r:id="rId459" xr:uid="{00000000-0004-0000-1500-00005F050000}"/>
    <hyperlink ref="B460" location="FixPlan!A28" display="No Compression Header" xr:uid="{00000000-0004-0000-1500-000060050000}"/>
    <hyperlink ref="E460" location="Technical!A1" display="https://africanmarketingconfederation.org/download-prospectus-2024/::no_compression_header" xr:uid="{00000000-0004-0000-1500-000061050000}"/>
    <hyperlink ref="A461" r:id="rId460" xr:uid="{00000000-0004-0000-1500-000062050000}"/>
    <hyperlink ref="B461" location="FixPlan!A29" display="No Cache-Control Header" xr:uid="{00000000-0004-0000-1500-000063050000}"/>
    <hyperlink ref="E461" location="Technical!A1" display="https://africanmarketingconfederation.org/download-prospectus-2024/::no_cache-control_header" xr:uid="{00000000-0004-0000-1500-000064050000}"/>
    <hyperlink ref="A462" r:id="rId461" xr:uid="{00000000-0004-0000-1500-000065050000}"/>
    <hyperlink ref="B462" location="FixPlan!A30" display="No ETag Header" xr:uid="{00000000-0004-0000-1500-000066050000}"/>
    <hyperlink ref="E462" location="Technical!A1" display="https://africanmarketingconfederation.org/download-prospectus-2024/::no_etag_header" xr:uid="{00000000-0004-0000-1500-000067050000}"/>
    <hyperlink ref="A463" r:id="rId462" xr:uid="{00000000-0004-0000-1500-000068050000}"/>
    <hyperlink ref="B463" location="FixPlan!A35" display="Thin Content" xr:uid="{00000000-0004-0000-1500-000069050000}"/>
    <hyperlink ref="E463" location="Technical!A1" display="https://africanmarketingconfederation.org/download-prospectus-2024/::thin_content" xr:uid="{00000000-0004-0000-1500-00006A050000}"/>
    <hyperlink ref="A464" r:id="rId463" xr:uid="{00000000-0004-0000-1500-00006B050000}"/>
    <hyperlink ref="B464" location="FixPlan!A31" display="No Question Headings" xr:uid="{00000000-0004-0000-1500-00006C050000}"/>
    <hyperlink ref="E464" location="AEO!A1" display="https://africanmarketingconfederation.org/download-prospectus-2024/::no_question_headings" xr:uid="{00000000-0004-0000-1500-00006D050000}"/>
    <hyperlink ref="A465" r:id="rId464" xr:uid="{00000000-0004-0000-1500-00006E050000}"/>
    <hyperlink ref="B465" location="FixPlan!A32" display="No Answer-Friendly Structure" xr:uid="{00000000-0004-0000-1500-00006F050000}"/>
    <hyperlink ref="E465" location="Technical!A1" display="https://africanmarketingconfederation.org/download-prospectus-2024/::no_answer-friendly_structure" xr:uid="{00000000-0004-0000-1500-000070050000}"/>
    <hyperlink ref="A466" r:id="rId465" xr:uid="{00000000-0004-0000-1500-000071050000}"/>
    <hyperlink ref="B466" location="FixPlan!A33" display="No 40-60 Word Answer Paragraphs" xr:uid="{00000000-0004-0000-1500-000072050000}"/>
    <hyperlink ref="E466" location="Technical!A1" display="https://africanmarketingconfederation.org/download-prospectus-2024/::no_40-60_word_answer_paragraphs" xr:uid="{00000000-0004-0000-1500-000073050000}"/>
    <hyperlink ref="A467" r:id="rId466" xr:uid="{00000000-0004-0000-1500-000074050000}"/>
    <hyperlink ref="B467" location="FixPlan!A34" display="AI Crawlers Not Explicitly Allowed" xr:uid="{00000000-0004-0000-1500-000075050000}"/>
    <hyperlink ref="E467" location="Technical!A1" display="https://africanmarketingconfederation.org/download-prospectus-2024/::ai_crawlers_not_explicitly_allowed" xr:uid="{00000000-0004-0000-1500-000076050000}"/>
    <hyperlink ref="A468" r:id="rId467" xr:uid="{00000000-0004-0000-1500-000077050000}"/>
    <hyperlink ref="B468" location="FixPlan!A19" display="Missing H1" xr:uid="{00000000-0004-0000-1500-000078050000}"/>
    <hyperlink ref="E468" location="Technical!A1" display="https://africanmarketingconfederation.org/thank-you-for-registering-2024-registrations-kenya/::missing_h1" xr:uid="{00000000-0004-0000-1500-000079050000}"/>
    <hyperlink ref="A469" r:id="rId468" xr:uid="{00000000-0004-0000-1500-00007A050000}"/>
    <hyperlink ref="B469" location="FixPlan!A20" display="Low AEO Readiness Score" xr:uid="{00000000-0004-0000-1500-00007B050000}"/>
    <hyperlink ref="E469" location="AEO!A1" display="https://africanmarketingconfederation.org/thank-you-for-registering-2024-registrations-kenya/::low_aeo_readiness_score" xr:uid="{00000000-0004-0000-1500-00007C050000}"/>
    <hyperlink ref="A470" r:id="rId469" xr:uid="{00000000-0004-0000-1500-00007D050000}"/>
    <hyperlink ref="B470" location="FixPlan!A28" display="No Compression Header" xr:uid="{00000000-0004-0000-1500-00007E050000}"/>
    <hyperlink ref="E470" location="Technical!A1" display="https://africanmarketingconfederation.org/thank-you-for-registering-2024-registrations-kenya/::no_compression_header" xr:uid="{00000000-0004-0000-1500-00007F050000}"/>
    <hyperlink ref="A471" r:id="rId470" xr:uid="{00000000-0004-0000-1500-000080050000}"/>
    <hyperlink ref="B471" location="FixPlan!A29" display="No Cache-Control Header" xr:uid="{00000000-0004-0000-1500-000081050000}"/>
    <hyperlink ref="E471" location="Technical!A1" display="https://africanmarketingconfederation.org/thank-you-for-registering-2024-registrations-kenya/::no_cache-control_header" xr:uid="{00000000-0004-0000-1500-000082050000}"/>
    <hyperlink ref="A472" r:id="rId471" xr:uid="{00000000-0004-0000-1500-000083050000}"/>
    <hyperlink ref="B472" location="FixPlan!A30" display="No ETag Header" xr:uid="{00000000-0004-0000-1500-000084050000}"/>
    <hyperlink ref="E472" location="Technical!A1" display="https://africanmarketingconfederation.org/thank-you-for-registering-2024-registrations-kenya/::no_etag_header" xr:uid="{00000000-0004-0000-1500-000085050000}"/>
    <hyperlink ref="A473" r:id="rId472" xr:uid="{00000000-0004-0000-1500-000086050000}"/>
    <hyperlink ref="B473" location="FixPlan!A35" display="Thin Content" xr:uid="{00000000-0004-0000-1500-000087050000}"/>
    <hyperlink ref="E473" location="Technical!A1" display="https://africanmarketingconfederation.org/thank-you-for-registering-2024-registrations-kenya/::thin_content" xr:uid="{00000000-0004-0000-1500-000088050000}"/>
    <hyperlink ref="A474" r:id="rId473" xr:uid="{00000000-0004-0000-1500-000089050000}"/>
    <hyperlink ref="B474" location="FixPlan!A31" display="No Question Headings" xr:uid="{00000000-0004-0000-1500-00008A050000}"/>
    <hyperlink ref="E474" location="AEO!A1" display="https://africanmarketingconfederation.org/thank-you-for-registering-2024-registrations-kenya/::no_question_headings" xr:uid="{00000000-0004-0000-1500-00008B050000}"/>
    <hyperlink ref="A475" r:id="rId474" xr:uid="{00000000-0004-0000-1500-00008C050000}"/>
    <hyperlink ref="B475" location="FixPlan!A32" display="No Answer-Friendly Structure" xr:uid="{00000000-0004-0000-1500-00008D050000}"/>
    <hyperlink ref="E475" location="Technical!A1" display="https://africanmarketingconfederation.org/thank-you-for-registering-2024-registrations-kenya/::no_answer-friendly_structure" xr:uid="{00000000-0004-0000-1500-00008E050000}"/>
    <hyperlink ref="A476" r:id="rId475" xr:uid="{00000000-0004-0000-1500-00008F050000}"/>
    <hyperlink ref="B476" location="FixPlan!A33" display="No 40-60 Word Answer Paragraphs" xr:uid="{00000000-0004-0000-1500-000090050000}"/>
    <hyperlink ref="E476" location="Technical!A1" display="https://africanmarketingconfederation.org/thank-you-for-registering-2024-registrations-kenya/::no_40-60_word_answer_paragraphs" xr:uid="{00000000-0004-0000-1500-000091050000}"/>
    <hyperlink ref="A477" r:id="rId476" xr:uid="{00000000-0004-0000-1500-000092050000}"/>
    <hyperlink ref="B477" location="FixPlan!A34" display="AI Crawlers Not Explicitly Allowed" xr:uid="{00000000-0004-0000-1500-000093050000}"/>
    <hyperlink ref="E477" location="Technical!A1" display="https://africanmarketingconfederation.org/thank-you-for-registering-2024-registrations-kenya/::ai_crawlers_not_explicitly_allowed" xr:uid="{00000000-0004-0000-1500-000094050000}"/>
    <hyperlink ref="A478" r:id="rId477" xr:uid="{00000000-0004-0000-1500-000095050000}"/>
    <hyperlink ref="B478" location="FixPlan!A19" display="Missing H1" xr:uid="{00000000-0004-0000-1500-000096050000}"/>
    <hyperlink ref="E478" location="Technical!A1" display="https://africanmarketingconfederation.org/subscribe/::missing_h1" xr:uid="{00000000-0004-0000-1500-000097050000}"/>
    <hyperlink ref="A479" r:id="rId478" xr:uid="{00000000-0004-0000-1500-000098050000}"/>
    <hyperlink ref="B479" location="FixPlan!A20" display="Low AEO Readiness Score" xr:uid="{00000000-0004-0000-1500-000099050000}"/>
    <hyperlink ref="E479" location="AEO!A1" display="https://africanmarketingconfederation.org/subscribe/::low_aeo_readiness_score" xr:uid="{00000000-0004-0000-1500-00009A050000}"/>
    <hyperlink ref="A480" r:id="rId479" xr:uid="{00000000-0004-0000-1500-00009B050000}"/>
    <hyperlink ref="B480" location="FixPlan!A28" display="No Compression Header" xr:uid="{00000000-0004-0000-1500-00009C050000}"/>
    <hyperlink ref="E480" location="Technical!A1" display="https://africanmarketingconfederation.org/subscribe/::no_compression_header" xr:uid="{00000000-0004-0000-1500-00009D050000}"/>
    <hyperlink ref="A481" r:id="rId480" xr:uid="{00000000-0004-0000-1500-00009E050000}"/>
    <hyperlink ref="B481" location="FixPlan!A29" display="No Cache-Control Header" xr:uid="{00000000-0004-0000-1500-00009F050000}"/>
    <hyperlink ref="E481" location="Technical!A1" display="https://africanmarketingconfederation.org/subscribe/::no_cache-control_header" xr:uid="{00000000-0004-0000-1500-0000A0050000}"/>
    <hyperlink ref="A482" r:id="rId481" xr:uid="{00000000-0004-0000-1500-0000A1050000}"/>
    <hyperlink ref="B482" location="FixPlan!A30" display="No ETag Header" xr:uid="{00000000-0004-0000-1500-0000A2050000}"/>
    <hyperlink ref="E482" location="Technical!A1" display="https://africanmarketingconfederation.org/subscribe/::no_etag_header" xr:uid="{00000000-0004-0000-1500-0000A3050000}"/>
    <hyperlink ref="A483" r:id="rId482" xr:uid="{00000000-0004-0000-1500-0000A4050000}"/>
    <hyperlink ref="B483" location="FixPlan!A31" display="No Question Headings" xr:uid="{00000000-0004-0000-1500-0000A5050000}"/>
    <hyperlink ref="E483" location="AEO!A1" display="https://africanmarketingconfederation.org/subscribe/::no_question_headings" xr:uid="{00000000-0004-0000-1500-0000A6050000}"/>
    <hyperlink ref="A484" r:id="rId483" xr:uid="{00000000-0004-0000-1500-0000A7050000}"/>
    <hyperlink ref="B484" location="FixPlan!A32" display="No Answer-Friendly Structure" xr:uid="{00000000-0004-0000-1500-0000A8050000}"/>
    <hyperlink ref="E484" location="Technical!A1" display="https://africanmarketingconfederation.org/subscribe/::no_answer-friendly_structure" xr:uid="{00000000-0004-0000-1500-0000A9050000}"/>
    <hyperlink ref="A485" r:id="rId484" xr:uid="{00000000-0004-0000-1500-0000AA050000}"/>
    <hyperlink ref="B485" location="FixPlan!A33" display="No 40-60 Word Answer Paragraphs" xr:uid="{00000000-0004-0000-1500-0000AB050000}"/>
    <hyperlink ref="E485" location="Technical!A1" display="https://africanmarketingconfederation.org/subscribe/::no_40-60_word_answer_paragraphs" xr:uid="{00000000-0004-0000-1500-0000AC050000}"/>
    <hyperlink ref="A486" r:id="rId485" xr:uid="{00000000-0004-0000-1500-0000AD050000}"/>
    <hyperlink ref="B486" location="FixPlan!A34" display="AI Crawlers Not Explicitly Allowed" xr:uid="{00000000-0004-0000-1500-0000AE050000}"/>
    <hyperlink ref="E486" location="Technical!A1" display="https://africanmarketingconfederation.org/subscribe/::ai_crawlers_not_explicitly_allowed" xr:uid="{00000000-0004-0000-1500-0000AF050000}"/>
    <hyperlink ref="A487" r:id="rId486" xr:uid="{00000000-0004-0000-1500-0000B0050000}"/>
    <hyperlink ref="B487" location="FixPlan!A18" display="Missing Meta Description" xr:uid="{00000000-0004-0000-1500-0000B1050000}"/>
    <hyperlink ref="E487" location="Technical!A1" display="https://africanmarketingconfederation.org/elementor-20341/::missing_meta_description" xr:uid="{00000000-0004-0000-1500-0000B2050000}"/>
    <hyperlink ref="A488" r:id="rId487" xr:uid="{00000000-0004-0000-1500-0000B3050000}"/>
    <hyperlink ref="B488" location="FixPlan!A19" display="Missing H1" xr:uid="{00000000-0004-0000-1500-0000B4050000}"/>
    <hyperlink ref="E488" location="Technical!A1" display="https://africanmarketingconfederation.org/elementor-20341/::missing_h1" xr:uid="{00000000-0004-0000-1500-0000B5050000}"/>
    <hyperlink ref="A489" r:id="rId488" xr:uid="{00000000-0004-0000-1500-0000B6050000}"/>
    <hyperlink ref="B489" location="FixPlan!A20" display="Low AEO Readiness Score" xr:uid="{00000000-0004-0000-1500-0000B7050000}"/>
    <hyperlink ref="E489" location="AEO!A1" display="https://africanmarketingconfederation.org/elementor-20341/::low_aeo_readiness_score" xr:uid="{00000000-0004-0000-1500-0000B8050000}"/>
    <hyperlink ref="A490" r:id="rId489" xr:uid="{00000000-0004-0000-1500-0000B9050000}"/>
    <hyperlink ref="B490" location="FixPlan!A28" display="No Compression Header" xr:uid="{00000000-0004-0000-1500-0000BA050000}"/>
    <hyperlink ref="E490" location="Technical!A1" display="https://africanmarketingconfederation.org/elementor-20341/::no_compression_header" xr:uid="{00000000-0004-0000-1500-0000BB050000}"/>
    <hyperlink ref="A491" r:id="rId490" xr:uid="{00000000-0004-0000-1500-0000BC050000}"/>
    <hyperlink ref="B491" location="FixPlan!A29" display="No Cache-Control Header" xr:uid="{00000000-0004-0000-1500-0000BD050000}"/>
    <hyperlink ref="E491" location="Technical!A1" display="https://africanmarketingconfederation.org/elementor-20341/::no_cache-control_header" xr:uid="{00000000-0004-0000-1500-0000BE050000}"/>
    <hyperlink ref="A492" r:id="rId491" xr:uid="{00000000-0004-0000-1500-0000BF050000}"/>
    <hyperlink ref="B492" location="FixPlan!A30" display="No ETag Header" xr:uid="{00000000-0004-0000-1500-0000C0050000}"/>
    <hyperlink ref="E492" location="Technical!A1" display="https://africanmarketingconfederation.org/elementor-20341/::no_etag_header" xr:uid="{00000000-0004-0000-1500-0000C1050000}"/>
    <hyperlink ref="A493" r:id="rId492" xr:uid="{00000000-0004-0000-1500-0000C2050000}"/>
    <hyperlink ref="B493" location="FixPlan!A35" display="Thin Content" xr:uid="{00000000-0004-0000-1500-0000C3050000}"/>
    <hyperlink ref="E493" location="Technical!A1" display="https://africanmarketingconfederation.org/elementor-20341/::thin_content" xr:uid="{00000000-0004-0000-1500-0000C4050000}"/>
    <hyperlink ref="A494" r:id="rId493" xr:uid="{00000000-0004-0000-1500-0000C5050000}"/>
    <hyperlink ref="B494" location="FixPlan!A31" display="No Question Headings" xr:uid="{00000000-0004-0000-1500-0000C6050000}"/>
    <hyperlink ref="E494" location="AEO!A1" display="https://africanmarketingconfederation.org/elementor-20341/::no_question_headings" xr:uid="{00000000-0004-0000-1500-0000C7050000}"/>
    <hyperlink ref="A495" r:id="rId494" xr:uid="{00000000-0004-0000-1500-0000C8050000}"/>
    <hyperlink ref="B495" location="FixPlan!A32" display="No Answer-Friendly Structure" xr:uid="{00000000-0004-0000-1500-0000C9050000}"/>
    <hyperlink ref="E495" location="Technical!A1" display="https://africanmarketingconfederation.org/elementor-20341/::no_answer-friendly_structure" xr:uid="{00000000-0004-0000-1500-0000CA050000}"/>
    <hyperlink ref="A496" r:id="rId495" xr:uid="{00000000-0004-0000-1500-0000CB050000}"/>
    <hyperlink ref="B496" location="FixPlan!A33" display="No 40-60 Word Answer Paragraphs" xr:uid="{00000000-0004-0000-1500-0000CC050000}"/>
    <hyperlink ref="E496" location="Technical!A1" display="https://africanmarketingconfederation.org/elementor-20341/::no_40-60_word_answer_paragraphs" xr:uid="{00000000-0004-0000-1500-0000CD050000}"/>
    <hyperlink ref="A497" r:id="rId496" xr:uid="{00000000-0004-0000-1500-0000CE050000}"/>
    <hyperlink ref="B497" location="FixPlan!A34" display="AI Crawlers Not Explicitly Allowed" xr:uid="{00000000-0004-0000-1500-0000CF050000}"/>
    <hyperlink ref="E497" location="Technical!A1" display="https://africanmarketingconfederation.org/elementor-20341/::ai_crawlers_not_explicitly_allowed" xr:uid="{00000000-0004-0000-1500-0000D0050000}"/>
    <hyperlink ref="A498" r:id="rId497" xr:uid="{00000000-0004-0000-1500-0000D1050000}"/>
    <hyperlink ref="B498" location="FixPlan!A20" display="Low AEO Readiness Score" xr:uid="{00000000-0004-0000-1500-0000D2050000}"/>
    <hyperlink ref="E498" location="AEO!A1" display="https://africanmarketingconfederation.org/chartered-marketer-africa-programme-fee/::low_aeo_readiness_score" xr:uid="{00000000-0004-0000-1500-0000D3050000}"/>
    <hyperlink ref="A499" r:id="rId498" xr:uid="{00000000-0004-0000-1500-0000D4050000}"/>
    <hyperlink ref="B499" location="FixPlan!A28" display="No Compression Header" xr:uid="{00000000-0004-0000-1500-0000D5050000}"/>
    <hyperlink ref="E499" location="Technical!A1" display="https://africanmarketingconfederation.org/chartered-marketer-africa-programme-fee/::no_compression_header" xr:uid="{00000000-0004-0000-1500-0000D6050000}"/>
    <hyperlink ref="A500" r:id="rId499" xr:uid="{00000000-0004-0000-1500-0000D7050000}"/>
    <hyperlink ref="B500" location="FixPlan!A29" display="No Cache-Control Header" xr:uid="{00000000-0004-0000-1500-0000D8050000}"/>
    <hyperlink ref="E500" location="Technical!A1" display="https://africanmarketingconfederation.org/chartered-marketer-africa-programme-fee/::no_cache-control_header" xr:uid="{00000000-0004-0000-1500-0000D9050000}"/>
    <hyperlink ref="A501" r:id="rId500" xr:uid="{00000000-0004-0000-1500-0000DA050000}"/>
    <hyperlink ref="B501" location="FixPlan!A30" display="No ETag Header" xr:uid="{00000000-0004-0000-1500-0000DB050000}"/>
    <hyperlink ref="E501" location="Technical!A1" display="https://africanmarketingconfederation.org/chartered-marketer-africa-programme-fee/::no_etag_header" xr:uid="{00000000-0004-0000-1500-0000DC050000}"/>
    <hyperlink ref="A502" r:id="rId501" xr:uid="{00000000-0004-0000-1500-0000DD050000}"/>
    <hyperlink ref="B502" location="FixPlan!A35" display="Thin Content" xr:uid="{00000000-0004-0000-1500-0000DE050000}"/>
    <hyperlink ref="E502" location="Technical!A1" display="https://africanmarketingconfederation.org/chartered-marketer-africa-programme-fee/::thin_content" xr:uid="{00000000-0004-0000-1500-0000DF050000}"/>
    <hyperlink ref="A503" r:id="rId502" xr:uid="{00000000-0004-0000-1500-0000E0050000}"/>
    <hyperlink ref="B503" location="FixPlan!A31" display="No Question Headings" xr:uid="{00000000-0004-0000-1500-0000E1050000}"/>
    <hyperlink ref="E503" location="AEO!A1" display="https://africanmarketingconfederation.org/chartered-marketer-africa-programme-fee/::no_question_headings" xr:uid="{00000000-0004-0000-1500-0000E2050000}"/>
    <hyperlink ref="A504" r:id="rId503" xr:uid="{00000000-0004-0000-1500-0000E3050000}"/>
    <hyperlink ref="B504" location="FixPlan!A32" display="No Answer-Friendly Structure" xr:uid="{00000000-0004-0000-1500-0000E4050000}"/>
    <hyperlink ref="E504" location="Technical!A1" display="https://africanmarketingconfederation.org/chartered-marketer-africa-programme-fee/::no_answer-friendly_structure" xr:uid="{00000000-0004-0000-1500-0000E5050000}"/>
    <hyperlink ref="A505" r:id="rId504" xr:uid="{00000000-0004-0000-1500-0000E6050000}"/>
    <hyperlink ref="B505" location="FixPlan!A33" display="No 40-60 Word Answer Paragraphs" xr:uid="{00000000-0004-0000-1500-0000E7050000}"/>
    <hyperlink ref="E505" location="Technical!A1" display="https://africanmarketingconfederation.org/chartered-marketer-africa-programme-fee/::no_40-60_word_answer_paragraphs" xr:uid="{00000000-0004-0000-1500-0000E8050000}"/>
    <hyperlink ref="A506" r:id="rId505" xr:uid="{00000000-0004-0000-1500-0000E9050000}"/>
    <hyperlink ref="B506" location="FixPlan!A34" display="AI Crawlers Not Explicitly Allowed" xr:uid="{00000000-0004-0000-1500-0000EA050000}"/>
    <hyperlink ref="E506" location="Technical!A1" display="https://africanmarketingconfederation.org/chartered-marketer-africa-programme-fee/::ai_crawlers_not_explicitly_allowed" xr:uid="{00000000-0004-0000-1500-0000EB050000}"/>
    <hyperlink ref="A507" r:id="rId506" xr:uid="{00000000-0004-0000-1500-0000EC050000}"/>
    <hyperlink ref="B507" location="FixPlan!A20" display="Low AEO Readiness Score" xr:uid="{00000000-0004-0000-1500-0000ED050000}"/>
    <hyperlink ref="E507" location="AEO!A1" display="https://africanmarketingconfederation.org/chartered-marketer-africa-final-submission-fee/::low_aeo_readiness_score" xr:uid="{00000000-0004-0000-1500-0000EE050000}"/>
    <hyperlink ref="A508" r:id="rId507" xr:uid="{00000000-0004-0000-1500-0000EF050000}"/>
    <hyperlink ref="B508" location="FixPlan!A28" display="No Compression Header" xr:uid="{00000000-0004-0000-1500-0000F0050000}"/>
    <hyperlink ref="E508" location="Technical!A1" display="https://africanmarketingconfederation.org/chartered-marketer-africa-final-submission-fee/::no_compression_header" xr:uid="{00000000-0004-0000-1500-0000F1050000}"/>
    <hyperlink ref="A509" r:id="rId508" xr:uid="{00000000-0004-0000-1500-0000F2050000}"/>
    <hyperlink ref="B509" location="FixPlan!A29" display="No Cache-Control Header" xr:uid="{00000000-0004-0000-1500-0000F3050000}"/>
    <hyperlink ref="E509" location="Technical!A1" display="https://africanmarketingconfederation.org/chartered-marketer-africa-final-submission-fee/::no_cache-control_header" xr:uid="{00000000-0004-0000-1500-0000F4050000}"/>
    <hyperlink ref="A510" r:id="rId509" xr:uid="{00000000-0004-0000-1500-0000F5050000}"/>
    <hyperlink ref="B510" location="FixPlan!A30" display="No ETag Header" xr:uid="{00000000-0004-0000-1500-0000F6050000}"/>
    <hyperlink ref="E510" location="Technical!A1" display="https://africanmarketingconfederation.org/chartered-marketer-africa-final-submission-fee/::no_etag_header" xr:uid="{00000000-0004-0000-1500-0000F7050000}"/>
    <hyperlink ref="A511" r:id="rId510" xr:uid="{00000000-0004-0000-1500-0000F8050000}"/>
    <hyperlink ref="B511" location="FixPlan!A35" display="Thin Content" xr:uid="{00000000-0004-0000-1500-0000F9050000}"/>
    <hyperlink ref="E511" location="Technical!A1" display="https://africanmarketingconfederation.org/chartered-marketer-africa-final-submission-fee/::thin_content" xr:uid="{00000000-0004-0000-1500-0000FA050000}"/>
    <hyperlink ref="A512" r:id="rId511" xr:uid="{00000000-0004-0000-1500-0000FB050000}"/>
    <hyperlink ref="B512" location="FixPlan!A31" display="No Question Headings" xr:uid="{00000000-0004-0000-1500-0000FC050000}"/>
    <hyperlink ref="E512" location="AEO!A1" display="https://africanmarketingconfederation.org/chartered-marketer-africa-final-submission-fee/::no_question_headings" xr:uid="{00000000-0004-0000-1500-0000FD050000}"/>
    <hyperlink ref="A513" r:id="rId512" xr:uid="{00000000-0004-0000-1500-0000FE050000}"/>
    <hyperlink ref="B513" location="FixPlan!A32" display="No Answer-Friendly Structure" xr:uid="{00000000-0004-0000-1500-0000FF050000}"/>
    <hyperlink ref="E513" location="Technical!A1" display="https://africanmarketingconfederation.org/chartered-marketer-africa-final-submission-fee/::no_answer-friendly_structure" xr:uid="{00000000-0004-0000-1500-000000060000}"/>
    <hyperlink ref="A514" r:id="rId513" xr:uid="{00000000-0004-0000-1500-000001060000}"/>
    <hyperlink ref="B514" location="FixPlan!A33" display="No 40-60 Word Answer Paragraphs" xr:uid="{00000000-0004-0000-1500-000002060000}"/>
    <hyperlink ref="E514" location="Technical!A1" display="https://africanmarketingconfederation.org/chartered-marketer-africa-final-submission-fee/::no_40-60_word_answer_paragraphs" xr:uid="{00000000-0004-0000-1500-000003060000}"/>
    <hyperlink ref="A515" r:id="rId514" xr:uid="{00000000-0004-0000-1500-000004060000}"/>
    <hyperlink ref="B515" location="FixPlan!A34" display="AI Crawlers Not Explicitly Allowed" xr:uid="{00000000-0004-0000-1500-000005060000}"/>
    <hyperlink ref="E515" location="Technical!A1" display="https://africanmarketingconfederation.org/chartered-marketer-africa-final-submission-fee/::ai_crawlers_not_explicitly_allowed" xr:uid="{00000000-0004-0000-1500-000006060000}"/>
    <hyperlink ref="A516" r:id="rId515" xr:uid="{00000000-0004-0000-1500-000007060000}"/>
    <hyperlink ref="B516" location="FixPlan!A19" display="Missing H1" xr:uid="{00000000-0004-0000-1500-000008060000}"/>
    <hyperlink ref="E516" location="Technical!A1" display="https://africanmarketingconfederation.org/download-brochure/::missing_h1" xr:uid="{00000000-0004-0000-1500-000009060000}"/>
    <hyperlink ref="A517" r:id="rId516" xr:uid="{00000000-0004-0000-1500-00000A060000}"/>
    <hyperlink ref="B517" location="FixPlan!A20" display="Low AEO Readiness Score" xr:uid="{00000000-0004-0000-1500-00000B060000}"/>
    <hyperlink ref="E517" location="AEO!A1" display="https://africanmarketingconfederation.org/download-brochure/::low_aeo_readiness_score" xr:uid="{00000000-0004-0000-1500-00000C060000}"/>
    <hyperlink ref="A518" r:id="rId517" xr:uid="{00000000-0004-0000-1500-00000D060000}"/>
    <hyperlink ref="B518" location="FixPlan!A28" display="No Compression Header" xr:uid="{00000000-0004-0000-1500-00000E060000}"/>
    <hyperlink ref="E518" location="Technical!A1" display="https://africanmarketingconfederation.org/download-brochure/::no_compression_header" xr:uid="{00000000-0004-0000-1500-00000F060000}"/>
    <hyperlink ref="A519" r:id="rId518" xr:uid="{00000000-0004-0000-1500-000010060000}"/>
    <hyperlink ref="B519" location="FixPlan!A29" display="No Cache-Control Header" xr:uid="{00000000-0004-0000-1500-000011060000}"/>
    <hyperlink ref="E519" location="Technical!A1" display="https://africanmarketingconfederation.org/download-brochure/::no_cache-control_header" xr:uid="{00000000-0004-0000-1500-000012060000}"/>
    <hyperlink ref="A520" r:id="rId519" xr:uid="{00000000-0004-0000-1500-000013060000}"/>
    <hyperlink ref="B520" location="FixPlan!A30" display="No ETag Header" xr:uid="{00000000-0004-0000-1500-000014060000}"/>
    <hyperlink ref="E520" location="Technical!A1" display="https://africanmarketingconfederation.org/download-brochure/::no_etag_header" xr:uid="{00000000-0004-0000-1500-000015060000}"/>
    <hyperlink ref="A521" r:id="rId520" xr:uid="{00000000-0004-0000-1500-000016060000}"/>
    <hyperlink ref="B521" location="FixPlan!A35" display="Thin Content" xr:uid="{00000000-0004-0000-1500-000017060000}"/>
    <hyperlink ref="E521" location="Technical!A1" display="https://africanmarketingconfederation.org/download-brochure/::thin_content" xr:uid="{00000000-0004-0000-1500-000018060000}"/>
    <hyperlink ref="A522" r:id="rId521" xr:uid="{00000000-0004-0000-1500-000019060000}"/>
    <hyperlink ref="B522" location="FixPlan!A31" display="No Question Headings" xr:uid="{00000000-0004-0000-1500-00001A060000}"/>
    <hyperlink ref="E522" location="AEO!A1" display="https://africanmarketingconfederation.org/download-brochure/::no_question_headings" xr:uid="{00000000-0004-0000-1500-00001B060000}"/>
    <hyperlink ref="A523" r:id="rId522" xr:uid="{00000000-0004-0000-1500-00001C060000}"/>
    <hyperlink ref="B523" location="FixPlan!A32" display="No Answer-Friendly Structure" xr:uid="{00000000-0004-0000-1500-00001D060000}"/>
    <hyperlink ref="E523" location="Technical!A1" display="https://africanmarketingconfederation.org/download-brochure/::no_answer-friendly_structure" xr:uid="{00000000-0004-0000-1500-00001E060000}"/>
    <hyperlink ref="A524" r:id="rId523" xr:uid="{00000000-0004-0000-1500-00001F060000}"/>
    <hyperlink ref="B524" location="FixPlan!A33" display="No 40-60 Word Answer Paragraphs" xr:uid="{00000000-0004-0000-1500-000020060000}"/>
    <hyperlink ref="E524" location="Technical!A1" display="https://africanmarketingconfederation.org/download-brochure/::no_40-60_word_answer_paragraphs" xr:uid="{00000000-0004-0000-1500-000021060000}"/>
    <hyperlink ref="A525" r:id="rId524" xr:uid="{00000000-0004-0000-1500-000022060000}"/>
    <hyperlink ref="B525" location="FixPlan!A34" display="AI Crawlers Not Explicitly Allowed" xr:uid="{00000000-0004-0000-1500-000023060000}"/>
    <hyperlink ref="E525" location="Technical!A1" display="https://africanmarketingconfederation.org/download-brochure/::ai_crawlers_not_explicitly_allowed" xr:uid="{00000000-0004-0000-1500-000024060000}"/>
    <hyperlink ref="A526" r:id="rId525" xr:uid="{00000000-0004-0000-1500-000025060000}"/>
    <hyperlink ref="B526" location="FixPlan!A19" display="Missing H1" xr:uid="{00000000-0004-0000-1500-000026060000}"/>
    <hyperlink ref="E526" location="Technical!A1" display="https://africanmarketingconfederation.org/thank-you-for-the-nomination-2024/::missing_h1" xr:uid="{00000000-0004-0000-1500-000027060000}"/>
    <hyperlink ref="A527" r:id="rId526" xr:uid="{00000000-0004-0000-1500-000028060000}"/>
    <hyperlink ref="B527" location="FixPlan!A20" display="Low AEO Readiness Score" xr:uid="{00000000-0004-0000-1500-000029060000}"/>
    <hyperlink ref="E527" location="AEO!A1" display="https://africanmarketingconfederation.org/thank-you-for-the-nomination-2024/::low_aeo_readiness_score" xr:uid="{00000000-0004-0000-1500-00002A060000}"/>
    <hyperlink ref="A528" r:id="rId527" xr:uid="{00000000-0004-0000-1500-00002B060000}"/>
    <hyperlink ref="B528" location="FixPlan!A28" display="No Compression Header" xr:uid="{00000000-0004-0000-1500-00002C060000}"/>
    <hyperlink ref="E528" location="Technical!A1" display="https://africanmarketingconfederation.org/thank-you-for-the-nomination-2024/::no_compression_header" xr:uid="{00000000-0004-0000-1500-00002D060000}"/>
    <hyperlink ref="A529" r:id="rId528" xr:uid="{00000000-0004-0000-1500-00002E060000}"/>
    <hyperlink ref="B529" location="FixPlan!A29" display="No Cache-Control Header" xr:uid="{00000000-0004-0000-1500-00002F060000}"/>
    <hyperlink ref="E529" location="Technical!A1" display="https://africanmarketingconfederation.org/thank-you-for-the-nomination-2024/::no_cache-control_header" xr:uid="{00000000-0004-0000-1500-000030060000}"/>
    <hyperlink ref="A530" r:id="rId529" xr:uid="{00000000-0004-0000-1500-000031060000}"/>
    <hyperlink ref="B530" location="FixPlan!A30" display="No ETag Header" xr:uid="{00000000-0004-0000-1500-000032060000}"/>
    <hyperlink ref="E530" location="Technical!A1" display="https://africanmarketingconfederation.org/thank-you-for-the-nomination-2024/::no_etag_header" xr:uid="{00000000-0004-0000-1500-000033060000}"/>
    <hyperlink ref="A531" r:id="rId530" xr:uid="{00000000-0004-0000-1500-000034060000}"/>
    <hyperlink ref="B531" location="FixPlan!A35" display="Thin Content" xr:uid="{00000000-0004-0000-1500-000035060000}"/>
    <hyperlink ref="E531" location="Technical!A1" display="https://africanmarketingconfederation.org/thank-you-for-the-nomination-2024/::thin_content" xr:uid="{00000000-0004-0000-1500-000036060000}"/>
    <hyperlink ref="A532" r:id="rId531" xr:uid="{00000000-0004-0000-1500-000037060000}"/>
    <hyperlink ref="B532" location="FixPlan!A31" display="No Question Headings" xr:uid="{00000000-0004-0000-1500-000038060000}"/>
    <hyperlink ref="E532" location="AEO!A1" display="https://africanmarketingconfederation.org/thank-you-for-the-nomination-2024/::no_question_headings" xr:uid="{00000000-0004-0000-1500-000039060000}"/>
    <hyperlink ref="A533" r:id="rId532" xr:uid="{00000000-0004-0000-1500-00003A060000}"/>
    <hyperlink ref="B533" location="FixPlan!A32" display="No Answer-Friendly Structure" xr:uid="{00000000-0004-0000-1500-00003B060000}"/>
    <hyperlink ref="E533" location="Technical!A1" display="https://africanmarketingconfederation.org/thank-you-for-the-nomination-2024/::no_answer-friendly_structure" xr:uid="{00000000-0004-0000-1500-00003C060000}"/>
    <hyperlink ref="A534" r:id="rId533" xr:uid="{00000000-0004-0000-1500-00003D060000}"/>
    <hyperlink ref="B534" location="FixPlan!A33" display="No 40-60 Word Answer Paragraphs" xr:uid="{00000000-0004-0000-1500-00003E060000}"/>
    <hyperlink ref="E534" location="Technical!A1" display="https://africanmarketingconfederation.org/thank-you-for-the-nomination-2024/::no_40-60_word_answer_paragraphs" xr:uid="{00000000-0004-0000-1500-00003F060000}"/>
    <hyperlink ref="A535" r:id="rId534" xr:uid="{00000000-0004-0000-1500-000040060000}"/>
    <hyperlink ref="B535" location="FixPlan!A34" display="AI Crawlers Not Explicitly Allowed" xr:uid="{00000000-0004-0000-1500-000041060000}"/>
    <hyperlink ref="E535" location="Technical!A1" display="https://africanmarketingconfederation.org/thank-you-for-the-nomination-2024/::ai_crawlers_not_explicitly_allowed" xr:uid="{00000000-0004-0000-1500-000042060000}"/>
    <hyperlink ref="A536" r:id="rId535" xr:uid="{00000000-0004-0000-1500-000043060000}"/>
    <hyperlink ref="B536" location="FixPlan!A20" display="Low AEO Readiness Score" xr:uid="{00000000-0004-0000-1500-000044060000}"/>
    <hyperlink ref="E536" location="AEO!A1" display="https://africanmarketingconfederation.org/amc-conference-2024-sponsors-packages/::low_aeo_readiness_score" xr:uid="{00000000-0004-0000-1500-000045060000}"/>
    <hyperlink ref="A537" r:id="rId536" xr:uid="{00000000-0004-0000-1500-000046060000}"/>
    <hyperlink ref="B537" location="FixPlan!A28" display="No Compression Header" xr:uid="{00000000-0004-0000-1500-000047060000}"/>
    <hyperlink ref="E537" location="Technical!A1" display="https://africanmarketingconfederation.org/amc-conference-2024-sponsors-packages/::no_compression_header" xr:uid="{00000000-0004-0000-1500-000048060000}"/>
    <hyperlink ref="A538" r:id="rId537" xr:uid="{00000000-0004-0000-1500-000049060000}"/>
    <hyperlink ref="B538" location="FixPlan!A29" display="No Cache-Control Header" xr:uid="{00000000-0004-0000-1500-00004A060000}"/>
    <hyperlink ref="E538" location="Technical!A1" display="https://africanmarketingconfederation.org/amc-conference-2024-sponsors-packages/::no_cache-control_header" xr:uid="{00000000-0004-0000-1500-00004B060000}"/>
    <hyperlink ref="A539" r:id="rId538" xr:uid="{00000000-0004-0000-1500-00004C060000}"/>
    <hyperlink ref="B539" location="FixPlan!A30" display="No ETag Header" xr:uid="{00000000-0004-0000-1500-00004D060000}"/>
    <hyperlink ref="E539" location="Technical!A1" display="https://africanmarketingconfederation.org/amc-conference-2024-sponsors-packages/::no_etag_header" xr:uid="{00000000-0004-0000-1500-00004E060000}"/>
    <hyperlink ref="A540" r:id="rId539" xr:uid="{00000000-0004-0000-1500-00004F060000}"/>
    <hyperlink ref="B540" location="FixPlan!A35" display="Thin Content" xr:uid="{00000000-0004-0000-1500-000050060000}"/>
    <hyperlink ref="E540" location="Technical!A1" display="https://africanmarketingconfederation.org/amc-conference-2024-sponsors-packages/::thin_content" xr:uid="{00000000-0004-0000-1500-000051060000}"/>
    <hyperlink ref="A541" r:id="rId540" xr:uid="{00000000-0004-0000-1500-000052060000}"/>
    <hyperlink ref="B541" location="FixPlan!A31" display="No Question Headings" xr:uid="{00000000-0004-0000-1500-000053060000}"/>
    <hyperlink ref="E541" location="AEO!A1" display="https://africanmarketingconfederation.org/amc-conference-2024-sponsors-packages/::no_question_headings" xr:uid="{00000000-0004-0000-1500-000054060000}"/>
    <hyperlink ref="A542" r:id="rId541" xr:uid="{00000000-0004-0000-1500-000055060000}"/>
    <hyperlink ref="B542" location="FixPlan!A32" display="No Answer-Friendly Structure" xr:uid="{00000000-0004-0000-1500-000056060000}"/>
    <hyperlink ref="E542" location="Technical!A1" display="https://africanmarketingconfederation.org/amc-conference-2024-sponsors-packages/::no_answer-friendly_structure" xr:uid="{00000000-0004-0000-1500-000057060000}"/>
    <hyperlink ref="A543" r:id="rId542" xr:uid="{00000000-0004-0000-1500-000058060000}"/>
    <hyperlink ref="B543" location="FixPlan!A33" display="No 40-60 Word Answer Paragraphs" xr:uid="{00000000-0004-0000-1500-000059060000}"/>
    <hyperlink ref="E543" location="Technical!A1" display="https://africanmarketingconfederation.org/amc-conference-2024-sponsors-packages/::no_40-60_word_answer_paragraphs" xr:uid="{00000000-0004-0000-1500-00005A060000}"/>
    <hyperlink ref="A544" r:id="rId543" xr:uid="{00000000-0004-0000-1500-00005B060000}"/>
    <hyperlink ref="B544" location="FixPlan!A34" display="AI Crawlers Not Explicitly Allowed" xr:uid="{00000000-0004-0000-1500-00005C060000}"/>
    <hyperlink ref="E544" location="Technical!A1" display="https://africanmarketingconfederation.org/amc-conference-2024-sponsors-packages/::ai_crawlers_not_explicitly_allowed" xr:uid="{00000000-0004-0000-1500-00005D060000}"/>
    <hyperlink ref="A545" r:id="rId544" xr:uid="{00000000-0004-0000-1500-00005E060000}"/>
    <hyperlink ref="B545" location="FixPlan!A19" display="Missing H1" xr:uid="{00000000-0004-0000-1500-00005F060000}"/>
    <hyperlink ref="E545" location="Technical!A1" display="https://africanmarketingconfederation.org/thank-you-for-the-submission-2024/::missing_h1" xr:uid="{00000000-0004-0000-1500-000060060000}"/>
    <hyperlink ref="A546" r:id="rId545" xr:uid="{00000000-0004-0000-1500-000061060000}"/>
    <hyperlink ref="B546" location="FixPlan!A20" display="Low AEO Readiness Score" xr:uid="{00000000-0004-0000-1500-000062060000}"/>
    <hyperlink ref="E546" location="AEO!A1" display="https://africanmarketingconfederation.org/thank-you-for-the-submission-2024/::low_aeo_readiness_score" xr:uid="{00000000-0004-0000-1500-000063060000}"/>
    <hyperlink ref="A547" r:id="rId546" xr:uid="{00000000-0004-0000-1500-000064060000}"/>
    <hyperlink ref="B547" location="FixPlan!A28" display="No Compression Header" xr:uid="{00000000-0004-0000-1500-000065060000}"/>
    <hyperlink ref="E547" location="Technical!A1" display="https://africanmarketingconfederation.org/thank-you-for-the-submission-2024/::no_compression_header" xr:uid="{00000000-0004-0000-1500-000066060000}"/>
    <hyperlink ref="A548" r:id="rId547" xr:uid="{00000000-0004-0000-1500-000067060000}"/>
    <hyperlink ref="B548" location="FixPlan!A29" display="No Cache-Control Header" xr:uid="{00000000-0004-0000-1500-000068060000}"/>
    <hyperlink ref="E548" location="Technical!A1" display="https://africanmarketingconfederation.org/thank-you-for-the-submission-2024/::no_cache-control_header" xr:uid="{00000000-0004-0000-1500-000069060000}"/>
    <hyperlink ref="A549" r:id="rId548" xr:uid="{00000000-0004-0000-1500-00006A060000}"/>
    <hyperlink ref="B549" location="FixPlan!A30" display="No ETag Header" xr:uid="{00000000-0004-0000-1500-00006B060000}"/>
    <hyperlink ref="E549" location="Technical!A1" display="https://africanmarketingconfederation.org/thank-you-for-the-submission-2024/::no_etag_header" xr:uid="{00000000-0004-0000-1500-00006C060000}"/>
    <hyperlink ref="A550" r:id="rId549" xr:uid="{00000000-0004-0000-1500-00006D060000}"/>
    <hyperlink ref="B550" location="FixPlan!A35" display="Thin Content" xr:uid="{00000000-0004-0000-1500-00006E060000}"/>
    <hyperlink ref="E550" location="Technical!A1" display="https://africanmarketingconfederation.org/thank-you-for-the-submission-2024/::thin_content" xr:uid="{00000000-0004-0000-1500-00006F060000}"/>
    <hyperlink ref="A551" r:id="rId550" xr:uid="{00000000-0004-0000-1500-000070060000}"/>
    <hyperlink ref="B551" location="FixPlan!A31" display="No Question Headings" xr:uid="{00000000-0004-0000-1500-000071060000}"/>
    <hyperlink ref="E551" location="AEO!A1" display="https://africanmarketingconfederation.org/thank-you-for-the-submission-2024/::no_question_headings" xr:uid="{00000000-0004-0000-1500-000072060000}"/>
    <hyperlink ref="A552" r:id="rId551" xr:uid="{00000000-0004-0000-1500-000073060000}"/>
    <hyperlink ref="B552" location="FixPlan!A32" display="No Answer-Friendly Structure" xr:uid="{00000000-0004-0000-1500-000074060000}"/>
    <hyperlink ref="E552" location="Technical!A1" display="https://africanmarketingconfederation.org/thank-you-for-the-submission-2024/::no_answer-friendly_structure" xr:uid="{00000000-0004-0000-1500-000075060000}"/>
    <hyperlink ref="A553" r:id="rId552" xr:uid="{00000000-0004-0000-1500-000076060000}"/>
    <hyperlink ref="B553" location="FixPlan!A33" display="No 40-60 Word Answer Paragraphs" xr:uid="{00000000-0004-0000-1500-000077060000}"/>
    <hyperlink ref="E553" location="Technical!A1" display="https://africanmarketingconfederation.org/thank-you-for-the-submission-2024/::no_40-60_word_answer_paragraphs" xr:uid="{00000000-0004-0000-1500-000078060000}"/>
    <hyperlink ref="A554" r:id="rId553" xr:uid="{00000000-0004-0000-1500-000079060000}"/>
    <hyperlink ref="B554" location="FixPlan!A34" display="AI Crawlers Not Explicitly Allowed" xr:uid="{00000000-0004-0000-1500-00007A060000}"/>
    <hyperlink ref="E554" location="Technical!A1" display="https://africanmarketingconfederation.org/thank-you-for-the-submission-2024/::ai_crawlers_not_explicitly_allowed" xr:uid="{00000000-0004-0000-1500-00007B060000}"/>
    <hyperlink ref="A555" r:id="rId554" xr:uid="{00000000-0004-0000-1500-00007C060000}"/>
    <hyperlink ref="B555" location="FixPlan!A19" display="Missing H1" xr:uid="{00000000-0004-0000-1500-00007D060000}"/>
    <hyperlink ref="E555" location="Technical!A1" display="https://africanmarketingconfederation.org/elementor-16548/::missing_h1" xr:uid="{00000000-0004-0000-1500-00007E060000}"/>
    <hyperlink ref="A556" r:id="rId555" xr:uid="{00000000-0004-0000-1500-00007F060000}"/>
    <hyperlink ref="B556" location="FixPlan!A20" display="Low AEO Readiness Score" xr:uid="{00000000-0004-0000-1500-000080060000}"/>
    <hyperlink ref="E556" location="AEO!A1" display="https://africanmarketingconfederation.org/elementor-16548/::low_aeo_readiness_score" xr:uid="{00000000-0004-0000-1500-000081060000}"/>
    <hyperlink ref="A557" r:id="rId556" xr:uid="{00000000-0004-0000-1500-000082060000}"/>
    <hyperlink ref="B557" location="FixPlan!A28" display="No Compression Header" xr:uid="{00000000-0004-0000-1500-000083060000}"/>
    <hyperlink ref="E557" location="Technical!A1" display="https://africanmarketingconfederation.org/elementor-16548/::no_compression_header" xr:uid="{00000000-0004-0000-1500-000084060000}"/>
    <hyperlink ref="A558" r:id="rId557" xr:uid="{00000000-0004-0000-1500-000085060000}"/>
    <hyperlink ref="B558" location="FixPlan!A29" display="No Cache-Control Header" xr:uid="{00000000-0004-0000-1500-000086060000}"/>
    <hyperlink ref="E558" location="Technical!A1" display="https://africanmarketingconfederation.org/elementor-16548/::no_cache-control_header" xr:uid="{00000000-0004-0000-1500-000087060000}"/>
    <hyperlink ref="A559" r:id="rId558" xr:uid="{00000000-0004-0000-1500-000088060000}"/>
    <hyperlink ref="B559" location="FixPlan!A30" display="No ETag Header" xr:uid="{00000000-0004-0000-1500-000089060000}"/>
    <hyperlink ref="E559" location="Technical!A1" display="https://africanmarketingconfederation.org/elementor-16548/::no_etag_header" xr:uid="{00000000-0004-0000-1500-00008A060000}"/>
    <hyperlink ref="A560" r:id="rId559" xr:uid="{00000000-0004-0000-1500-00008B060000}"/>
    <hyperlink ref="B560" location="FixPlan!A35" display="Thin Content" xr:uid="{00000000-0004-0000-1500-00008C060000}"/>
    <hyperlink ref="E560" location="Technical!A1" display="https://africanmarketingconfederation.org/elementor-16548/::thin_content" xr:uid="{00000000-0004-0000-1500-00008D060000}"/>
    <hyperlink ref="A561" r:id="rId560" xr:uid="{00000000-0004-0000-1500-00008E060000}"/>
    <hyperlink ref="B561" location="FixPlan!A31" display="No Question Headings" xr:uid="{00000000-0004-0000-1500-00008F060000}"/>
    <hyperlink ref="E561" location="AEO!A1" display="https://africanmarketingconfederation.org/elementor-16548/::no_question_headings" xr:uid="{00000000-0004-0000-1500-000090060000}"/>
    <hyperlink ref="A562" r:id="rId561" xr:uid="{00000000-0004-0000-1500-000091060000}"/>
    <hyperlink ref="B562" location="FixPlan!A32" display="No Answer-Friendly Structure" xr:uid="{00000000-0004-0000-1500-000092060000}"/>
    <hyperlink ref="E562" location="Technical!A1" display="https://africanmarketingconfederation.org/elementor-16548/::no_answer-friendly_structure" xr:uid="{00000000-0004-0000-1500-000093060000}"/>
    <hyperlink ref="A563" r:id="rId562" xr:uid="{00000000-0004-0000-1500-000094060000}"/>
    <hyperlink ref="B563" location="FixPlan!A33" display="No 40-60 Word Answer Paragraphs" xr:uid="{00000000-0004-0000-1500-000095060000}"/>
    <hyperlink ref="E563" location="Technical!A1" display="https://africanmarketingconfederation.org/elementor-16548/::no_40-60_word_answer_paragraphs" xr:uid="{00000000-0004-0000-1500-000096060000}"/>
    <hyperlink ref="A564" r:id="rId563" xr:uid="{00000000-0004-0000-1500-000097060000}"/>
    <hyperlink ref="B564" location="FixPlan!A34" display="AI Crawlers Not Explicitly Allowed" xr:uid="{00000000-0004-0000-1500-000098060000}"/>
    <hyperlink ref="E564" location="Technical!A1" display="https://africanmarketingconfederation.org/elementor-16548/::ai_crawlers_not_explicitly_allowed" xr:uid="{00000000-0004-0000-1500-000099060000}"/>
    <hyperlink ref="A565" r:id="rId564" xr:uid="{00000000-0004-0000-1500-00009A060000}"/>
    <hyperlink ref="B565" location="FixPlan!A20" display="Low AEO Readiness Score" xr:uid="{00000000-0004-0000-1500-00009B060000}"/>
    <hyperlink ref="E565" location="AEO!A1" display="https://africanmarketingconfederation.org/amc-marketing-conference-2024/programme-2024/::low_aeo_readiness_score" xr:uid="{00000000-0004-0000-1500-00009C060000}"/>
    <hyperlink ref="A566" r:id="rId565" xr:uid="{00000000-0004-0000-1500-00009D060000}"/>
    <hyperlink ref="B566" location="FixPlan!A28" display="No Compression Header" xr:uid="{00000000-0004-0000-1500-00009E060000}"/>
    <hyperlink ref="E566" location="Technical!A1" display="https://africanmarketingconfederation.org/amc-marketing-conference-2024/programme-2024/::no_compression_header" xr:uid="{00000000-0004-0000-1500-00009F060000}"/>
    <hyperlink ref="A567" r:id="rId566" xr:uid="{00000000-0004-0000-1500-0000A0060000}"/>
    <hyperlink ref="B567" location="FixPlan!A29" display="No Cache-Control Header" xr:uid="{00000000-0004-0000-1500-0000A1060000}"/>
    <hyperlink ref="E567" location="Technical!A1" display="https://africanmarketingconfederation.org/amc-marketing-conference-2024/programme-2024/::no_cache-control_header" xr:uid="{00000000-0004-0000-1500-0000A2060000}"/>
    <hyperlink ref="A568" r:id="rId567" xr:uid="{00000000-0004-0000-1500-0000A3060000}"/>
    <hyperlink ref="B568" location="FixPlan!A30" display="No ETag Header" xr:uid="{00000000-0004-0000-1500-0000A4060000}"/>
    <hyperlink ref="E568" location="Technical!A1" display="https://africanmarketingconfederation.org/amc-marketing-conference-2024/programme-2024/::no_etag_header" xr:uid="{00000000-0004-0000-1500-0000A5060000}"/>
    <hyperlink ref="A569" r:id="rId568" xr:uid="{00000000-0004-0000-1500-0000A6060000}"/>
    <hyperlink ref="B569" location="FixPlan!A31" display="No Question Headings" xr:uid="{00000000-0004-0000-1500-0000A7060000}"/>
    <hyperlink ref="E569" location="AEO!A1" display="https://africanmarketingconfederation.org/amc-marketing-conference-2024/programme-2024/::no_question_headings" xr:uid="{00000000-0004-0000-1500-0000A8060000}"/>
    <hyperlink ref="A570" r:id="rId569" xr:uid="{00000000-0004-0000-1500-0000A9060000}"/>
    <hyperlink ref="B570" location="FixPlan!A32" display="No Answer-Friendly Structure" xr:uid="{00000000-0004-0000-1500-0000AA060000}"/>
    <hyperlink ref="E570" location="Technical!A1" display="https://africanmarketingconfederation.org/amc-marketing-conference-2024/programme-2024/::no_answer-friendly_structure" xr:uid="{00000000-0004-0000-1500-0000AB060000}"/>
    <hyperlink ref="A571" r:id="rId570" xr:uid="{00000000-0004-0000-1500-0000AC060000}"/>
    <hyperlink ref="B571" location="FixPlan!A33" display="No 40-60 Word Answer Paragraphs" xr:uid="{00000000-0004-0000-1500-0000AD060000}"/>
    <hyperlink ref="E571" location="Technical!A1" display="https://africanmarketingconfederation.org/amc-marketing-conference-2024/programme-2024/::no_40-60_word_answer_paragraphs" xr:uid="{00000000-0004-0000-1500-0000AE060000}"/>
    <hyperlink ref="A572" r:id="rId571" xr:uid="{00000000-0004-0000-1500-0000AF060000}"/>
    <hyperlink ref="B572" location="FixPlan!A34" display="AI Crawlers Not Explicitly Allowed" xr:uid="{00000000-0004-0000-1500-0000B0060000}"/>
    <hyperlink ref="E572" location="Technical!A1" display="https://africanmarketingconfederation.org/amc-marketing-conference-2024/programme-2024/::ai_crawlers_not_explicitly_allowed" xr:uid="{00000000-0004-0000-1500-0000B1060000}"/>
    <hyperlink ref="A573" r:id="rId572" xr:uid="{00000000-0004-0000-1500-0000B2060000}"/>
    <hyperlink ref="B573" location="FixPlan!A20" display="Low AEO Readiness Score" xr:uid="{00000000-0004-0000-1500-0000B3060000}"/>
    <hyperlink ref="E573" location="AEO!A1" display="https://africanmarketingconfederation.org/amc-conference-2023/amc-awards/::low_aeo_readiness_score" xr:uid="{00000000-0004-0000-1500-0000B4060000}"/>
    <hyperlink ref="A574" r:id="rId573" xr:uid="{00000000-0004-0000-1500-0000B5060000}"/>
    <hyperlink ref="B574" location="FixPlan!A28" display="No Compression Header" xr:uid="{00000000-0004-0000-1500-0000B6060000}"/>
    <hyperlink ref="E574" location="Technical!A1" display="https://africanmarketingconfederation.org/amc-conference-2023/amc-awards/::no_compression_header" xr:uid="{00000000-0004-0000-1500-0000B7060000}"/>
    <hyperlink ref="A575" r:id="rId574" xr:uid="{00000000-0004-0000-1500-0000B8060000}"/>
    <hyperlink ref="B575" location="FixPlan!A29" display="No Cache-Control Header" xr:uid="{00000000-0004-0000-1500-0000B9060000}"/>
    <hyperlink ref="E575" location="Technical!A1" display="https://africanmarketingconfederation.org/amc-conference-2023/amc-awards/::no_cache-control_header" xr:uid="{00000000-0004-0000-1500-0000BA060000}"/>
    <hyperlink ref="A576" r:id="rId575" xr:uid="{00000000-0004-0000-1500-0000BB060000}"/>
    <hyperlink ref="B576" location="FixPlan!A30" display="No ETag Header" xr:uid="{00000000-0004-0000-1500-0000BC060000}"/>
    <hyperlink ref="E576" location="Technical!A1" display="https://africanmarketingconfederation.org/amc-conference-2023/amc-awards/::no_etag_header" xr:uid="{00000000-0004-0000-1500-0000BD060000}"/>
    <hyperlink ref="A577" r:id="rId576" xr:uid="{00000000-0004-0000-1500-0000BE060000}"/>
    <hyperlink ref="B577" location="FixPlan!A31" display="No Question Headings" xr:uid="{00000000-0004-0000-1500-0000BF060000}"/>
    <hyperlink ref="E577" location="AEO!A1" display="https://africanmarketingconfederation.org/amc-conference-2023/amc-awards/::no_question_headings" xr:uid="{00000000-0004-0000-1500-0000C0060000}"/>
    <hyperlink ref="A578" r:id="rId577" xr:uid="{00000000-0004-0000-1500-0000C1060000}"/>
    <hyperlink ref="B578" location="FixPlan!A32" display="No Answer-Friendly Structure" xr:uid="{00000000-0004-0000-1500-0000C2060000}"/>
    <hyperlink ref="E578" location="Technical!A1" display="https://africanmarketingconfederation.org/amc-conference-2023/amc-awards/::no_answer-friendly_structure" xr:uid="{00000000-0004-0000-1500-0000C3060000}"/>
    <hyperlink ref="A579" r:id="rId578" xr:uid="{00000000-0004-0000-1500-0000C4060000}"/>
    <hyperlink ref="B579" location="FixPlan!A33" display="No 40-60 Word Answer Paragraphs" xr:uid="{00000000-0004-0000-1500-0000C5060000}"/>
    <hyperlink ref="E579" location="Technical!A1" display="https://africanmarketingconfederation.org/amc-conference-2023/amc-awards/::no_40-60_word_answer_paragraphs" xr:uid="{00000000-0004-0000-1500-0000C6060000}"/>
    <hyperlink ref="A580" r:id="rId579" xr:uid="{00000000-0004-0000-1500-0000C7060000}"/>
    <hyperlink ref="B580" location="FixPlan!A34" display="AI Crawlers Not Explicitly Allowed" xr:uid="{00000000-0004-0000-1500-0000C8060000}"/>
    <hyperlink ref="E580" location="Technical!A1" display="https://africanmarketingconfederation.org/amc-conference-2023/amc-awards/::ai_crawlers_not_explicitly_allowed" xr:uid="{00000000-0004-0000-1500-0000C9060000}"/>
    <hyperlink ref="A581" r:id="rId580" xr:uid="{00000000-0004-0000-1500-0000CA060000}"/>
    <hyperlink ref="B581" location="FixPlan!A20" display="Low AEO Readiness Score" xr:uid="{00000000-0004-0000-1500-0000CB060000}"/>
    <hyperlink ref="E581" location="AEO!A1" display="https://africanmarketingconfederation.org/amc-conference-2023/programme/::low_aeo_readiness_score" xr:uid="{00000000-0004-0000-1500-0000CC060000}"/>
    <hyperlink ref="A582" r:id="rId581" xr:uid="{00000000-0004-0000-1500-0000CD060000}"/>
    <hyperlink ref="B582" location="FixPlan!A28" display="No Compression Header" xr:uid="{00000000-0004-0000-1500-0000CE060000}"/>
    <hyperlink ref="E582" location="Technical!A1" display="https://africanmarketingconfederation.org/amc-conference-2023/programme/::no_compression_header" xr:uid="{00000000-0004-0000-1500-0000CF060000}"/>
    <hyperlink ref="A583" r:id="rId582" xr:uid="{00000000-0004-0000-1500-0000D0060000}"/>
    <hyperlink ref="B583" location="FixPlan!A29" display="No Cache-Control Header" xr:uid="{00000000-0004-0000-1500-0000D1060000}"/>
    <hyperlink ref="E583" location="Technical!A1" display="https://africanmarketingconfederation.org/amc-conference-2023/programme/::no_cache-control_header" xr:uid="{00000000-0004-0000-1500-0000D2060000}"/>
    <hyperlink ref="A584" r:id="rId583" xr:uid="{00000000-0004-0000-1500-0000D3060000}"/>
    <hyperlink ref="B584" location="FixPlan!A30" display="No ETag Header" xr:uid="{00000000-0004-0000-1500-0000D4060000}"/>
    <hyperlink ref="E584" location="Technical!A1" display="https://africanmarketingconfederation.org/amc-conference-2023/programme/::no_etag_header" xr:uid="{00000000-0004-0000-1500-0000D5060000}"/>
    <hyperlink ref="A585" r:id="rId584" xr:uid="{00000000-0004-0000-1500-0000D6060000}"/>
    <hyperlink ref="B585" location="FixPlan!A31" display="No Question Headings" xr:uid="{00000000-0004-0000-1500-0000D7060000}"/>
    <hyperlink ref="E585" location="AEO!A1" display="https://africanmarketingconfederation.org/amc-conference-2023/programme/::no_question_headings" xr:uid="{00000000-0004-0000-1500-0000D8060000}"/>
    <hyperlink ref="A586" r:id="rId585" xr:uid="{00000000-0004-0000-1500-0000D9060000}"/>
    <hyperlink ref="B586" location="FixPlan!A32" display="No Answer-Friendly Structure" xr:uid="{00000000-0004-0000-1500-0000DA060000}"/>
    <hyperlink ref="E586" location="Technical!A1" display="https://africanmarketingconfederation.org/amc-conference-2023/programme/::no_answer-friendly_structure" xr:uid="{00000000-0004-0000-1500-0000DB060000}"/>
    <hyperlink ref="A587" r:id="rId586" xr:uid="{00000000-0004-0000-1500-0000DC060000}"/>
    <hyperlink ref="B587" location="FixPlan!A33" display="No 40-60 Word Answer Paragraphs" xr:uid="{00000000-0004-0000-1500-0000DD060000}"/>
    <hyperlink ref="E587" location="Technical!A1" display="https://africanmarketingconfederation.org/amc-conference-2023/programme/::no_40-60_word_answer_paragraphs" xr:uid="{00000000-0004-0000-1500-0000DE060000}"/>
    <hyperlink ref="A588" r:id="rId587" xr:uid="{00000000-0004-0000-1500-0000DF060000}"/>
    <hyperlink ref="B588" location="FixPlan!A34" display="AI Crawlers Not Explicitly Allowed" xr:uid="{00000000-0004-0000-1500-0000E0060000}"/>
    <hyperlink ref="E588" location="Technical!A1" display="https://africanmarketingconfederation.org/amc-conference-2023/programme/::ai_crawlers_not_explicitly_allowed" xr:uid="{00000000-0004-0000-1500-0000E1060000}"/>
    <hyperlink ref="A589" r:id="rId588" xr:uid="{00000000-0004-0000-1500-0000E2060000}"/>
    <hyperlink ref="B589" location="FixPlan!A20" display="Low AEO Readiness Score" xr:uid="{00000000-0004-0000-1500-0000E3060000}"/>
    <hyperlink ref="E589" location="AEO!A1" display="https://africanmarketingconfederation.org/amc-conference-2023/partners/::low_aeo_readiness_score" xr:uid="{00000000-0004-0000-1500-0000E4060000}"/>
    <hyperlink ref="A590" r:id="rId589" xr:uid="{00000000-0004-0000-1500-0000E5060000}"/>
    <hyperlink ref="B590" location="FixPlan!A28" display="No Compression Header" xr:uid="{00000000-0004-0000-1500-0000E6060000}"/>
    <hyperlink ref="E590" location="Technical!A1" display="https://africanmarketingconfederation.org/amc-conference-2023/partners/::no_compression_header" xr:uid="{00000000-0004-0000-1500-0000E7060000}"/>
    <hyperlink ref="A591" r:id="rId590" xr:uid="{00000000-0004-0000-1500-0000E8060000}"/>
    <hyperlink ref="B591" location="FixPlan!A29" display="No Cache-Control Header" xr:uid="{00000000-0004-0000-1500-0000E9060000}"/>
    <hyperlink ref="E591" location="Technical!A1" display="https://africanmarketingconfederation.org/amc-conference-2023/partners/::no_cache-control_header" xr:uid="{00000000-0004-0000-1500-0000EA060000}"/>
    <hyperlink ref="A592" r:id="rId591" xr:uid="{00000000-0004-0000-1500-0000EB060000}"/>
    <hyperlink ref="B592" location="FixPlan!A30" display="No ETag Header" xr:uid="{00000000-0004-0000-1500-0000EC060000}"/>
    <hyperlink ref="E592" location="Technical!A1" display="https://africanmarketingconfederation.org/amc-conference-2023/partners/::no_etag_header" xr:uid="{00000000-0004-0000-1500-0000ED060000}"/>
    <hyperlink ref="A593" r:id="rId592" xr:uid="{00000000-0004-0000-1500-0000EE060000}"/>
    <hyperlink ref="B593" location="FixPlan!A35" display="Thin Content" xr:uid="{00000000-0004-0000-1500-0000EF060000}"/>
    <hyperlink ref="E593" location="Technical!A1" display="https://africanmarketingconfederation.org/amc-conference-2023/partners/::thin_content" xr:uid="{00000000-0004-0000-1500-0000F0060000}"/>
    <hyperlink ref="A594" r:id="rId593" xr:uid="{00000000-0004-0000-1500-0000F1060000}"/>
    <hyperlink ref="B594" location="FixPlan!A31" display="No Question Headings" xr:uid="{00000000-0004-0000-1500-0000F2060000}"/>
    <hyperlink ref="E594" location="AEO!A1" display="https://africanmarketingconfederation.org/amc-conference-2023/partners/::no_question_headings" xr:uid="{00000000-0004-0000-1500-0000F3060000}"/>
    <hyperlink ref="A595" r:id="rId594" xr:uid="{00000000-0004-0000-1500-0000F4060000}"/>
    <hyperlink ref="B595" location="FixPlan!A32" display="No Answer-Friendly Structure" xr:uid="{00000000-0004-0000-1500-0000F5060000}"/>
    <hyperlink ref="E595" location="Technical!A1" display="https://africanmarketingconfederation.org/amc-conference-2023/partners/::no_answer-friendly_structure" xr:uid="{00000000-0004-0000-1500-0000F6060000}"/>
    <hyperlink ref="A596" r:id="rId595" xr:uid="{00000000-0004-0000-1500-0000F7060000}"/>
    <hyperlink ref="B596" location="FixPlan!A33" display="No 40-60 Word Answer Paragraphs" xr:uid="{00000000-0004-0000-1500-0000F8060000}"/>
    <hyperlink ref="E596" location="Technical!A1" display="https://africanmarketingconfederation.org/amc-conference-2023/partners/::no_40-60_word_answer_paragraphs" xr:uid="{00000000-0004-0000-1500-0000F9060000}"/>
    <hyperlink ref="A597" r:id="rId596" xr:uid="{00000000-0004-0000-1500-0000FA060000}"/>
    <hyperlink ref="B597" location="FixPlan!A34" display="AI Crawlers Not Explicitly Allowed" xr:uid="{00000000-0004-0000-1500-0000FB060000}"/>
    <hyperlink ref="E597" location="Technical!A1" display="https://africanmarketingconfederation.org/amc-conference-2023/partners/::ai_crawlers_not_explicitly_allowed" xr:uid="{00000000-0004-0000-1500-0000FC060000}"/>
    <hyperlink ref="A598" r:id="rId597" xr:uid="{00000000-0004-0000-1500-0000FD060000}"/>
    <hyperlink ref="B598" location="FixPlan!A20" display="Low AEO Readiness Score" xr:uid="{00000000-0004-0000-1500-0000FE060000}"/>
    <hyperlink ref="E598" location="AEO!A1" display="https://africanmarketingconfederation.org/amc-conference-2023/speakers/::low_aeo_readiness_score" xr:uid="{00000000-0004-0000-1500-0000FF060000}"/>
    <hyperlink ref="A599" r:id="rId598" xr:uid="{00000000-0004-0000-1500-000000070000}"/>
    <hyperlink ref="B599" location="FixPlan!A28" display="No Compression Header" xr:uid="{00000000-0004-0000-1500-000001070000}"/>
    <hyperlink ref="E599" location="Technical!A1" display="https://africanmarketingconfederation.org/amc-conference-2023/speakers/::no_compression_header" xr:uid="{00000000-0004-0000-1500-000002070000}"/>
    <hyperlink ref="A600" r:id="rId599" xr:uid="{00000000-0004-0000-1500-000003070000}"/>
    <hyperlink ref="B600" location="FixPlan!A29" display="No Cache-Control Header" xr:uid="{00000000-0004-0000-1500-000004070000}"/>
    <hyperlink ref="E600" location="Technical!A1" display="https://africanmarketingconfederation.org/amc-conference-2023/speakers/::no_cache-control_header" xr:uid="{00000000-0004-0000-1500-000005070000}"/>
    <hyperlink ref="A601" r:id="rId600" xr:uid="{00000000-0004-0000-1500-000006070000}"/>
    <hyperlink ref="B601" location="FixPlan!A30" display="No ETag Header" xr:uid="{00000000-0004-0000-1500-000007070000}"/>
    <hyperlink ref="E601" location="Technical!A1" display="https://africanmarketingconfederation.org/amc-conference-2023/speakers/::no_etag_header" xr:uid="{00000000-0004-0000-1500-000008070000}"/>
    <hyperlink ref="A602" r:id="rId601" xr:uid="{00000000-0004-0000-1500-000009070000}"/>
    <hyperlink ref="B602" location="FixPlan!A31" display="No Question Headings" xr:uid="{00000000-0004-0000-1500-00000A070000}"/>
    <hyperlink ref="E602" location="AEO!A1" display="https://africanmarketingconfederation.org/amc-conference-2023/speakers/::no_question_headings" xr:uid="{00000000-0004-0000-1500-00000B070000}"/>
    <hyperlink ref="A603" r:id="rId602" xr:uid="{00000000-0004-0000-1500-00000C070000}"/>
    <hyperlink ref="B603" location="FixPlan!A32" display="No Answer-Friendly Structure" xr:uid="{00000000-0004-0000-1500-00000D070000}"/>
    <hyperlink ref="E603" location="Technical!A1" display="https://africanmarketingconfederation.org/amc-conference-2023/speakers/::no_answer-friendly_structure" xr:uid="{00000000-0004-0000-1500-00000E070000}"/>
    <hyperlink ref="A604" r:id="rId603" xr:uid="{00000000-0004-0000-1500-00000F070000}"/>
    <hyperlink ref="B604" location="FixPlan!A33" display="No 40-60 Word Answer Paragraphs" xr:uid="{00000000-0004-0000-1500-000010070000}"/>
    <hyperlink ref="E604" location="Technical!A1" display="https://africanmarketingconfederation.org/amc-conference-2023/speakers/::no_40-60_word_answer_paragraphs" xr:uid="{00000000-0004-0000-1500-000011070000}"/>
    <hyperlink ref="A605" r:id="rId604" xr:uid="{00000000-0004-0000-1500-000012070000}"/>
    <hyperlink ref="B605" location="FixPlan!A34" display="AI Crawlers Not Explicitly Allowed" xr:uid="{00000000-0004-0000-1500-000013070000}"/>
    <hyperlink ref="E605" location="Technical!A1" display="https://africanmarketingconfederation.org/amc-conference-2023/speakers/::ai_crawlers_not_explicitly_allowed" xr:uid="{00000000-0004-0000-1500-000014070000}"/>
    <hyperlink ref="A606" r:id="rId605" xr:uid="{00000000-0004-0000-1500-000015070000}"/>
    <hyperlink ref="B606" location="FixPlan!A19" display="Missing H1" xr:uid="{00000000-0004-0000-1500-000016070000}"/>
    <hyperlink ref="E606" location="Technical!A1" display="https://africanmarketingconfederation.org/chartered-marketer-africa-thank-you/::missing_h1" xr:uid="{00000000-0004-0000-1500-000017070000}"/>
    <hyperlink ref="A607" r:id="rId606" xr:uid="{00000000-0004-0000-1500-000018070000}"/>
    <hyperlink ref="B607" location="FixPlan!A20" display="Low AEO Readiness Score" xr:uid="{00000000-0004-0000-1500-000019070000}"/>
    <hyperlink ref="E607" location="AEO!A1" display="https://africanmarketingconfederation.org/chartered-marketer-africa-thank-you/::low_aeo_readiness_score" xr:uid="{00000000-0004-0000-1500-00001A070000}"/>
    <hyperlink ref="A608" r:id="rId607" xr:uid="{00000000-0004-0000-1500-00001B070000}"/>
    <hyperlink ref="B608" location="FixPlan!A28" display="No Compression Header" xr:uid="{00000000-0004-0000-1500-00001C070000}"/>
    <hyperlink ref="E608" location="Technical!A1" display="https://africanmarketingconfederation.org/chartered-marketer-africa-thank-you/::no_compression_header" xr:uid="{00000000-0004-0000-1500-00001D070000}"/>
    <hyperlink ref="A609" r:id="rId608" xr:uid="{00000000-0004-0000-1500-00001E070000}"/>
    <hyperlink ref="B609" location="FixPlan!A29" display="No Cache-Control Header" xr:uid="{00000000-0004-0000-1500-00001F070000}"/>
    <hyperlink ref="E609" location="Technical!A1" display="https://africanmarketingconfederation.org/chartered-marketer-africa-thank-you/::no_cache-control_header" xr:uid="{00000000-0004-0000-1500-000020070000}"/>
    <hyperlink ref="A610" r:id="rId609" xr:uid="{00000000-0004-0000-1500-000021070000}"/>
    <hyperlink ref="B610" location="FixPlan!A30" display="No ETag Header" xr:uid="{00000000-0004-0000-1500-000022070000}"/>
    <hyperlink ref="E610" location="Technical!A1" display="https://africanmarketingconfederation.org/chartered-marketer-africa-thank-you/::no_etag_header" xr:uid="{00000000-0004-0000-1500-000023070000}"/>
    <hyperlink ref="A611" r:id="rId610" xr:uid="{00000000-0004-0000-1500-000024070000}"/>
    <hyperlink ref="B611" location="FixPlan!A35" display="Thin Content" xr:uid="{00000000-0004-0000-1500-000025070000}"/>
    <hyperlink ref="E611" location="Technical!A1" display="https://africanmarketingconfederation.org/chartered-marketer-africa-thank-you/::thin_content" xr:uid="{00000000-0004-0000-1500-000026070000}"/>
    <hyperlink ref="A612" r:id="rId611" xr:uid="{00000000-0004-0000-1500-000027070000}"/>
    <hyperlink ref="B612" location="FixPlan!A31" display="No Question Headings" xr:uid="{00000000-0004-0000-1500-000028070000}"/>
    <hyperlink ref="E612" location="AEO!A1" display="https://africanmarketingconfederation.org/chartered-marketer-africa-thank-you/::no_question_headings" xr:uid="{00000000-0004-0000-1500-000029070000}"/>
    <hyperlink ref="A613" r:id="rId612" xr:uid="{00000000-0004-0000-1500-00002A070000}"/>
    <hyperlink ref="B613" location="FixPlan!A32" display="No Answer-Friendly Structure" xr:uid="{00000000-0004-0000-1500-00002B070000}"/>
    <hyperlink ref="E613" location="Technical!A1" display="https://africanmarketingconfederation.org/chartered-marketer-africa-thank-you/::no_answer-friendly_structure" xr:uid="{00000000-0004-0000-1500-00002C070000}"/>
    <hyperlink ref="A614" r:id="rId613" xr:uid="{00000000-0004-0000-1500-00002D070000}"/>
    <hyperlink ref="B614" location="FixPlan!A33" display="No 40-60 Word Answer Paragraphs" xr:uid="{00000000-0004-0000-1500-00002E070000}"/>
    <hyperlink ref="E614" location="Technical!A1" display="https://africanmarketingconfederation.org/chartered-marketer-africa-thank-you/::no_40-60_word_answer_paragraphs" xr:uid="{00000000-0004-0000-1500-00002F070000}"/>
    <hyperlink ref="A615" r:id="rId614" xr:uid="{00000000-0004-0000-1500-000030070000}"/>
    <hyperlink ref="B615" location="FixPlan!A34" display="AI Crawlers Not Explicitly Allowed" xr:uid="{00000000-0004-0000-1500-000031070000}"/>
    <hyperlink ref="E615" location="Technical!A1" display="https://africanmarketingconfederation.org/chartered-marketer-africa-thank-you/::ai_crawlers_not_explicitly_allowed" xr:uid="{00000000-0004-0000-1500-000032070000}"/>
    <hyperlink ref="A616" r:id="rId615" xr:uid="{00000000-0004-0000-1500-000033070000}"/>
    <hyperlink ref="B616" location="FixPlan!A18" display="Missing Meta Description" xr:uid="{00000000-0004-0000-1500-000034070000}"/>
    <hyperlink ref="E616" location="Technical!A1" display="https://africanmarketingconfederation.org/amc-conference-2023/amc-awards-book-now/::missing_meta_description" xr:uid="{00000000-0004-0000-1500-000035070000}"/>
    <hyperlink ref="A617" r:id="rId616" xr:uid="{00000000-0004-0000-1500-000036070000}"/>
    <hyperlink ref="B617" location="FixPlan!A19" display="Missing H1" xr:uid="{00000000-0004-0000-1500-000037070000}"/>
    <hyperlink ref="E617" location="Technical!A1" display="https://africanmarketingconfederation.org/amc-conference-2023/amc-awards-book-now/::missing_h1" xr:uid="{00000000-0004-0000-1500-000038070000}"/>
    <hyperlink ref="A618" r:id="rId617" xr:uid="{00000000-0004-0000-1500-000039070000}"/>
    <hyperlink ref="B618" location="FixPlan!A20" display="Low AEO Readiness Score" xr:uid="{00000000-0004-0000-1500-00003A070000}"/>
    <hyperlink ref="E618" location="AEO!A1" display="https://africanmarketingconfederation.org/amc-conference-2023/amc-awards-book-now/::low_aeo_readiness_score" xr:uid="{00000000-0004-0000-1500-00003B070000}"/>
    <hyperlink ref="A619" r:id="rId618" xr:uid="{00000000-0004-0000-1500-00003C070000}"/>
    <hyperlink ref="B619" location="FixPlan!A28" display="No Compression Header" xr:uid="{00000000-0004-0000-1500-00003D070000}"/>
    <hyperlink ref="E619" location="Technical!A1" display="https://africanmarketingconfederation.org/amc-conference-2023/amc-awards-book-now/::no_compression_header" xr:uid="{00000000-0004-0000-1500-00003E070000}"/>
    <hyperlink ref="A620" r:id="rId619" xr:uid="{00000000-0004-0000-1500-00003F070000}"/>
    <hyperlink ref="B620" location="FixPlan!A29" display="No Cache-Control Header" xr:uid="{00000000-0004-0000-1500-000040070000}"/>
    <hyperlink ref="E620" location="Technical!A1" display="https://africanmarketingconfederation.org/amc-conference-2023/amc-awards-book-now/::no_cache-control_header" xr:uid="{00000000-0004-0000-1500-000041070000}"/>
    <hyperlink ref="A621" r:id="rId620" xr:uid="{00000000-0004-0000-1500-000042070000}"/>
    <hyperlink ref="B621" location="FixPlan!A30" display="No ETag Header" xr:uid="{00000000-0004-0000-1500-000043070000}"/>
    <hyperlink ref="E621" location="Technical!A1" display="https://africanmarketingconfederation.org/amc-conference-2023/amc-awards-book-now/::no_etag_header" xr:uid="{00000000-0004-0000-1500-000044070000}"/>
    <hyperlink ref="A622" r:id="rId621" xr:uid="{00000000-0004-0000-1500-000045070000}"/>
    <hyperlink ref="B622" location="FixPlan!A35" display="Thin Content" xr:uid="{00000000-0004-0000-1500-000046070000}"/>
    <hyperlink ref="E622" location="Technical!A1" display="https://africanmarketingconfederation.org/amc-conference-2023/amc-awards-book-now/::thin_content" xr:uid="{00000000-0004-0000-1500-000047070000}"/>
    <hyperlink ref="A623" r:id="rId622" xr:uid="{00000000-0004-0000-1500-000048070000}"/>
    <hyperlink ref="B623" location="FixPlan!A31" display="No Question Headings" xr:uid="{00000000-0004-0000-1500-000049070000}"/>
    <hyperlink ref="E623" location="AEO!A1" display="https://africanmarketingconfederation.org/amc-conference-2023/amc-awards-book-now/::no_question_headings" xr:uid="{00000000-0004-0000-1500-00004A070000}"/>
    <hyperlink ref="A624" r:id="rId623" xr:uid="{00000000-0004-0000-1500-00004B070000}"/>
    <hyperlink ref="B624" location="FixPlan!A32" display="No Answer-Friendly Structure" xr:uid="{00000000-0004-0000-1500-00004C070000}"/>
    <hyperlink ref="E624" location="Technical!A1" display="https://africanmarketingconfederation.org/amc-conference-2023/amc-awards-book-now/::no_answer-friendly_structure" xr:uid="{00000000-0004-0000-1500-00004D070000}"/>
    <hyperlink ref="A625" r:id="rId624" xr:uid="{00000000-0004-0000-1500-00004E070000}"/>
    <hyperlink ref="B625" location="FixPlan!A33" display="No 40-60 Word Answer Paragraphs" xr:uid="{00000000-0004-0000-1500-00004F070000}"/>
    <hyperlink ref="E625" location="Technical!A1" display="https://africanmarketingconfederation.org/amc-conference-2023/amc-awards-book-now/::no_40-60_word_answer_paragraphs" xr:uid="{00000000-0004-0000-1500-000050070000}"/>
    <hyperlink ref="A626" r:id="rId625" xr:uid="{00000000-0004-0000-1500-000051070000}"/>
    <hyperlink ref="B626" location="FixPlan!A34" display="AI Crawlers Not Explicitly Allowed" xr:uid="{00000000-0004-0000-1500-000052070000}"/>
    <hyperlink ref="E626" location="Technical!A1" display="https://africanmarketingconfederation.org/amc-conference-2023/amc-awards-book-now/::ai_crawlers_not_explicitly_allowed" xr:uid="{00000000-0004-0000-1500-000053070000}"/>
    <hyperlink ref="A627" r:id="rId626" xr:uid="{00000000-0004-0000-1500-000054070000}"/>
    <hyperlink ref="B627" location="FixPlan!A20" display="Low AEO Readiness Score" xr:uid="{00000000-0004-0000-1500-000055070000}"/>
    <hyperlink ref="E627" location="AEO!A1" display="https://africanmarketingconfederation.org/amc-conference-2023/book-now/::low_aeo_readiness_score" xr:uid="{00000000-0004-0000-1500-000056070000}"/>
    <hyperlink ref="A628" r:id="rId627" xr:uid="{00000000-0004-0000-1500-000057070000}"/>
    <hyperlink ref="B628" location="FixPlan!A28" display="No Compression Header" xr:uid="{00000000-0004-0000-1500-000058070000}"/>
    <hyperlink ref="E628" location="Technical!A1" display="https://africanmarketingconfederation.org/amc-conference-2023/book-now/::no_compression_header" xr:uid="{00000000-0004-0000-1500-000059070000}"/>
    <hyperlink ref="A629" r:id="rId628" xr:uid="{00000000-0004-0000-1500-00005A070000}"/>
    <hyperlink ref="B629" location="FixPlan!A29" display="No Cache-Control Header" xr:uid="{00000000-0004-0000-1500-00005B070000}"/>
    <hyperlink ref="E629" location="Technical!A1" display="https://africanmarketingconfederation.org/amc-conference-2023/book-now/::no_cache-control_header" xr:uid="{00000000-0004-0000-1500-00005C070000}"/>
    <hyperlink ref="A630" r:id="rId629" xr:uid="{00000000-0004-0000-1500-00005D070000}"/>
    <hyperlink ref="B630" location="FixPlan!A30" display="No ETag Header" xr:uid="{00000000-0004-0000-1500-00005E070000}"/>
    <hyperlink ref="E630" location="Technical!A1" display="https://africanmarketingconfederation.org/amc-conference-2023/book-now/::no_etag_header" xr:uid="{00000000-0004-0000-1500-00005F070000}"/>
    <hyperlink ref="A631" r:id="rId630" xr:uid="{00000000-0004-0000-1500-000060070000}"/>
    <hyperlink ref="B631" location="FixPlan!A35" display="Thin Content" xr:uid="{00000000-0004-0000-1500-000061070000}"/>
    <hyperlink ref="E631" location="Technical!A1" display="https://africanmarketingconfederation.org/amc-conference-2023/book-now/::thin_content" xr:uid="{00000000-0004-0000-1500-000062070000}"/>
    <hyperlink ref="A632" r:id="rId631" xr:uid="{00000000-0004-0000-1500-000063070000}"/>
    <hyperlink ref="B632" location="FixPlan!A31" display="No Question Headings" xr:uid="{00000000-0004-0000-1500-000064070000}"/>
    <hyperlink ref="E632" location="AEO!A1" display="https://africanmarketingconfederation.org/amc-conference-2023/book-now/::no_question_headings" xr:uid="{00000000-0004-0000-1500-000065070000}"/>
    <hyperlink ref="A633" r:id="rId632" xr:uid="{00000000-0004-0000-1500-000066070000}"/>
    <hyperlink ref="B633" location="FixPlan!A32" display="No Answer-Friendly Structure" xr:uid="{00000000-0004-0000-1500-000067070000}"/>
    <hyperlink ref="E633" location="Technical!A1" display="https://africanmarketingconfederation.org/amc-conference-2023/book-now/::no_answer-friendly_structure" xr:uid="{00000000-0004-0000-1500-000068070000}"/>
    <hyperlink ref="A634" r:id="rId633" xr:uid="{00000000-0004-0000-1500-000069070000}"/>
    <hyperlink ref="B634" location="FixPlan!A33" display="No 40-60 Word Answer Paragraphs" xr:uid="{00000000-0004-0000-1500-00006A070000}"/>
    <hyperlink ref="E634" location="Technical!A1" display="https://africanmarketingconfederation.org/amc-conference-2023/book-now/::no_40-60_word_answer_paragraphs" xr:uid="{00000000-0004-0000-1500-00006B070000}"/>
    <hyperlink ref="A635" r:id="rId634" xr:uid="{00000000-0004-0000-1500-00006C070000}"/>
    <hyperlink ref="B635" location="FixPlan!A34" display="AI Crawlers Not Explicitly Allowed" xr:uid="{00000000-0004-0000-1500-00006D070000}"/>
    <hyperlink ref="E635" location="Technical!A1" display="https://africanmarketingconfederation.org/amc-conference-2023/book-now/::ai_crawlers_not_explicitly_allowed" xr:uid="{00000000-0004-0000-1500-00006E070000}"/>
    <hyperlink ref="A636" r:id="rId635" xr:uid="{00000000-0004-0000-1500-00006F070000}"/>
    <hyperlink ref="B636" location="FixPlan!A20" display="Low AEO Readiness Score" xr:uid="{00000000-0004-0000-1500-000070070000}"/>
    <hyperlink ref="E636" location="AEO!A1" display="https://africanmarketingconfederation.org/amc-conference-2023/download-prospectus/::low_aeo_readiness_score" xr:uid="{00000000-0004-0000-1500-000071070000}"/>
    <hyperlink ref="A637" r:id="rId636" xr:uid="{00000000-0004-0000-1500-000072070000}"/>
    <hyperlink ref="B637" location="FixPlan!A28" display="No Compression Header" xr:uid="{00000000-0004-0000-1500-000073070000}"/>
    <hyperlink ref="E637" location="Technical!A1" display="https://africanmarketingconfederation.org/amc-conference-2023/download-prospectus/::no_compression_header" xr:uid="{00000000-0004-0000-1500-000074070000}"/>
    <hyperlink ref="A638" r:id="rId637" xr:uid="{00000000-0004-0000-1500-000075070000}"/>
    <hyperlink ref="B638" location="FixPlan!A29" display="No Cache-Control Header" xr:uid="{00000000-0004-0000-1500-000076070000}"/>
    <hyperlink ref="E638" location="Technical!A1" display="https://africanmarketingconfederation.org/amc-conference-2023/download-prospectus/::no_cache-control_header" xr:uid="{00000000-0004-0000-1500-000077070000}"/>
    <hyperlink ref="A639" r:id="rId638" xr:uid="{00000000-0004-0000-1500-000078070000}"/>
    <hyperlink ref="B639" location="FixPlan!A30" display="No ETag Header" xr:uid="{00000000-0004-0000-1500-000079070000}"/>
    <hyperlink ref="E639" location="Technical!A1" display="https://africanmarketingconfederation.org/amc-conference-2023/download-prospectus/::no_etag_header" xr:uid="{00000000-0004-0000-1500-00007A070000}"/>
    <hyperlink ref="A640" r:id="rId639" xr:uid="{00000000-0004-0000-1500-00007B070000}"/>
    <hyperlink ref="B640" location="FixPlan!A35" display="Thin Content" xr:uid="{00000000-0004-0000-1500-00007C070000}"/>
    <hyperlink ref="E640" location="Technical!A1" display="https://africanmarketingconfederation.org/amc-conference-2023/download-prospectus/::thin_content" xr:uid="{00000000-0004-0000-1500-00007D070000}"/>
    <hyperlink ref="A641" r:id="rId640" xr:uid="{00000000-0004-0000-1500-00007E070000}"/>
    <hyperlink ref="B641" location="FixPlan!A31" display="No Question Headings" xr:uid="{00000000-0004-0000-1500-00007F070000}"/>
    <hyperlink ref="E641" location="AEO!A1" display="https://africanmarketingconfederation.org/amc-conference-2023/download-prospectus/::no_question_headings" xr:uid="{00000000-0004-0000-1500-000080070000}"/>
    <hyperlink ref="A642" r:id="rId641" xr:uid="{00000000-0004-0000-1500-000081070000}"/>
    <hyperlink ref="B642" location="FixPlan!A32" display="No Answer-Friendly Structure" xr:uid="{00000000-0004-0000-1500-000082070000}"/>
    <hyperlink ref="E642" location="Technical!A1" display="https://africanmarketingconfederation.org/amc-conference-2023/download-prospectus/::no_answer-friendly_structure" xr:uid="{00000000-0004-0000-1500-000083070000}"/>
    <hyperlink ref="A643" r:id="rId642" xr:uid="{00000000-0004-0000-1500-000084070000}"/>
    <hyperlink ref="B643" location="FixPlan!A33" display="No 40-60 Word Answer Paragraphs" xr:uid="{00000000-0004-0000-1500-000085070000}"/>
    <hyperlink ref="E643" location="Technical!A1" display="https://africanmarketingconfederation.org/amc-conference-2023/download-prospectus/::no_40-60_word_answer_paragraphs" xr:uid="{00000000-0004-0000-1500-000086070000}"/>
    <hyperlink ref="A644" r:id="rId643" xr:uid="{00000000-0004-0000-1500-000087070000}"/>
    <hyperlink ref="B644" location="FixPlan!A34" display="AI Crawlers Not Explicitly Allowed" xr:uid="{00000000-0004-0000-1500-000088070000}"/>
    <hyperlink ref="E644" location="Technical!A1" display="https://africanmarketingconfederation.org/amc-conference-2023/download-prospectus/::ai_crawlers_not_explicitly_allowed" xr:uid="{00000000-0004-0000-1500-000089070000}"/>
    <hyperlink ref="A645" r:id="rId644" xr:uid="{00000000-0004-0000-1500-00008A070000}"/>
    <hyperlink ref="B645" location="FixPlan!A19" display="Missing H1" xr:uid="{00000000-0004-0000-1500-00008B070000}"/>
    <hyperlink ref="E645" location="Technical!A1" display="https://africanmarketingconfederation.org/amc-conference-2023/book-now-thank-you/::missing_h1" xr:uid="{00000000-0004-0000-1500-00008C070000}"/>
    <hyperlink ref="A646" r:id="rId645" xr:uid="{00000000-0004-0000-1500-00008D070000}"/>
    <hyperlink ref="B646" location="FixPlan!A20" display="Low AEO Readiness Score" xr:uid="{00000000-0004-0000-1500-00008E070000}"/>
    <hyperlink ref="E646" location="AEO!A1" display="https://africanmarketingconfederation.org/amc-conference-2023/book-now-thank-you/::low_aeo_readiness_score" xr:uid="{00000000-0004-0000-1500-00008F070000}"/>
    <hyperlink ref="A647" r:id="rId646" xr:uid="{00000000-0004-0000-1500-000090070000}"/>
    <hyperlink ref="B647" location="FixPlan!A28" display="No Compression Header" xr:uid="{00000000-0004-0000-1500-000091070000}"/>
    <hyperlink ref="E647" location="Technical!A1" display="https://africanmarketingconfederation.org/amc-conference-2023/book-now-thank-you/::no_compression_header" xr:uid="{00000000-0004-0000-1500-000092070000}"/>
    <hyperlink ref="A648" r:id="rId647" xr:uid="{00000000-0004-0000-1500-000093070000}"/>
    <hyperlink ref="B648" location="FixPlan!A29" display="No Cache-Control Header" xr:uid="{00000000-0004-0000-1500-000094070000}"/>
    <hyperlink ref="E648" location="Technical!A1" display="https://africanmarketingconfederation.org/amc-conference-2023/book-now-thank-you/::no_cache-control_header" xr:uid="{00000000-0004-0000-1500-000095070000}"/>
    <hyperlink ref="A649" r:id="rId648" xr:uid="{00000000-0004-0000-1500-000096070000}"/>
    <hyperlink ref="B649" location="FixPlan!A30" display="No ETag Header" xr:uid="{00000000-0004-0000-1500-000097070000}"/>
    <hyperlink ref="E649" location="Technical!A1" display="https://africanmarketingconfederation.org/amc-conference-2023/book-now-thank-you/::no_etag_header" xr:uid="{00000000-0004-0000-1500-000098070000}"/>
    <hyperlink ref="A650" r:id="rId649" xr:uid="{00000000-0004-0000-1500-000099070000}"/>
    <hyperlink ref="B650" location="FixPlan!A35" display="Thin Content" xr:uid="{00000000-0004-0000-1500-00009A070000}"/>
    <hyperlink ref="E650" location="Technical!A1" display="https://africanmarketingconfederation.org/amc-conference-2023/book-now-thank-you/::thin_content" xr:uid="{00000000-0004-0000-1500-00009B070000}"/>
    <hyperlink ref="A651" r:id="rId650" xr:uid="{00000000-0004-0000-1500-00009C070000}"/>
    <hyperlink ref="B651" location="FixPlan!A31" display="No Question Headings" xr:uid="{00000000-0004-0000-1500-00009D070000}"/>
    <hyperlink ref="E651" location="AEO!A1" display="https://africanmarketingconfederation.org/amc-conference-2023/book-now-thank-you/::no_question_headings" xr:uid="{00000000-0004-0000-1500-00009E070000}"/>
    <hyperlink ref="A652" r:id="rId651" xr:uid="{00000000-0004-0000-1500-00009F070000}"/>
    <hyperlink ref="B652" location="FixPlan!A32" display="No Answer-Friendly Structure" xr:uid="{00000000-0004-0000-1500-0000A0070000}"/>
    <hyperlink ref="E652" location="Technical!A1" display="https://africanmarketingconfederation.org/amc-conference-2023/book-now-thank-you/::no_answer-friendly_structure" xr:uid="{00000000-0004-0000-1500-0000A1070000}"/>
    <hyperlink ref="A653" r:id="rId652" xr:uid="{00000000-0004-0000-1500-0000A2070000}"/>
    <hyperlink ref="B653" location="FixPlan!A33" display="No 40-60 Word Answer Paragraphs" xr:uid="{00000000-0004-0000-1500-0000A3070000}"/>
    <hyperlink ref="E653" location="Technical!A1" display="https://africanmarketingconfederation.org/amc-conference-2023/book-now-thank-you/::no_40-60_word_answer_paragraphs" xr:uid="{00000000-0004-0000-1500-0000A4070000}"/>
    <hyperlink ref="A654" r:id="rId653" xr:uid="{00000000-0004-0000-1500-0000A5070000}"/>
    <hyperlink ref="B654" location="FixPlan!A34" display="AI Crawlers Not Explicitly Allowed" xr:uid="{00000000-0004-0000-1500-0000A6070000}"/>
    <hyperlink ref="E654" location="Technical!A1" display="https://africanmarketingconfederation.org/amc-conference-2023/book-now-thank-you/::ai_crawlers_not_explicitly_allowed" xr:uid="{00000000-0004-0000-1500-0000A7070000}"/>
    <hyperlink ref="A655" r:id="rId654" xr:uid="{00000000-0004-0000-1500-0000A8070000}"/>
    <hyperlink ref="B655" location="FixPlan!A20" display="Low AEO Readiness Score" xr:uid="{00000000-0004-0000-1500-0000A9070000}"/>
    <hyperlink ref="E655" location="AEO!A1" display="https://africanmarketingconfederation.org/amc-conference-thank-you/::low_aeo_readiness_score" xr:uid="{00000000-0004-0000-1500-0000AA070000}"/>
    <hyperlink ref="A656" r:id="rId655" xr:uid="{00000000-0004-0000-1500-0000AB070000}"/>
    <hyperlink ref="B656" location="FixPlan!A28" display="No Compression Header" xr:uid="{00000000-0004-0000-1500-0000AC070000}"/>
    <hyperlink ref="E656" location="Technical!A1" display="https://africanmarketingconfederation.org/amc-conference-thank-you/::no_compression_header" xr:uid="{00000000-0004-0000-1500-0000AD070000}"/>
    <hyperlink ref="A657" r:id="rId656" xr:uid="{00000000-0004-0000-1500-0000AE070000}"/>
    <hyperlink ref="B657" location="FixPlan!A29" display="No Cache-Control Header" xr:uid="{00000000-0004-0000-1500-0000AF070000}"/>
    <hyperlink ref="E657" location="Technical!A1" display="https://africanmarketingconfederation.org/amc-conference-thank-you/::no_cache-control_header" xr:uid="{00000000-0004-0000-1500-0000B0070000}"/>
    <hyperlink ref="A658" r:id="rId657" xr:uid="{00000000-0004-0000-1500-0000B1070000}"/>
    <hyperlink ref="B658" location="FixPlan!A30" display="No ETag Header" xr:uid="{00000000-0004-0000-1500-0000B2070000}"/>
    <hyperlink ref="E658" location="Technical!A1" display="https://africanmarketingconfederation.org/amc-conference-thank-you/::no_etag_header" xr:uid="{00000000-0004-0000-1500-0000B3070000}"/>
    <hyperlink ref="A659" r:id="rId658" xr:uid="{00000000-0004-0000-1500-0000B4070000}"/>
    <hyperlink ref="B659" location="FixPlan!A31" display="No Question Headings" xr:uid="{00000000-0004-0000-1500-0000B5070000}"/>
    <hyperlink ref="E659" location="AEO!A1" display="https://africanmarketingconfederation.org/amc-conference-thank-you/::no_question_headings" xr:uid="{00000000-0004-0000-1500-0000B6070000}"/>
    <hyperlink ref="A660" r:id="rId659" xr:uid="{00000000-0004-0000-1500-0000B7070000}"/>
    <hyperlink ref="B660" location="FixPlan!A32" display="No Answer-Friendly Structure" xr:uid="{00000000-0004-0000-1500-0000B8070000}"/>
    <hyperlink ref="E660" location="Technical!A1" display="https://africanmarketingconfederation.org/amc-conference-thank-you/::no_answer-friendly_structure" xr:uid="{00000000-0004-0000-1500-0000B9070000}"/>
    <hyperlink ref="A661" r:id="rId660" xr:uid="{00000000-0004-0000-1500-0000BA070000}"/>
    <hyperlink ref="B661" location="FixPlan!A33" display="No 40-60 Word Answer Paragraphs" xr:uid="{00000000-0004-0000-1500-0000BB070000}"/>
    <hyperlink ref="E661" location="Technical!A1" display="https://africanmarketingconfederation.org/amc-conference-thank-you/::no_40-60_word_answer_paragraphs" xr:uid="{00000000-0004-0000-1500-0000BC070000}"/>
    <hyperlink ref="A662" r:id="rId661" xr:uid="{00000000-0004-0000-1500-0000BD070000}"/>
    <hyperlink ref="B662" location="FixPlan!A34" display="AI Crawlers Not Explicitly Allowed" xr:uid="{00000000-0004-0000-1500-0000BE070000}"/>
    <hyperlink ref="E662" location="Technical!A1" display="https://africanmarketingconfederation.org/amc-conference-thank-you/::ai_crawlers_not_explicitly_allowed" xr:uid="{00000000-0004-0000-1500-0000BF070000}"/>
    <hyperlink ref="A663" r:id="rId662" xr:uid="{00000000-0004-0000-1500-0000C0070000}"/>
    <hyperlink ref="B663" location="FixPlan!A19" display="Missing H1" xr:uid="{00000000-0004-0000-1500-0000C1070000}"/>
    <hyperlink ref="E663" location="Technical!A1" display="https://africanmarketingconfederation.org/upcoming-events/::missing_h1" xr:uid="{00000000-0004-0000-1500-0000C2070000}"/>
    <hyperlink ref="A664" r:id="rId663" xr:uid="{00000000-0004-0000-1500-0000C3070000}"/>
    <hyperlink ref="B664" location="FixPlan!A20" display="Low AEO Readiness Score" xr:uid="{00000000-0004-0000-1500-0000C4070000}"/>
    <hyperlink ref="E664" location="AEO!A1" display="https://africanmarketingconfederation.org/upcoming-events/::low_aeo_readiness_score" xr:uid="{00000000-0004-0000-1500-0000C5070000}"/>
    <hyperlink ref="A665" r:id="rId664" xr:uid="{00000000-0004-0000-1500-0000C6070000}"/>
    <hyperlink ref="B665" location="FixPlan!A28" display="No Compression Header" xr:uid="{00000000-0004-0000-1500-0000C7070000}"/>
    <hyperlink ref="E665" location="Technical!A1" display="https://africanmarketingconfederation.org/upcoming-events/::no_compression_header" xr:uid="{00000000-0004-0000-1500-0000C8070000}"/>
    <hyperlink ref="A666" r:id="rId665" xr:uid="{00000000-0004-0000-1500-0000C9070000}"/>
    <hyperlink ref="B666" location="FixPlan!A29" display="No Cache-Control Header" xr:uid="{00000000-0004-0000-1500-0000CA070000}"/>
    <hyperlink ref="E666" location="Technical!A1" display="https://africanmarketingconfederation.org/upcoming-events/::no_cache-control_header" xr:uid="{00000000-0004-0000-1500-0000CB070000}"/>
    <hyperlink ref="A667" r:id="rId666" xr:uid="{00000000-0004-0000-1500-0000CC070000}"/>
    <hyperlink ref="B667" location="FixPlan!A30" display="No ETag Header" xr:uid="{00000000-0004-0000-1500-0000CD070000}"/>
    <hyperlink ref="E667" location="Technical!A1" display="https://africanmarketingconfederation.org/upcoming-events/::no_etag_header" xr:uid="{00000000-0004-0000-1500-0000CE070000}"/>
    <hyperlink ref="A668" r:id="rId667" xr:uid="{00000000-0004-0000-1500-0000CF070000}"/>
    <hyperlink ref="B668" location="FixPlan!A35" display="Thin Content" xr:uid="{00000000-0004-0000-1500-0000D0070000}"/>
    <hyperlink ref="E668" location="Technical!A1" display="https://africanmarketingconfederation.org/upcoming-events/::thin_content" xr:uid="{00000000-0004-0000-1500-0000D1070000}"/>
    <hyperlink ref="A669" r:id="rId668" xr:uid="{00000000-0004-0000-1500-0000D2070000}"/>
    <hyperlink ref="B669" location="FixPlan!A31" display="No Question Headings" xr:uid="{00000000-0004-0000-1500-0000D3070000}"/>
    <hyperlink ref="E669" location="AEO!A1" display="https://africanmarketingconfederation.org/upcoming-events/::no_question_headings" xr:uid="{00000000-0004-0000-1500-0000D4070000}"/>
    <hyperlink ref="A670" r:id="rId669" xr:uid="{00000000-0004-0000-1500-0000D5070000}"/>
    <hyperlink ref="B670" location="FixPlan!A32" display="No Answer-Friendly Structure" xr:uid="{00000000-0004-0000-1500-0000D6070000}"/>
    <hyperlink ref="E670" location="Technical!A1" display="https://africanmarketingconfederation.org/upcoming-events/::no_answer-friendly_structure" xr:uid="{00000000-0004-0000-1500-0000D7070000}"/>
    <hyperlink ref="A671" r:id="rId670" xr:uid="{00000000-0004-0000-1500-0000D8070000}"/>
    <hyperlink ref="B671" location="FixPlan!A33" display="No 40-60 Word Answer Paragraphs" xr:uid="{00000000-0004-0000-1500-0000D9070000}"/>
    <hyperlink ref="E671" location="Technical!A1" display="https://africanmarketingconfederation.org/upcoming-events/::no_40-60_word_answer_paragraphs" xr:uid="{00000000-0004-0000-1500-0000DA070000}"/>
    <hyperlink ref="A672" r:id="rId671" xr:uid="{00000000-0004-0000-1500-0000DB070000}"/>
    <hyperlink ref="B672" location="FixPlan!A34" display="AI Crawlers Not Explicitly Allowed" xr:uid="{00000000-0004-0000-1500-0000DC070000}"/>
    <hyperlink ref="E672" location="Technical!A1" display="https://africanmarketingconfederation.org/upcoming-events/::ai_crawlers_not_explicitly_allowed" xr:uid="{00000000-0004-0000-1500-0000DD070000}"/>
    <hyperlink ref="A673" r:id="rId672" xr:uid="{00000000-0004-0000-1500-0000DE070000}"/>
    <hyperlink ref="B673" location="FixPlan!A19" display="Missing H1" xr:uid="{00000000-0004-0000-1500-0000DF070000}"/>
    <hyperlink ref="E673" location="Technical!A1" display="https://africanmarketingconfederation.org/thank-you-for-subscribing/::missing_h1" xr:uid="{00000000-0004-0000-1500-0000E0070000}"/>
    <hyperlink ref="A674" r:id="rId673" xr:uid="{00000000-0004-0000-1500-0000E1070000}"/>
    <hyperlink ref="B674" location="FixPlan!A20" display="Low AEO Readiness Score" xr:uid="{00000000-0004-0000-1500-0000E2070000}"/>
    <hyperlink ref="E674" location="AEO!A1" display="https://africanmarketingconfederation.org/thank-you-for-subscribing/::low_aeo_readiness_score" xr:uid="{00000000-0004-0000-1500-0000E3070000}"/>
    <hyperlink ref="A675" r:id="rId674" xr:uid="{00000000-0004-0000-1500-0000E4070000}"/>
    <hyperlink ref="B675" location="FixPlan!A28" display="No Compression Header" xr:uid="{00000000-0004-0000-1500-0000E5070000}"/>
    <hyperlink ref="E675" location="Technical!A1" display="https://africanmarketingconfederation.org/thank-you-for-subscribing/::no_compression_header" xr:uid="{00000000-0004-0000-1500-0000E6070000}"/>
    <hyperlink ref="A676" r:id="rId675" xr:uid="{00000000-0004-0000-1500-0000E7070000}"/>
    <hyperlink ref="B676" location="FixPlan!A29" display="No Cache-Control Header" xr:uid="{00000000-0004-0000-1500-0000E8070000}"/>
    <hyperlink ref="E676" location="Technical!A1" display="https://africanmarketingconfederation.org/thank-you-for-subscribing/::no_cache-control_header" xr:uid="{00000000-0004-0000-1500-0000E9070000}"/>
    <hyperlink ref="A677" r:id="rId676" xr:uid="{00000000-0004-0000-1500-0000EA070000}"/>
    <hyperlink ref="B677" location="FixPlan!A30" display="No ETag Header" xr:uid="{00000000-0004-0000-1500-0000EB070000}"/>
    <hyperlink ref="E677" location="Technical!A1" display="https://africanmarketingconfederation.org/thank-you-for-subscribing/::no_etag_header" xr:uid="{00000000-0004-0000-1500-0000EC070000}"/>
    <hyperlink ref="A678" r:id="rId677" xr:uid="{00000000-0004-0000-1500-0000ED070000}"/>
    <hyperlink ref="B678" location="FixPlan!A35" display="Thin Content" xr:uid="{00000000-0004-0000-1500-0000EE070000}"/>
    <hyperlink ref="E678" location="Technical!A1" display="https://africanmarketingconfederation.org/thank-you-for-subscribing/::thin_content" xr:uid="{00000000-0004-0000-1500-0000EF070000}"/>
    <hyperlink ref="A679" r:id="rId678" xr:uid="{00000000-0004-0000-1500-0000F0070000}"/>
    <hyperlink ref="B679" location="FixPlan!A31" display="No Question Headings" xr:uid="{00000000-0004-0000-1500-0000F1070000}"/>
    <hyperlink ref="E679" location="AEO!A1" display="https://africanmarketingconfederation.org/thank-you-for-subscribing/::no_question_headings" xr:uid="{00000000-0004-0000-1500-0000F2070000}"/>
    <hyperlink ref="A680" r:id="rId679" xr:uid="{00000000-0004-0000-1500-0000F3070000}"/>
    <hyperlink ref="B680" location="FixPlan!A32" display="No Answer-Friendly Structure" xr:uid="{00000000-0004-0000-1500-0000F4070000}"/>
    <hyperlink ref="E680" location="Technical!A1" display="https://africanmarketingconfederation.org/thank-you-for-subscribing/::no_answer-friendly_structure" xr:uid="{00000000-0004-0000-1500-0000F5070000}"/>
    <hyperlink ref="A681" r:id="rId680" xr:uid="{00000000-0004-0000-1500-0000F6070000}"/>
    <hyperlink ref="B681" location="FixPlan!A33" display="No 40-60 Word Answer Paragraphs" xr:uid="{00000000-0004-0000-1500-0000F7070000}"/>
    <hyperlink ref="E681" location="Technical!A1" display="https://africanmarketingconfederation.org/thank-you-for-subscribing/::no_40-60_word_answer_paragraphs" xr:uid="{00000000-0004-0000-1500-0000F8070000}"/>
    <hyperlink ref="A682" r:id="rId681" xr:uid="{00000000-0004-0000-1500-0000F9070000}"/>
    <hyperlink ref="B682" location="FixPlan!A34" display="AI Crawlers Not Explicitly Allowed" xr:uid="{00000000-0004-0000-1500-0000FA070000}"/>
    <hyperlink ref="E682" location="Technical!A1" display="https://africanmarketingconfederation.org/thank-you-for-subscribing/::ai_crawlers_not_explicitly_allowed" xr:uid="{00000000-0004-0000-1500-0000FB070000}"/>
    <hyperlink ref="A683" r:id="rId682" xr:uid="{00000000-0004-0000-1500-0000FC070000}"/>
    <hyperlink ref="B683" location="FixPlan!A19" display="Missing H1" xr:uid="{00000000-0004-0000-1500-0000FD070000}"/>
    <hyperlink ref="E683" location="Technical!A1" display="https://africanmarketingconfederation.org/amc-relaunch-programme/::missing_h1" xr:uid="{00000000-0004-0000-1500-0000FE070000}"/>
    <hyperlink ref="A684" r:id="rId683" xr:uid="{00000000-0004-0000-1500-0000FF070000}"/>
    <hyperlink ref="B684" location="FixPlan!A20" display="Low AEO Readiness Score" xr:uid="{00000000-0004-0000-1500-000000080000}"/>
    <hyperlink ref="E684" location="AEO!A1" display="https://africanmarketingconfederation.org/amc-relaunch-programme/::low_aeo_readiness_score" xr:uid="{00000000-0004-0000-1500-000001080000}"/>
    <hyperlink ref="A685" r:id="rId684" xr:uid="{00000000-0004-0000-1500-000002080000}"/>
    <hyperlink ref="B685" location="FixPlan!A28" display="No Compression Header" xr:uid="{00000000-0004-0000-1500-000003080000}"/>
    <hyperlink ref="E685" location="Technical!A1" display="https://africanmarketingconfederation.org/amc-relaunch-programme/::no_compression_header" xr:uid="{00000000-0004-0000-1500-000004080000}"/>
    <hyperlink ref="A686" r:id="rId685" xr:uid="{00000000-0004-0000-1500-000005080000}"/>
    <hyperlink ref="B686" location="FixPlan!A29" display="No Cache-Control Header" xr:uid="{00000000-0004-0000-1500-000006080000}"/>
    <hyperlink ref="E686" location="Technical!A1" display="https://africanmarketingconfederation.org/amc-relaunch-programme/::no_cache-control_header" xr:uid="{00000000-0004-0000-1500-000007080000}"/>
    <hyperlink ref="A687" r:id="rId686" xr:uid="{00000000-0004-0000-1500-000008080000}"/>
    <hyperlink ref="B687" location="FixPlan!A30" display="No ETag Header" xr:uid="{00000000-0004-0000-1500-000009080000}"/>
    <hyperlink ref="E687" location="Technical!A1" display="https://africanmarketingconfederation.org/amc-relaunch-programme/::no_etag_header" xr:uid="{00000000-0004-0000-1500-00000A080000}"/>
    <hyperlink ref="A688" r:id="rId687" xr:uid="{00000000-0004-0000-1500-00000B080000}"/>
    <hyperlink ref="B688" location="FixPlan!A31" display="No Question Headings" xr:uid="{00000000-0004-0000-1500-00000C080000}"/>
    <hyperlink ref="E688" location="AEO!A1" display="https://africanmarketingconfederation.org/amc-relaunch-programme/::no_question_headings" xr:uid="{00000000-0004-0000-1500-00000D080000}"/>
    <hyperlink ref="A689" r:id="rId688" xr:uid="{00000000-0004-0000-1500-00000E080000}"/>
    <hyperlink ref="B689" location="FixPlan!A32" display="No Answer-Friendly Structure" xr:uid="{00000000-0004-0000-1500-00000F080000}"/>
    <hyperlink ref="E689" location="Technical!A1" display="https://africanmarketingconfederation.org/amc-relaunch-programme/::no_answer-friendly_structure" xr:uid="{00000000-0004-0000-1500-000010080000}"/>
    <hyperlink ref="A690" r:id="rId689" xr:uid="{00000000-0004-0000-1500-000011080000}"/>
    <hyperlink ref="B690" location="FixPlan!A33" display="No 40-60 Word Answer Paragraphs" xr:uid="{00000000-0004-0000-1500-000012080000}"/>
    <hyperlink ref="E690" location="Technical!A1" display="https://africanmarketingconfederation.org/amc-relaunch-programme/::no_40-60_word_answer_paragraphs" xr:uid="{00000000-0004-0000-1500-000013080000}"/>
    <hyperlink ref="A691" r:id="rId690" xr:uid="{00000000-0004-0000-1500-000014080000}"/>
    <hyperlink ref="B691" location="FixPlan!A34" display="AI Crawlers Not Explicitly Allowed" xr:uid="{00000000-0004-0000-1500-000015080000}"/>
    <hyperlink ref="E691" location="Technical!A1" display="https://africanmarketingconfederation.org/amc-relaunch-programme/::ai_crawlers_not_explicitly_allowed" xr:uid="{00000000-0004-0000-1500-000016080000}"/>
    <hyperlink ref="A692" r:id="rId691" xr:uid="{00000000-0004-0000-1500-000017080000}"/>
    <hyperlink ref="B692" location="FixPlan!A19" display="Missing H1" xr:uid="{00000000-0004-0000-1500-000018080000}"/>
    <hyperlink ref="E692" location="Technical!A1" display="https://africanmarketingconfederation.org/amc-masterclass/::missing_h1" xr:uid="{00000000-0004-0000-1500-000019080000}"/>
    <hyperlink ref="A693" r:id="rId692" xr:uid="{00000000-0004-0000-1500-00001A080000}"/>
    <hyperlink ref="B693" location="FixPlan!A20" display="Low AEO Readiness Score" xr:uid="{00000000-0004-0000-1500-00001B080000}"/>
    <hyperlink ref="E693" location="AEO!A1" display="https://africanmarketingconfederation.org/amc-masterclass/::low_aeo_readiness_score" xr:uid="{00000000-0004-0000-1500-00001C080000}"/>
    <hyperlink ref="A694" r:id="rId693" xr:uid="{00000000-0004-0000-1500-00001D080000}"/>
    <hyperlink ref="B694" location="FixPlan!A28" display="No Compression Header" xr:uid="{00000000-0004-0000-1500-00001E080000}"/>
    <hyperlink ref="E694" location="Technical!A1" display="https://africanmarketingconfederation.org/amc-masterclass/::no_compression_header" xr:uid="{00000000-0004-0000-1500-00001F080000}"/>
    <hyperlink ref="A695" r:id="rId694" xr:uid="{00000000-0004-0000-1500-000020080000}"/>
    <hyperlink ref="B695" location="FixPlan!A29" display="No Cache-Control Header" xr:uid="{00000000-0004-0000-1500-000021080000}"/>
    <hyperlink ref="E695" location="Technical!A1" display="https://africanmarketingconfederation.org/amc-masterclass/::no_cache-control_header" xr:uid="{00000000-0004-0000-1500-000022080000}"/>
    <hyperlink ref="A696" r:id="rId695" xr:uid="{00000000-0004-0000-1500-000023080000}"/>
    <hyperlink ref="B696" location="FixPlan!A30" display="No ETag Header" xr:uid="{00000000-0004-0000-1500-000024080000}"/>
    <hyperlink ref="E696" location="Technical!A1" display="https://africanmarketingconfederation.org/amc-masterclass/::no_etag_header" xr:uid="{00000000-0004-0000-1500-000025080000}"/>
    <hyperlink ref="A697" r:id="rId696" xr:uid="{00000000-0004-0000-1500-000026080000}"/>
    <hyperlink ref="B697" location="FixPlan!A35" display="Thin Content" xr:uid="{00000000-0004-0000-1500-000027080000}"/>
    <hyperlink ref="E697" location="Technical!A1" display="https://africanmarketingconfederation.org/amc-masterclass/::thin_content" xr:uid="{00000000-0004-0000-1500-000028080000}"/>
    <hyperlink ref="A698" r:id="rId697" xr:uid="{00000000-0004-0000-1500-000029080000}"/>
    <hyperlink ref="B698" location="FixPlan!A31" display="No Question Headings" xr:uid="{00000000-0004-0000-1500-00002A080000}"/>
    <hyperlink ref="E698" location="AEO!A1" display="https://africanmarketingconfederation.org/amc-masterclass/::no_question_headings" xr:uid="{00000000-0004-0000-1500-00002B080000}"/>
    <hyperlink ref="A699" r:id="rId698" xr:uid="{00000000-0004-0000-1500-00002C080000}"/>
    <hyperlink ref="B699" location="FixPlan!A32" display="No Answer-Friendly Structure" xr:uid="{00000000-0004-0000-1500-00002D080000}"/>
    <hyperlink ref="E699" location="Technical!A1" display="https://africanmarketingconfederation.org/amc-masterclass/::no_answer-friendly_structure" xr:uid="{00000000-0004-0000-1500-00002E080000}"/>
    <hyperlink ref="A700" r:id="rId699" xr:uid="{00000000-0004-0000-1500-00002F080000}"/>
    <hyperlink ref="B700" location="FixPlan!A33" display="No 40-60 Word Answer Paragraphs" xr:uid="{00000000-0004-0000-1500-000030080000}"/>
    <hyperlink ref="E700" location="Technical!A1" display="https://africanmarketingconfederation.org/amc-masterclass/::no_40-60_word_answer_paragraphs" xr:uid="{00000000-0004-0000-1500-000031080000}"/>
    <hyperlink ref="A701" r:id="rId700" xr:uid="{00000000-0004-0000-1500-000032080000}"/>
    <hyperlink ref="B701" location="FixPlan!A34" display="AI Crawlers Not Explicitly Allowed" xr:uid="{00000000-0004-0000-1500-000033080000}"/>
    <hyperlink ref="E701" location="Technical!A1" display="https://africanmarketingconfederation.org/amc-masterclass/::ai_crawlers_not_explicitly_allowed" xr:uid="{00000000-0004-0000-1500-000034080000}"/>
    <hyperlink ref="A702" r:id="rId701" xr:uid="{00000000-0004-0000-1500-000035080000}"/>
    <hyperlink ref="B702" location="FixPlan!A19" display="Missing H1" xr:uid="{00000000-0004-0000-1500-000036080000}"/>
    <hyperlink ref="E702" location="Technical!A1" display="https://africanmarketingconfederation.org/amc-masterclass-thank-you/::missing_h1" xr:uid="{00000000-0004-0000-1500-000037080000}"/>
    <hyperlink ref="A703" r:id="rId702" xr:uid="{00000000-0004-0000-1500-000038080000}"/>
    <hyperlink ref="B703" location="FixPlan!A20" display="Low AEO Readiness Score" xr:uid="{00000000-0004-0000-1500-000039080000}"/>
    <hyperlink ref="E703" location="AEO!A1" display="https://africanmarketingconfederation.org/amc-masterclass-thank-you/::low_aeo_readiness_score" xr:uid="{00000000-0004-0000-1500-00003A080000}"/>
    <hyperlink ref="A704" r:id="rId703" xr:uid="{00000000-0004-0000-1500-00003B080000}"/>
    <hyperlink ref="B704" location="FixPlan!A28" display="No Compression Header" xr:uid="{00000000-0004-0000-1500-00003C080000}"/>
    <hyperlink ref="E704" location="Technical!A1" display="https://africanmarketingconfederation.org/amc-masterclass-thank-you/::no_compression_header" xr:uid="{00000000-0004-0000-1500-00003D080000}"/>
    <hyperlink ref="A705" r:id="rId704" xr:uid="{00000000-0004-0000-1500-00003E080000}"/>
    <hyperlink ref="B705" location="FixPlan!A29" display="No Cache-Control Header" xr:uid="{00000000-0004-0000-1500-00003F080000}"/>
    <hyperlink ref="E705" location="Technical!A1" display="https://africanmarketingconfederation.org/amc-masterclass-thank-you/::no_cache-control_header" xr:uid="{00000000-0004-0000-1500-000040080000}"/>
    <hyperlink ref="A706" r:id="rId705" xr:uid="{00000000-0004-0000-1500-000041080000}"/>
    <hyperlink ref="B706" location="FixPlan!A30" display="No ETag Header" xr:uid="{00000000-0004-0000-1500-000042080000}"/>
    <hyperlink ref="E706" location="Technical!A1" display="https://africanmarketingconfederation.org/amc-masterclass-thank-you/::no_etag_header" xr:uid="{00000000-0004-0000-1500-000043080000}"/>
    <hyperlink ref="A707" r:id="rId706" xr:uid="{00000000-0004-0000-1500-000044080000}"/>
    <hyperlink ref="B707" location="FixPlan!A35" display="Thin Content" xr:uid="{00000000-0004-0000-1500-000045080000}"/>
    <hyperlink ref="E707" location="Technical!A1" display="https://africanmarketingconfederation.org/amc-masterclass-thank-you/::thin_content" xr:uid="{00000000-0004-0000-1500-000046080000}"/>
    <hyperlink ref="A708" r:id="rId707" xr:uid="{00000000-0004-0000-1500-000047080000}"/>
    <hyperlink ref="B708" location="FixPlan!A31" display="No Question Headings" xr:uid="{00000000-0004-0000-1500-000048080000}"/>
    <hyperlink ref="E708" location="AEO!A1" display="https://africanmarketingconfederation.org/amc-masterclass-thank-you/::no_question_headings" xr:uid="{00000000-0004-0000-1500-000049080000}"/>
    <hyperlink ref="A709" r:id="rId708" xr:uid="{00000000-0004-0000-1500-00004A080000}"/>
    <hyperlink ref="B709" location="FixPlan!A32" display="No Answer-Friendly Structure" xr:uid="{00000000-0004-0000-1500-00004B080000}"/>
    <hyperlink ref="E709" location="Technical!A1" display="https://africanmarketingconfederation.org/amc-masterclass-thank-you/::no_answer-friendly_structure" xr:uid="{00000000-0004-0000-1500-00004C080000}"/>
    <hyperlink ref="A710" r:id="rId709" xr:uid="{00000000-0004-0000-1500-00004D080000}"/>
    <hyperlink ref="B710" location="FixPlan!A33" display="No 40-60 Word Answer Paragraphs" xr:uid="{00000000-0004-0000-1500-00004E080000}"/>
    <hyperlink ref="E710" location="Technical!A1" display="https://africanmarketingconfederation.org/amc-masterclass-thank-you/::no_40-60_word_answer_paragraphs" xr:uid="{00000000-0004-0000-1500-00004F080000}"/>
    <hyperlink ref="A711" r:id="rId710" xr:uid="{00000000-0004-0000-1500-000050080000}"/>
    <hyperlink ref="B711" location="FixPlan!A34" display="AI Crawlers Not Explicitly Allowed" xr:uid="{00000000-0004-0000-1500-000051080000}"/>
    <hyperlink ref="E711" location="Technical!A1" display="https://africanmarketingconfederation.org/amc-masterclass-thank-you/::ai_crawlers_not_explicitly_allowed" xr:uid="{00000000-0004-0000-1500-000052080000}"/>
    <hyperlink ref="A712" r:id="rId711" xr:uid="{00000000-0004-0000-1500-000053080000}"/>
    <hyperlink ref="B712" location="FixPlan!A18" display="Missing Meta Description" xr:uid="{00000000-0004-0000-1500-000054080000}"/>
    <hyperlink ref="E712" location="Technical!A1" display="https://africanmarketingconfederation.org/amc-masterclass-bookings/::missing_meta_description" xr:uid="{00000000-0004-0000-1500-000055080000}"/>
    <hyperlink ref="A713" r:id="rId712" xr:uid="{00000000-0004-0000-1500-000056080000}"/>
    <hyperlink ref="B713" location="FixPlan!A19" display="Missing H1" xr:uid="{00000000-0004-0000-1500-000057080000}"/>
    <hyperlink ref="E713" location="Technical!A1" display="https://africanmarketingconfederation.org/amc-masterclass-bookings/::missing_h1" xr:uid="{00000000-0004-0000-1500-000058080000}"/>
    <hyperlink ref="A714" r:id="rId713" xr:uid="{00000000-0004-0000-1500-000059080000}"/>
    <hyperlink ref="B714" location="FixPlan!A20" display="Low AEO Readiness Score" xr:uid="{00000000-0004-0000-1500-00005A080000}"/>
    <hyperlink ref="E714" location="AEO!A1" display="https://africanmarketingconfederation.org/amc-masterclass-bookings/::low_aeo_readiness_score" xr:uid="{00000000-0004-0000-1500-00005B080000}"/>
    <hyperlink ref="A715" r:id="rId714" xr:uid="{00000000-0004-0000-1500-00005C080000}"/>
    <hyperlink ref="B715" location="FixPlan!A28" display="No Compression Header" xr:uid="{00000000-0004-0000-1500-00005D080000}"/>
    <hyperlink ref="E715" location="Technical!A1" display="https://africanmarketingconfederation.org/amc-masterclass-bookings/::no_compression_header" xr:uid="{00000000-0004-0000-1500-00005E080000}"/>
    <hyperlink ref="A716" r:id="rId715" xr:uid="{00000000-0004-0000-1500-00005F080000}"/>
    <hyperlink ref="B716" location="FixPlan!A29" display="No Cache-Control Header" xr:uid="{00000000-0004-0000-1500-000060080000}"/>
    <hyperlink ref="E716" location="Technical!A1" display="https://africanmarketingconfederation.org/amc-masterclass-bookings/::no_cache-control_header" xr:uid="{00000000-0004-0000-1500-000061080000}"/>
    <hyperlink ref="A717" r:id="rId716" xr:uid="{00000000-0004-0000-1500-000062080000}"/>
    <hyperlink ref="B717" location="FixPlan!A30" display="No ETag Header" xr:uid="{00000000-0004-0000-1500-000063080000}"/>
    <hyperlink ref="E717" location="Technical!A1" display="https://africanmarketingconfederation.org/amc-masterclass-bookings/::no_etag_header" xr:uid="{00000000-0004-0000-1500-000064080000}"/>
    <hyperlink ref="A718" r:id="rId717" xr:uid="{00000000-0004-0000-1500-000065080000}"/>
    <hyperlink ref="B718" location="FixPlan!A35" display="Thin Content" xr:uid="{00000000-0004-0000-1500-000066080000}"/>
    <hyperlink ref="E718" location="Technical!A1" display="https://africanmarketingconfederation.org/amc-masterclass-bookings/::thin_content" xr:uid="{00000000-0004-0000-1500-000067080000}"/>
    <hyperlink ref="A719" r:id="rId718" xr:uid="{00000000-0004-0000-1500-000068080000}"/>
    <hyperlink ref="B719" location="FixPlan!A31" display="No Question Headings" xr:uid="{00000000-0004-0000-1500-000069080000}"/>
    <hyperlink ref="E719" location="AEO!A1" display="https://africanmarketingconfederation.org/amc-masterclass-bookings/::no_question_headings" xr:uid="{00000000-0004-0000-1500-00006A080000}"/>
    <hyperlink ref="A720" r:id="rId719" xr:uid="{00000000-0004-0000-1500-00006B080000}"/>
    <hyperlink ref="B720" location="FixPlan!A32" display="No Answer-Friendly Structure" xr:uid="{00000000-0004-0000-1500-00006C080000}"/>
    <hyperlink ref="E720" location="Technical!A1" display="https://africanmarketingconfederation.org/amc-masterclass-bookings/::no_answer-friendly_structure" xr:uid="{00000000-0004-0000-1500-00006D080000}"/>
    <hyperlink ref="A721" r:id="rId720" xr:uid="{00000000-0004-0000-1500-00006E080000}"/>
    <hyperlink ref="B721" location="FixPlan!A33" display="No 40-60 Word Answer Paragraphs" xr:uid="{00000000-0004-0000-1500-00006F080000}"/>
    <hyperlink ref="E721" location="Technical!A1" display="https://africanmarketingconfederation.org/amc-masterclass-bookings/::no_40-60_word_answer_paragraphs" xr:uid="{00000000-0004-0000-1500-000070080000}"/>
    <hyperlink ref="A722" r:id="rId721" xr:uid="{00000000-0004-0000-1500-000071080000}"/>
    <hyperlink ref="B722" location="FixPlan!A34" display="AI Crawlers Not Explicitly Allowed" xr:uid="{00000000-0004-0000-1500-000072080000}"/>
    <hyperlink ref="E722" location="Technical!A1" display="https://africanmarketingconfederation.org/amc-masterclass-bookings/::ai_crawlers_not_explicitly_allowed" xr:uid="{00000000-0004-0000-1500-000073080000}"/>
    <hyperlink ref="A723" r:id="rId722" xr:uid="{00000000-0004-0000-1500-000074080000}"/>
    <hyperlink ref="B723" location="FixPlan!A19" display="Missing H1" xr:uid="{00000000-0004-0000-1500-000075080000}"/>
    <hyperlink ref="E723" location="Technical!A1" display="https://africanmarketingconfederation.org/amc-conference-programme/::missing_h1" xr:uid="{00000000-0004-0000-1500-000076080000}"/>
    <hyperlink ref="A724" r:id="rId723" xr:uid="{00000000-0004-0000-1500-000077080000}"/>
    <hyperlink ref="B724" location="FixPlan!A20" display="Low AEO Readiness Score" xr:uid="{00000000-0004-0000-1500-000078080000}"/>
    <hyperlink ref="E724" location="AEO!A1" display="https://africanmarketingconfederation.org/amc-conference-programme/::low_aeo_readiness_score" xr:uid="{00000000-0004-0000-1500-000079080000}"/>
    <hyperlink ref="A725" r:id="rId724" xr:uid="{00000000-0004-0000-1500-00007A080000}"/>
    <hyperlink ref="B725" location="FixPlan!A28" display="No Compression Header" xr:uid="{00000000-0004-0000-1500-00007B080000}"/>
    <hyperlink ref="E725" location="Technical!A1" display="https://africanmarketingconfederation.org/amc-conference-programme/::no_compression_header" xr:uid="{00000000-0004-0000-1500-00007C080000}"/>
    <hyperlink ref="A726" r:id="rId725" xr:uid="{00000000-0004-0000-1500-00007D080000}"/>
    <hyperlink ref="B726" location="FixPlan!A29" display="No Cache-Control Header" xr:uid="{00000000-0004-0000-1500-00007E080000}"/>
    <hyperlink ref="E726" location="Technical!A1" display="https://africanmarketingconfederation.org/amc-conference-programme/::no_cache-control_header" xr:uid="{00000000-0004-0000-1500-00007F080000}"/>
    <hyperlink ref="A727" r:id="rId726" xr:uid="{00000000-0004-0000-1500-000080080000}"/>
    <hyperlink ref="B727" location="FixPlan!A30" display="No ETag Header" xr:uid="{00000000-0004-0000-1500-000081080000}"/>
    <hyperlink ref="E727" location="Technical!A1" display="https://africanmarketingconfederation.org/amc-conference-programme/::no_etag_header" xr:uid="{00000000-0004-0000-1500-000082080000}"/>
    <hyperlink ref="A728" r:id="rId727" xr:uid="{00000000-0004-0000-1500-000083080000}"/>
    <hyperlink ref="B728" location="FixPlan!A31" display="No Question Headings" xr:uid="{00000000-0004-0000-1500-000084080000}"/>
    <hyperlink ref="E728" location="AEO!A1" display="https://africanmarketingconfederation.org/amc-conference-programme/::no_question_headings" xr:uid="{00000000-0004-0000-1500-000085080000}"/>
    <hyperlink ref="A729" r:id="rId728" xr:uid="{00000000-0004-0000-1500-000086080000}"/>
    <hyperlink ref="B729" location="FixPlan!A32" display="No Answer-Friendly Structure" xr:uid="{00000000-0004-0000-1500-000087080000}"/>
    <hyperlink ref="E729" location="Technical!A1" display="https://africanmarketingconfederation.org/amc-conference-programme/::no_answer-friendly_structure" xr:uid="{00000000-0004-0000-1500-000088080000}"/>
    <hyperlink ref="A730" r:id="rId729" xr:uid="{00000000-0004-0000-1500-000089080000}"/>
    <hyperlink ref="B730" location="FixPlan!A33" display="No 40-60 Word Answer Paragraphs" xr:uid="{00000000-0004-0000-1500-00008A080000}"/>
    <hyperlink ref="E730" location="Technical!A1" display="https://africanmarketingconfederation.org/amc-conference-programme/::no_40-60_word_answer_paragraphs" xr:uid="{00000000-0004-0000-1500-00008B080000}"/>
    <hyperlink ref="A731" r:id="rId730" xr:uid="{00000000-0004-0000-1500-00008C080000}"/>
    <hyperlink ref="B731" location="FixPlan!A34" display="AI Crawlers Not Explicitly Allowed" xr:uid="{00000000-0004-0000-1500-00008D080000}"/>
    <hyperlink ref="E731" location="Technical!A1" display="https://africanmarketingconfederation.org/amc-conference-programme/::ai_crawlers_not_explicitly_allowed" xr:uid="{00000000-0004-0000-1500-00008E080000}"/>
    <hyperlink ref="A732" r:id="rId731" xr:uid="{00000000-0004-0000-1500-00008F080000}"/>
    <hyperlink ref="B732" location="FixPlan!A19" display="Missing H1" xr:uid="{00000000-0004-0000-1500-000090080000}"/>
    <hyperlink ref="E732" location="Technical!A1" display="https://africanmarketingconfederation.org/virtual-programme/::missing_h1" xr:uid="{00000000-0004-0000-1500-000091080000}"/>
    <hyperlink ref="A733" r:id="rId732" xr:uid="{00000000-0004-0000-1500-000092080000}"/>
    <hyperlink ref="B733" location="FixPlan!A20" display="Low AEO Readiness Score" xr:uid="{00000000-0004-0000-1500-000093080000}"/>
    <hyperlink ref="E733" location="AEO!A1" display="https://africanmarketingconfederation.org/virtual-programme/::low_aeo_readiness_score" xr:uid="{00000000-0004-0000-1500-000094080000}"/>
    <hyperlink ref="A734" r:id="rId733" xr:uid="{00000000-0004-0000-1500-000095080000}"/>
    <hyperlink ref="B734" location="FixPlan!A28" display="No Compression Header" xr:uid="{00000000-0004-0000-1500-000096080000}"/>
    <hyperlink ref="E734" location="Technical!A1" display="https://africanmarketingconfederation.org/virtual-programme/::no_compression_header" xr:uid="{00000000-0004-0000-1500-000097080000}"/>
    <hyperlink ref="A735" r:id="rId734" xr:uid="{00000000-0004-0000-1500-000098080000}"/>
    <hyperlink ref="B735" location="FixPlan!A29" display="No Cache-Control Header" xr:uid="{00000000-0004-0000-1500-000099080000}"/>
    <hyperlink ref="E735" location="Technical!A1" display="https://africanmarketingconfederation.org/virtual-programme/::no_cache-control_header" xr:uid="{00000000-0004-0000-1500-00009A080000}"/>
    <hyperlink ref="A736" r:id="rId735" xr:uid="{00000000-0004-0000-1500-00009B080000}"/>
    <hyperlink ref="B736" location="FixPlan!A30" display="No ETag Header" xr:uid="{00000000-0004-0000-1500-00009C080000}"/>
    <hyperlink ref="E736" location="Technical!A1" display="https://africanmarketingconfederation.org/virtual-programme/::no_etag_header" xr:uid="{00000000-0004-0000-1500-00009D080000}"/>
    <hyperlink ref="A737" r:id="rId736" xr:uid="{00000000-0004-0000-1500-00009E080000}"/>
    <hyperlink ref="B737" location="FixPlan!A31" display="No Question Headings" xr:uid="{00000000-0004-0000-1500-00009F080000}"/>
    <hyperlink ref="E737" location="AEO!A1" display="https://africanmarketingconfederation.org/virtual-programme/::no_question_headings" xr:uid="{00000000-0004-0000-1500-0000A0080000}"/>
    <hyperlink ref="A738" r:id="rId737" xr:uid="{00000000-0004-0000-1500-0000A1080000}"/>
    <hyperlink ref="B738" location="FixPlan!A32" display="No Answer-Friendly Structure" xr:uid="{00000000-0004-0000-1500-0000A2080000}"/>
    <hyperlink ref="E738" location="Technical!A1" display="https://africanmarketingconfederation.org/virtual-programme/::no_answer-friendly_structure" xr:uid="{00000000-0004-0000-1500-0000A3080000}"/>
    <hyperlink ref="A739" r:id="rId738" xr:uid="{00000000-0004-0000-1500-0000A4080000}"/>
    <hyperlink ref="B739" location="FixPlan!A33" display="No 40-60 Word Answer Paragraphs" xr:uid="{00000000-0004-0000-1500-0000A5080000}"/>
    <hyperlink ref="E739" location="Technical!A1" display="https://africanmarketingconfederation.org/virtual-programme/::no_40-60_word_answer_paragraphs" xr:uid="{00000000-0004-0000-1500-0000A6080000}"/>
    <hyperlink ref="A740" r:id="rId739" xr:uid="{00000000-0004-0000-1500-0000A7080000}"/>
    <hyperlink ref="B740" location="FixPlan!A34" display="AI Crawlers Not Explicitly Allowed" xr:uid="{00000000-0004-0000-1500-0000A8080000}"/>
    <hyperlink ref="E740" location="Technical!A1" display="https://africanmarketingconfederation.org/virtual-programme/::ai_crawlers_not_explicitly_allowed" xr:uid="{00000000-0004-0000-1500-0000A9080000}"/>
    <hyperlink ref="A741" r:id="rId740" xr:uid="{00000000-0004-0000-1500-0000AA080000}"/>
    <hyperlink ref="B741" location="FixPlan!A19" display="Missing H1" xr:uid="{00000000-0004-0000-1500-0000AB080000}"/>
    <hyperlink ref="E741" location="Technical!A1" display="https://africanmarketingconfederation.org/test-homeslider/::missing_h1" xr:uid="{00000000-0004-0000-1500-0000AC080000}"/>
    <hyperlink ref="A742" r:id="rId741" xr:uid="{00000000-0004-0000-1500-0000AD080000}"/>
    <hyperlink ref="B742" location="FixPlan!A20" display="Low AEO Readiness Score" xr:uid="{00000000-0004-0000-1500-0000AE080000}"/>
    <hyperlink ref="E742" location="AEO!A1" display="https://africanmarketingconfederation.org/test-homeslider/::low_aeo_readiness_score" xr:uid="{00000000-0004-0000-1500-0000AF080000}"/>
    <hyperlink ref="A743" r:id="rId742" xr:uid="{00000000-0004-0000-1500-0000B0080000}"/>
    <hyperlink ref="B743" location="FixPlan!A28" display="No Compression Header" xr:uid="{00000000-0004-0000-1500-0000B1080000}"/>
    <hyperlink ref="E743" location="Technical!A1" display="https://africanmarketingconfederation.org/test-homeslider/::no_compression_header" xr:uid="{00000000-0004-0000-1500-0000B2080000}"/>
    <hyperlink ref="A744" r:id="rId743" xr:uid="{00000000-0004-0000-1500-0000B3080000}"/>
    <hyperlink ref="B744" location="FixPlan!A29" display="No Cache-Control Header" xr:uid="{00000000-0004-0000-1500-0000B4080000}"/>
    <hyperlink ref="E744" location="Technical!A1" display="https://africanmarketingconfederation.org/test-homeslider/::no_cache-control_header" xr:uid="{00000000-0004-0000-1500-0000B5080000}"/>
    <hyperlink ref="A745" r:id="rId744" xr:uid="{00000000-0004-0000-1500-0000B6080000}"/>
    <hyperlink ref="B745" location="FixPlan!A30" display="No ETag Header" xr:uid="{00000000-0004-0000-1500-0000B7080000}"/>
    <hyperlink ref="E745" location="Technical!A1" display="https://africanmarketingconfederation.org/test-homeslider/::no_etag_header" xr:uid="{00000000-0004-0000-1500-0000B8080000}"/>
    <hyperlink ref="A746" r:id="rId745" xr:uid="{00000000-0004-0000-1500-0000B9080000}"/>
    <hyperlink ref="B746" location="FixPlan!A35" display="Thin Content" xr:uid="{00000000-0004-0000-1500-0000BA080000}"/>
    <hyperlink ref="E746" location="Technical!A1" display="https://africanmarketingconfederation.org/test-homeslider/::thin_content" xr:uid="{00000000-0004-0000-1500-0000BB080000}"/>
    <hyperlink ref="A747" r:id="rId746" xr:uid="{00000000-0004-0000-1500-0000BC080000}"/>
    <hyperlink ref="B747" location="FixPlan!A31" display="No Question Headings" xr:uid="{00000000-0004-0000-1500-0000BD080000}"/>
    <hyperlink ref="E747" location="AEO!A1" display="https://africanmarketingconfederation.org/test-homeslider/::no_question_headings" xr:uid="{00000000-0004-0000-1500-0000BE080000}"/>
    <hyperlink ref="A748" r:id="rId747" xr:uid="{00000000-0004-0000-1500-0000BF080000}"/>
    <hyperlink ref="B748" location="FixPlan!A32" display="No Answer-Friendly Structure" xr:uid="{00000000-0004-0000-1500-0000C0080000}"/>
    <hyperlink ref="E748" location="Technical!A1" display="https://africanmarketingconfederation.org/test-homeslider/::no_answer-friendly_structure" xr:uid="{00000000-0004-0000-1500-0000C1080000}"/>
    <hyperlink ref="A749" r:id="rId748" xr:uid="{00000000-0004-0000-1500-0000C2080000}"/>
    <hyperlink ref="B749" location="FixPlan!A33" display="No 40-60 Word Answer Paragraphs" xr:uid="{00000000-0004-0000-1500-0000C3080000}"/>
    <hyperlink ref="E749" location="Technical!A1" display="https://africanmarketingconfederation.org/test-homeslider/::no_40-60_word_answer_paragraphs" xr:uid="{00000000-0004-0000-1500-0000C4080000}"/>
    <hyperlink ref="A750" r:id="rId749" xr:uid="{00000000-0004-0000-1500-0000C5080000}"/>
    <hyperlink ref="B750" location="FixPlan!A34" display="AI Crawlers Not Explicitly Allowed" xr:uid="{00000000-0004-0000-1500-0000C6080000}"/>
    <hyperlink ref="E750" location="Technical!A1" display="https://africanmarketingconfederation.org/test-homeslider/::ai_crawlers_not_explicitly_allowed" xr:uid="{00000000-0004-0000-1500-0000C7080000}"/>
    <hyperlink ref="A751" r:id="rId750" xr:uid="{00000000-0004-0000-1500-0000C8080000}"/>
    <hyperlink ref="B751" location="FixPlan!A19" display="Missing H1" xr:uid="{00000000-0004-0000-1500-0000C9080000}"/>
    <hyperlink ref="E751" location="Technical!A1" display="https://africanmarketingconfederation.org/general-enquiry-form-thank-you/::missing_h1" xr:uid="{00000000-0004-0000-1500-0000CA080000}"/>
    <hyperlink ref="A752" r:id="rId751" xr:uid="{00000000-0004-0000-1500-0000CB080000}"/>
    <hyperlink ref="B752" location="FixPlan!A20" display="Low AEO Readiness Score" xr:uid="{00000000-0004-0000-1500-0000CC080000}"/>
    <hyperlink ref="E752" location="AEO!A1" display="https://africanmarketingconfederation.org/general-enquiry-form-thank-you/::low_aeo_readiness_score" xr:uid="{00000000-0004-0000-1500-0000CD080000}"/>
    <hyperlink ref="A753" r:id="rId752" xr:uid="{00000000-0004-0000-1500-0000CE080000}"/>
    <hyperlink ref="B753" location="FixPlan!A28" display="No Compression Header" xr:uid="{00000000-0004-0000-1500-0000CF080000}"/>
    <hyperlink ref="E753" location="Technical!A1" display="https://africanmarketingconfederation.org/general-enquiry-form-thank-you/::no_compression_header" xr:uid="{00000000-0004-0000-1500-0000D0080000}"/>
    <hyperlink ref="A754" r:id="rId753" xr:uid="{00000000-0004-0000-1500-0000D1080000}"/>
    <hyperlink ref="B754" location="FixPlan!A29" display="No Cache-Control Header" xr:uid="{00000000-0004-0000-1500-0000D2080000}"/>
    <hyperlink ref="E754" location="Technical!A1" display="https://africanmarketingconfederation.org/general-enquiry-form-thank-you/::no_cache-control_header" xr:uid="{00000000-0004-0000-1500-0000D3080000}"/>
    <hyperlink ref="A755" r:id="rId754" xr:uid="{00000000-0004-0000-1500-0000D4080000}"/>
    <hyperlink ref="B755" location="FixPlan!A30" display="No ETag Header" xr:uid="{00000000-0004-0000-1500-0000D5080000}"/>
    <hyperlink ref="E755" location="Technical!A1" display="https://africanmarketingconfederation.org/general-enquiry-form-thank-you/::no_etag_header" xr:uid="{00000000-0004-0000-1500-0000D6080000}"/>
    <hyperlink ref="A756" r:id="rId755" xr:uid="{00000000-0004-0000-1500-0000D7080000}"/>
    <hyperlink ref="B756" location="FixPlan!A35" display="Thin Content" xr:uid="{00000000-0004-0000-1500-0000D8080000}"/>
    <hyperlink ref="E756" location="Technical!A1" display="https://africanmarketingconfederation.org/general-enquiry-form-thank-you/::thin_content" xr:uid="{00000000-0004-0000-1500-0000D9080000}"/>
    <hyperlink ref="A757" r:id="rId756" xr:uid="{00000000-0004-0000-1500-0000DA080000}"/>
    <hyperlink ref="B757" location="FixPlan!A31" display="No Question Headings" xr:uid="{00000000-0004-0000-1500-0000DB080000}"/>
    <hyperlink ref="E757" location="AEO!A1" display="https://africanmarketingconfederation.org/general-enquiry-form-thank-you/::no_question_headings" xr:uid="{00000000-0004-0000-1500-0000DC080000}"/>
    <hyperlink ref="A758" r:id="rId757" xr:uid="{00000000-0004-0000-1500-0000DD080000}"/>
    <hyperlink ref="B758" location="FixPlan!A32" display="No Answer-Friendly Structure" xr:uid="{00000000-0004-0000-1500-0000DE080000}"/>
    <hyperlink ref="E758" location="Technical!A1" display="https://africanmarketingconfederation.org/general-enquiry-form-thank-you/::no_answer-friendly_structure" xr:uid="{00000000-0004-0000-1500-0000DF080000}"/>
    <hyperlink ref="A759" r:id="rId758" xr:uid="{00000000-0004-0000-1500-0000E0080000}"/>
    <hyperlink ref="B759" location="FixPlan!A33" display="No 40-60 Word Answer Paragraphs" xr:uid="{00000000-0004-0000-1500-0000E1080000}"/>
    <hyperlink ref="E759" location="Technical!A1" display="https://africanmarketingconfederation.org/general-enquiry-form-thank-you/::no_40-60_word_answer_paragraphs" xr:uid="{00000000-0004-0000-1500-0000E2080000}"/>
    <hyperlink ref="A760" r:id="rId759" xr:uid="{00000000-0004-0000-1500-0000E3080000}"/>
    <hyperlink ref="B760" location="FixPlan!A34" display="AI Crawlers Not Explicitly Allowed" xr:uid="{00000000-0004-0000-1500-0000E4080000}"/>
    <hyperlink ref="E760" location="Technical!A1" display="https://africanmarketingconfederation.org/general-enquiry-form-thank-you/::ai_crawlers_not_explicitly_allowed" xr:uid="{00000000-0004-0000-1500-0000E5080000}"/>
    <hyperlink ref="A761" r:id="rId760" xr:uid="{00000000-0004-0000-1500-0000E6080000}"/>
    <hyperlink ref="B761" location="FixPlan!A19" display="Missing H1" xr:uid="{00000000-0004-0000-1500-0000E7080000}"/>
    <hyperlink ref="E761" location="Technical!A1" display="https://africanmarketingconfederation.org/amc-conference-2022-thank-you/::missing_h1" xr:uid="{00000000-0004-0000-1500-0000E8080000}"/>
    <hyperlink ref="A762" r:id="rId761" xr:uid="{00000000-0004-0000-1500-0000E9080000}"/>
    <hyperlink ref="B762" location="FixPlan!A20" display="Low AEO Readiness Score" xr:uid="{00000000-0004-0000-1500-0000EA080000}"/>
    <hyperlink ref="E762" location="AEO!A1" display="https://africanmarketingconfederation.org/amc-conference-2022-thank-you/::low_aeo_readiness_score" xr:uid="{00000000-0004-0000-1500-0000EB080000}"/>
    <hyperlink ref="A763" r:id="rId762" xr:uid="{00000000-0004-0000-1500-0000EC080000}"/>
    <hyperlink ref="B763" location="FixPlan!A28" display="No Compression Header" xr:uid="{00000000-0004-0000-1500-0000ED080000}"/>
    <hyperlink ref="E763" location="Technical!A1" display="https://africanmarketingconfederation.org/amc-conference-2022-thank-you/::no_compression_header" xr:uid="{00000000-0004-0000-1500-0000EE080000}"/>
    <hyperlink ref="A764" r:id="rId763" xr:uid="{00000000-0004-0000-1500-0000EF080000}"/>
    <hyperlink ref="B764" location="FixPlan!A29" display="No Cache-Control Header" xr:uid="{00000000-0004-0000-1500-0000F0080000}"/>
    <hyperlink ref="E764" location="Technical!A1" display="https://africanmarketingconfederation.org/amc-conference-2022-thank-you/::no_cache-control_header" xr:uid="{00000000-0004-0000-1500-0000F1080000}"/>
    <hyperlink ref="A765" r:id="rId764" xr:uid="{00000000-0004-0000-1500-0000F2080000}"/>
    <hyperlink ref="B765" location="FixPlan!A30" display="No ETag Header" xr:uid="{00000000-0004-0000-1500-0000F3080000}"/>
    <hyperlink ref="E765" location="Technical!A1" display="https://africanmarketingconfederation.org/amc-conference-2022-thank-you/::no_etag_header" xr:uid="{00000000-0004-0000-1500-0000F4080000}"/>
    <hyperlink ref="A766" r:id="rId765" xr:uid="{00000000-0004-0000-1500-0000F5080000}"/>
    <hyperlink ref="B766" location="FixPlan!A31" display="No Question Headings" xr:uid="{00000000-0004-0000-1500-0000F6080000}"/>
    <hyperlink ref="E766" location="AEO!A1" display="https://africanmarketingconfederation.org/amc-conference-2022-thank-you/::no_question_headings" xr:uid="{00000000-0004-0000-1500-0000F7080000}"/>
    <hyperlink ref="A767" r:id="rId766" xr:uid="{00000000-0004-0000-1500-0000F8080000}"/>
    <hyperlink ref="B767" location="FixPlan!A32" display="No Answer-Friendly Structure" xr:uid="{00000000-0004-0000-1500-0000F9080000}"/>
    <hyperlink ref="E767" location="Technical!A1" display="https://africanmarketingconfederation.org/amc-conference-2022-thank-you/::no_answer-friendly_structure" xr:uid="{00000000-0004-0000-1500-0000FA080000}"/>
    <hyperlink ref="A768" r:id="rId767" xr:uid="{00000000-0004-0000-1500-0000FB080000}"/>
    <hyperlink ref="B768" location="FixPlan!A33" display="No 40-60 Word Answer Paragraphs" xr:uid="{00000000-0004-0000-1500-0000FC080000}"/>
    <hyperlink ref="E768" location="Technical!A1" display="https://africanmarketingconfederation.org/amc-conference-2022-thank-you/::no_40-60_word_answer_paragraphs" xr:uid="{00000000-0004-0000-1500-0000FD080000}"/>
    <hyperlink ref="A769" r:id="rId768" xr:uid="{00000000-0004-0000-1500-0000FE080000}"/>
    <hyperlink ref="B769" location="FixPlan!A34" display="AI Crawlers Not Explicitly Allowed" xr:uid="{00000000-0004-0000-1500-0000FF080000}"/>
    <hyperlink ref="E769" location="Technical!A1" display="https://africanmarketingconfederation.org/amc-conference-2022-thank-you/::ai_crawlers_not_explicitly_allowed" xr:uid="{00000000-0004-0000-1500-000000090000}"/>
    <hyperlink ref="A770" r:id="rId769" xr:uid="{00000000-0004-0000-1500-000001090000}"/>
    <hyperlink ref="B770" location="FixPlan!A19" display="Missing H1" xr:uid="{00000000-0004-0000-1500-000002090000}"/>
    <hyperlink ref="E770" location="Technical!A1" display="https://africanmarketingconfederation.org/speakers/::missing_h1" xr:uid="{00000000-0004-0000-1500-000003090000}"/>
    <hyperlink ref="A771" r:id="rId770" xr:uid="{00000000-0004-0000-1500-000004090000}"/>
    <hyperlink ref="B771" location="FixPlan!A20" display="Low AEO Readiness Score" xr:uid="{00000000-0004-0000-1500-000005090000}"/>
    <hyperlink ref="E771" location="AEO!A1" display="https://africanmarketingconfederation.org/speakers/::low_aeo_readiness_score" xr:uid="{00000000-0004-0000-1500-000006090000}"/>
    <hyperlink ref="A772" r:id="rId771" xr:uid="{00000000-0004-0000-1500-000007090000}"/>
    <hyperlink ref="B772" location="FixPlan!A28" display="No Compression Header" xr:uid="{00000000-0004-0000-1500-000008090000}"/>
    <hyperlink ref="E772" location="Technical!A1" display="https://africanmarketingconfederation.org/speakers/::no_compression_header" xr:uid="{00000000-0004-0000-1500-000009090000}"/>
    <hyperlink ref="A773" r:id="rId772" xr:uid="{00000000-0004-0000-1500-00000A090000}"/>
    <hyperlink ref="B773" location="FixPlan!A29" display="No Cache-Control Header" xr:uid="{00000000-0004-0000-1500-00000B090000}"/>
    <hyperlink ref="E773" location="Technical!A1" display="https://africanmarketingconfederation.org/speakers/::no_cache-control_header" xr:uid="{00000000-0004-0000-1500-00000C090000}"/>
    <hyperlink ref="A774" r:id="rId773" xr:uid="{00000000-0004-0000-1500-00000D090000}"/>
    <hyperlink ref="B774" location="FixPlan!A30" display="No ETag Header" xr:uid="{00000000-0004-0000-1500-00000E090000}"/>
    <hyperlink ref="E774" location="Technical!A1" display="https://africanmarketingconfederation.org/speakers/::no_etag_header" xr:uid="{00000000-0004-0000-1500-00000F090000}"/>
    <hyperlink ref="A775" r:id="rId774" xr:uid="{00000000-0004-0000-1500-000010090000}"/>
    <hyperlink ref="B775" location="FixPlan!A35" display="Thin Content" xr:uid="{00000000-0004-0000-1500-000011090000}"/>
    <hyperlink ref="E775" location="Technical!A1" display="https://africanmarketingconfederation.org/speakers/::thin_content" xr:uid="{00000000-0004-0000-1500-000012090000}"/>
    <hyperlink ref="A776" r:id="rId775" xr:uid="{00000000-0004-0000-1500-000013090000}"/>
    <hyperlink ref="B776" location="FixPlan!A31" display="No Question Headings" xr:uid="{00000000-0004-0000-1500-000014090000}"/>
    <hyperlink ref="E776" location="AEO!A1" display="https://africanmarketingconfederation.org/speakers/::no_question_headings" xr:uid="{00000000-0004-0000-1500-000015090000}"/>
    <hyperlink ref="A777" r:id="rId776" xr:uid="{00000000-0004-0000-1500-000016090000}"/>
    <hyperlink ref="B777" location="FixPlan!A32" display="No Answer-Friendly Structure" xr:uid="{00000000-0004-0000-1500-000017090000}"/>
    <hyperlink ref="E777" location="Technical!A1" display="https://africanmarketingconfederation.org/speakers/::no_answer-friendly_structure" xr:uid="{00000000-0004-0000-1500-000018090000}"/>
    <hyperlink ref="A778" r:id="rId777" xr:uid="{00000000-0004-0000-1500-000019090000}"/>
    <hyperlink ref="B778" location="FixPlan!A33" display="No 40-60 Word Answer Paragraphs" xr:uid="{00000000-0004-0000-1500-00001A090000}"/>
    <hyperlink ref="E778" location="Technical!A1" display="https://africanmarketingconfederation.org/speakers/::no_40-60_word_answer_paragraphs" xr:uid="{00000000-0004-0000-1500-00001B090000}"/>
    <hyperlink ref="A779" r:id="rId778" xr:uid="{00000000-0004-0000-1500-00001C090000}"/>
    <hyperlink ref="B779" location="FixPlan!A34" display="AI Crawlers Not Explicitly Allowed" xr:uid="{00000000-0004-0000-1500-00001D090000}"/>
    <hyperlink ref="E779" location="Technical!A1" display="https://africanmarketingconfederation.org/speakers/::ai_crawlers_not_explicitly_allowed" xr:uid="{00000000-0004-0000-1500-00001E090000}"/>
    <hyperlink ref="A780" r:id="rId779" xr:uid="{00000000-0004-0000-1500-00001F090000}"/>
    <hyperlink ref="B780" location="FixPlan!A17" display="Multiple H1" xr:uid="{00000000-0004-0000-1500-000020090000}"/>
    <hyperlink ref="E780" location="Technical!A1" display="https://africanmarketingconfederation.org/privacy-policy/::multiple_h1" xr:uid="{00000000-0004-0000-1500-000021090000}"/>
    <hyperlink ref="A781" r:id="rId780" xr:uid="{00000000-0004-0000-1500-000022090000}"/>
    <hyperlink ref="B781" location="FixPlan!A20" display="Low AEO Readiness Score" xr:uid="{00000000-0004-0000-1500-000023090000}"/>
    <hyperlink ref="E781" location="AEO!A1" display="https://africanmarketingconfederation.org/privacy-policy/::low_aeo_readiness_score" xr:uid="{00000000-0004-0000-1500-000024090000}"/>
    <hyperlink ref="A782" r:id="rId781" xr:uid="{00000000-0004-0000-1500-000025090000}"/>
    <hyperlink ref="B782" location="FixPlan!A28" display="No Compression Header" xr:uid="{00000000-0004-0000-1500-000026090000}"/>
    <hyperlink ref="E782" location="Technical!A1" display="https://africanmarketingconfederation.org/privacy-policy/::no_compression_header" xr:uid="{00000000-0004-0000-1500-000027090000}"/>
    <hyperlink ref="A783" r:id="rId782" xr:uid="{00000000-0004-0000-1500-000028090000}"/>
    <hyperlink ref="B783" location="FixPlan!A29" display="No Cache-Control Header" xr:uid="{00000000-0004-0000-1500-000029090000}"/>
    <hyperlink ref="E783" location="Technical!A1" display="https://africanmarketingconfederation.org/privacy-policy/::no_cache-control_header" xr:uid="{00000000-0004-0000-1500-00002A090000}"/>
    <hyperlink ref="A784" r:id="rId783" xr:uid="{00000000-0004-0000-1500-00002B090000}"/>
    <hyperlink ref="B784" location="FixPlan!A30" display="No ETag Header" xr:uid="{00000000-0004-0000-1500-00002C090000}"/>
    <hyperlink ref="E784" location="Technical!A1" display="https://africanmarketingconfederation.org/privacy-policy/::no_etag_header" xr:uid="{00000000-0004-0000-1500-00002D090000}"/>
    <hyperlink ref="A785" r:id="rId784" xr:uid="{00000000-0004-0000-1500-00002E090000}"/>
    <hyperlink ref="B785" location="FixPlan!A31" display="No Question Headings" xr:uid="{00000000-0004-0000-1500-00002F090000}"/>
    <hyperlink ref="E785" location="AEO!A1" display="https://africanmarketingconfederation.org/privacy-policy/::no_question_headings" xr:uid="{00000000-0004-0000-1500-000030090000}"/>
    <hyperlink ref="A786" r:id="rId785" xr:uid="{00000000-0004-0000-1500-000031090000}"/>
    <hyperlink ref="B786" location="FixPlan!A32" display="No Answer-Friendly Structure" xr:uid="{00000000-0004-0000-1500-000032090000}"/>
    <hyperlink ref="E786" location="Technical!A1" display="https://africanmarketingconfederation.org/privacy-policy/::no_answer-friendly_structure" xr:uid="{00000000-0004-0000-1500-000033090000}"/>
    <hyperlink ref="A787" r:id="rId786" xr:uid="{00000000-0004-0000-1500-000034090000}"/>
    <hyperlink ref="B787" location="FixPlan!A33" display="No 40-60 Word Answer Paragraphs" xr:uid="{00000000-0004-0000-1500-000035090000}"/>
    <hyperlink ref="E787" location="Technical!A1" display="https://africanmarketingconfederation.org/privacy-policy/::no_40-60_word_answer_paragraphs" xr:uid="{00000000-0004-0000-1500-000036090000}"/>
    <hyperlink ref="A788" r:id="rId787" xr:uid="{00000000-0004-0000-1500-000037090000}"/>
    <hyperlink ref="B788" location="FixPlan!A34" display="AI Crawlers Not Explicitly Allowed" xr:uid="{00000000-0004-0000-1500-000038090000}"/>
    <hyperlink ref="E788" location="Technical!A1" display="https://africanmarketingconfederation.org/privacy-policy/::ai_crawlers_not_explicitly_allowed" xr:uid="{00000000-0004-0000-1500-00003909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86"/>
  <sheetViews>
    <sheetView workbookViewId="0">
      <pane ySplit="1" topLeftCell="A2" activePane="bottomLeft" state="frozen"/>
      <selection pane="bottomLeft"/>
    </sheetView>
  </sheetViews>
  <sheetFormatPr defaultRowHeight="15" x14ac:dyDescent="0.25"/>
  <cols>
    <col min="1" max="1" width="45" customWidth="1"/>
    <col min="2" max="2" width="15" customWidth="1"/>
    <col min="3" max="3" width="14" customWidth="1"/>
    <col min="4" max="4" width="18" customWidth="1"/>
  </cols>
  <sheetData>
    <row r="1" spans="1:6" ht="45" x14ac:dyDescent="0.25">
      <c r="A1" s="4" t="s">
        <v>118</v>
      </c>
      <c r="B1" s="4" t="s">
        <v>3300</v>
      </c>
      <c r="C1" s="4" t="s">
        <v>3301</v>
      </c>
      <c r="D1" s="4" t="s">
        <v>3302</v>
      </c>
      <c r="E1" s="5" t="s">
        <v>135</v>
      </c>
      <c r="F1" s="39" t="s">
        <v>136</v>
      </c>
    </row>
    <row r="2" spans="1:6" ht="30" customHeight="1" x14ac:dyDescent="0.25">
      <c r="A2" s="59" t="s">
        <v>682</v>
      </c>
      <c r="B2" s="8">
        <v>0</v>
      </c>
      <c r="C2" s="51"/>
      <c r="D2" s="54" t="b">
        <v>1</v>
      </c>
      <c r="E2" s="9" t="str">
        <f>IFERROR(HYPERLINK("#Main!A"&amp;MATCH(A2,Main!A:A,0),"Open"),HYPERLINK("#Main!A1","Open"))</f>
        <v>Open</v>
      </c>
      <c r="F2" s="9"/>
    </row>
    <row r="3" spans="1:6" ht="15.75" x14ac:dyDescent="0.25">
      <c r="A3" s="58" t="s">
        <v>140</v>
      </c>
      <c r="B3" s="11">
        <v>0</v>
      </c>
      <c r="C3" s="55"/>
      <c r="D3" s="56" t="b">
        <v>1</v>
      </c>
      <c r="E3" t="str">
        <f>IFERROR(HYPERLINK("#Main!A"&amp;MATCH(A3,Main!A:A,0),"Open"),HYPERLINK("#Main!A1","Open"))</f>
        <v>Open</v>
      </c>
    </row>
    <row r="4" spans="1:6" ht="30" customHeight="1" x14ac:dyDescent="0.25">
      <c r="A4" s="59" t="s">
        <v>674</v>
      </c>
      <c r="B4" s="8">
        <v>0</v>
      </c>
      <c r="C4" s="51"/>
      <c r="D4" s="54" t="b">
        <v>1</v>
      </c>
      <c r="E4" s="9" t="str">
        <f>IFERROR(HYPERLINK("#Main!A"&amp;MATCH(A4,Main!A:A,0),"Open"),HYPERLINK("#Main!A1","Open"))</f>
        <v>Open</v>
      </c>
      <c r="F4" s="9"/>
    </row>
    <row r="5" spans="1:6" ht="30" customHeight="1" x14ac:dyDescent="0.25">
      <c r="A5" s="58" t="s">
        <v>642</v>
      </c>
      <c r="B5" s="11">
        <v>0</v>
      </c>
      <c r="C5" s="55"/>
      <c r="D5" s="56" t="b">
        <v>1</v>
      </c>
      <c r="E5" t="str">
        <f>IFERROR(HYPERLINK("#Main!A"&amp;MATCH(A5,Main!A:A,0),"Open"),HYPERLINK("#Main!A1","Open"))</f>
        <v>Open</v>
      </c>
    </row>
    <row r="6" spans="1:6" ht="30" customHeight="1" x14ac:dyDescent="0.25">
      <c r="A6" s="59" t="s">
        <v>322</v>
      </c>
      <c r="B6" s="8">
        <v>0</v>
      </c>
      <c r="C6" s="51"/>
      <c r="D6" s="54" t="b">
        <v>1</v>
      </c>
      <c r="E6" s="9" t="str">
        <f>IFERROR(HYPERLINK("#Main!A"&amp;MATCH(A6,Main!A:A,0),"Open"),HYPERLINK("#Main!A1","Open"))</f>
        <v>Open</v>
      </c>
      <c r="F6" s="9"/>
    </row>
    <row r="7" spans="1:6" ht="30" customHeight="1" x14ac:dyDescent="0.25">
      <c r="A7" s="58" t="s">
        <v>519</v>
      </c>
      <c r="B7" s="11">
        <v>0</v>
      </c>
      <c r="C7" s="55"/>
      <c r="D7" s="56" t="b">
        <v>1</v>
      </c>
      <c r="E7" t="str">
        <f>IFERROR(HYPERLINK("#Main!A"&amp;MATCH(A7,Main!A:A,0),"Open"),HYPERLINK("#Main!A1","Open"))</f>
        <v>Open</v>
      </c>
    </row>
    <row r="8" spans="1:6" ht="30" customHeight="1" x14ac:dyDescent="0.25">
      <c r="A8" s="59" t="s">
        <v>551</v>
      </c>
      <c r="B8" s="8">
        <v>0</v>
      </c>
      <c r="C8" s="51"/>
      <c r="D8" s="54" t="b">
        <v>1</v>
      </c>
      <c r="E8" s="9" t="str">
        <f>IFERROR(HYPERLINK("#Main!A"&amp;MATCH(A8,Main!A:A,0),"Open"),HYPERLINK("#Main!A1","Open"))</f>
        <v>Open</v>
      </c>
      <c r="F8" s="9"/>
    </row>
    <row r="9" spans="1:6" ht="30" customHeight="1" x14ac:dyDescent="0.25">
      <c r="A9" s="58" t="s">
        <v>606</v>
      </c>
      <c r="B9" s="11">
        <v>0</v>
      </c>
      <c r="C9" s="55"/>
      <c r="D9" s="56" t="b">
        <v>1</v>
      </c>
      <c r="E9" t="str">
        <f>IFERROR(HYPERLINK("#Main!A"&amp;MATCH(A9,Main!A:A,0),"Open"),HYPERLINK("#Main!A1","Open"))</f>
        <v>Open</v>
      </c>
    </row>
    <row r="10" spans="1:6" ht="30" customHeight="1" x14ac:dyDescent="0.25">
      <c r="A10" s="59" t="s">
        <v>512</v>
      </c>
      <c r="B10" s="8">
        <v>0</v>
      </c>
      <c r="C10" s="51"/>
      <c r="D10" s="54" t="b">
        <v>1</v>
      </c>
      <c r="E10" s="9" t="str">
        <f>IFERROR(HYPERLINK("#Main!A"&amp;MATCH(A10,Main!A:A,0),"Open"),HYPERLINK("#Main!A1","Open"))</f>
        <v>Open</v>
      </c>
      <c r="F10" s="9"/>
    </row>
    <row r="11" spans="1:6" ht="30" customHeight="1" x14ac:dyDescent="0.25">
      <c r="A11" s="58" t="s">
        <v>582</v>
      </c>
      <c r="B11" s="11">
        <v>0</v>
      </c>
      <c r="C11" s="55"/>
      <c r="D11" s="56" t="b">
        <v>1</v>
      </c>
      <c r="E11" t="str">
        <f>IFERROR(HYPERLINK("#Main!A"&amp;MATCH(A11,Main!A:A,0),"Open"),HYPERLINK("#Main!A1","Open"))</f>
        <v>Open</v>
      </c>
    </row>
    <row r="12" spans="1:6" ht="30" customHeight="1" x14ac:dyDescent="0.25">
      <c r="A12" s="59" t="s">
        <v>658</v>
      </c>
      <c r="B12" s="8">
        <v>0</v>
      </c>
      <c r="C12" s="51"/>
      <c r="D12" s="54" t="b">
        <v>1</v>
      </c>
      <c r="E12" s="9" t="str">
        <f>IFERROR(HYPERLINK("#Main!A"&amp;MATCH(A12,Main!A:A,0),"Open"),HYPERLINK("#Main!A1","Open"))</f>
        <v>Open</v>
      </c>
      <c r="F12" s="9"/>
    </row>
    <row r="13" spans="1:6" ht="30" customHeight="1" x14ac:dyDescent="0.25">
      <c r="A13" s="58" t="s">
        <v>156</v>
      </c>
      <c r="B13" s="11">
        <v>0</v>
      </c>
      <c r="C13" s="55"/>
      <c r="D13" s="56" t="b">
        <v>1</v>
      </c>
      <c r="E13" t="str">
        <f>IFERROR(HYPERLINK("#Main!A"&amp;MATCH(A13,Main!A:A,0),"Open"),HYPERLINK("#Main!A1","Open"))</f>
        <v>Open</v>
      </c>
    </row>
    <row r="14" spans="1:6" ht="30" customHeight="1" x14ac:dyDescent="0.25">
      <c r="A14" s="59" t="s">
        <v>650</v>
      </c>
      <c r="B14" s="8">
        <v>0</v>
      </c>
      <c r="C14" s="51"/>
      <c r="D14" s="54" t="b">
        <v>1</v>
      </c>
      <c r="E14" s="9" t="str">
        <f>IFERROR(HYPERLINK("#Main!A"&amp;MATCH(A14,Main!A:A,0),"Open"),HYPERLINK("#Main!A1","Open"))</f>
        <v>Open</v>
      </c>
      <c r="F14" s="9"/>
    </row>
    <row r="15" spans="1:6" ht="30" customHeight="1" x14ac:dyDescent="0.25">
      <c r="A15" s="58" t="s">
        <v>704</v>
      </c>
      <c r="B15" s="11">
        <v>0</v>
      </c>
      <c r="C15" s="55"/>
      <c r="D15" s="56" t="b">
        <v>1</v>
      </c>
      <c r="E15" t="str">
        <f>IFERROR(HYPERLINK("#Main!A"&amp;MATCH(A15,Main!A:A,0),"Open"),HYPERLINK("#Main!A1","Open"))</f>
        <v>Open</v>
      </c>
    </row>
    <row r="16" spans="1:6" ht="30" customHeight="1" x14ac:dyDescent="0.25">
      <c r="A16" s="59" t="s">
        <v>148</v>
      </c>
      <c r="B16" s="8">
        <v>0</v>
      </c>
      <c r="C16" s="51"/>
      <c r="D16" s="54" t="b">
        <v>1</v>
      </c>
      <c r="E16" s="9" t="str">
        <f>IFERROR(HYPERLINK("#Main!A"&amp;MATCH(A16,Main!A:A,0),"Open"),HYPERLINK("#Main!A1","Open"))</f>
        <v>Open</v>
      </c>
      <c r="F16" s="9"/>
    </row>
    <row r="17" spans="1:6" ht="30" customHeight="1" x14ac:dyDescent="0.25">
      <c r="A17" s="58" t="s">
        <v>497</v>
      </c>
      <c r="B17" s="11">
        <v>0</v>
      </c>
      <c r="C17" s="55"/>
      <c r="D17" s="56" t="b">
        <v>1</v>
      </c>
      <c r="E17" t="str">
        <f>IFERROR(HYPERLINK("#Main!A"&amp;MATCH(A17,Main!A:A,0),"Open"),HYPERLINK("#Main!A1","Open"))</f>
        <v>Open</v>
      </c>
    </row>
    <row r="18" spans="1:6" ht="30" customHeight="1" x14ac:dyDescent="0.25">
      <c r="A18" s="59" t="s">
        <v>505</v>
      </c>
      <c r="B18" s="8">
        <v>0</v>
      </c>
      <c r="C18" s="51"/>
      <c r="D18" s="54" t="b">
        <v>1</v>
      </c>
      <c r="E18" s="9" t="str">
        <f>IFERROR(HYPERLINK("#Main!A"&amp;MATCH(A18,Main!A:A,0),"Open"),HYPERLINK("#Main!A1","Open"))</f>
        <v>Open</v>
      </c>
      <c r="F18" s="9"/>
    </row>
    <row r="19" spans="1:6" ht="30" customHeight="1" x14ac:dyDescent="0.25">
      <c r="A19" s="58" t="s">
        <v>690</v>
      </c>
      <c r="B19" s="11">
        <v>0</v>
      </c>
      <c r="C19" s="55"/>
      <c r="D19" s="56" t="b">
        <v>1</v>
      </c>
      <c r="E19" t="str">
        <f>IFERROR(HYPERLINK("#Main!A"&amp;MATCH(A19,Main!A:A,0),"Open"),HYPERLINK("#Main!A1","Open"))</f>
        <v>Open</v>
      </c>
    </row>
    <row r="20" spans="1:6" ht="30" customHeight="1" x14ac:dyDescent="0.25">
      <c r="A20" s="59" t="s">
        <v>306</v>
      </c>
      <c r="B20" s="8">
        <v>0</v>
      </c>
      <c r="C20" s="51"/>
      <c r="D20" s="54" t="b">
        <v>1</v>
      </c>
      <c r="E20" s="9" t="str">
        <f>IFERROR(HYPERLINK("#Main!A"&amp;MATCH(A20,Main!A:A,0),"Open"),HYPERLINK("#Main!A1","Open"))</f>
        <v>Open</v>
      </c>
      <c r="F20" s="9"/>
    </row>
    <row r="21" spans="1:6" ht="30" customHeight="1" x14ac:dyDescent="0.25">
      <c r="A21" s="58" t="s">
        <v>314</v>
      </c>
      <c r="B21" s="11">
        <v>0</v>
      </c>
      <c r="C21" s="55"/>
      <c r="D21" s="56" t="b">
        <v>1</v>
      </c>
      <c r="E21" t="str">
        <f>IFERROR(HYPERLINK("#Main!A"&amp;MATCH(A21,Main!A:A,0),"Open"),HYPERLINK("#Main!A1","Open"))</f>
        <v>Open</v>
      </c>
    </row>
    <row r="22" spans="1:6" ht="30" customHeight="1" x14ac:dyDescent="0.25">
      <c r="A22" s="59" t="s">
        <v>366</v>
      </c>
      <c r="B22" s="8">
        <v>0</v>
      </c>
      <c r="C22" s="51"/>
      <c r="D22" s="54" t="b">
        <v>1</v>
      </c>
      <c r="E22" s="9" t="str">
        <f>IFERROR(HYPERLINK("#Main!A"&amp;MATCH(A22,Main!A:A,0),"Open"),HYPERLINK("#Main!A1","Open"))</f>
        <v>Open</v>
      </c>
      <c r="F22" s="9"/>
    </row>
    <row r="23" spans="1:6" ht="30" customHeight="1" x14ac:dyDescent="0.25">
      <c r="A23" s="58" t="s">
        <v>417</v>
      </c>
      <c r="B23" s="11">
        <v>0</v>
      </c>
      <c r="C23" s="55"/>
      <c r="D23" s="56" t="b">
        <v>1</v>
      </c>
      <c r="E23" t="str">
        <f>IFERROR(HYPERLINK("#Main!A"&amp;MATCH(A23,Main!A:A,0),"Open"),HYPERLINK("#Main!A1","Open"))</f>
        <v>Open</v>
      </c>
    </row>
    <row r="24" spans="1:6" ht="30" customHeight="1" x14ac:dyDescent="0.25">
      <c r="A24" s="59" t="s">
        <v>290</v>
      </c>
      <c r="B24" s="8">
        <v>0</v>
      </c>
      <c r="C24" s="51"/>
      <c r="D24" s="54" t="b">
        <v>1</v>
      </c>
      <c r="E24" s="9" t="str">
        <f>IFERROR(HYPERLINK("#Main!A"&amp;MATCH(A24,Main!A:A,0),"Open"),HYPERLINK("#Main!A1","Open"))</f>
        <v>Open</v>
      </c>
      <c r="F24" s="9"/>
    </row>
    <row r="25" spans="1:6" ht="30" customHeight="1" x14ac:dyDescent="0.25">
      <c r="A25" s="58" t="s">
        <v>188</v>
      </c>
      <c r="B25" s="11">
        <v>0</v>
      </c>
      <c r="C25" s="55"/>
      <c r="D25" s="56" t="b">
        <v>1</v>
      </c>
      <c r="E25" t="str">
        <f>IFERROR(HYPERLINK("#Main!A"&amp;MATCH(A25,Main!A:A,0),"Open"),HYPERLINK("#Main!A1","Open"))</f>
        <v>Open</v>
      </c>
    </row>
    <row r="26" spans="1:6" ht="30" customHeight="1" x14ac:dyDescent="0.25">
      <c r="A26" s="59" t="s">
        <v>242</v>
      </c>
      <c r="B26" s="8">
        <v>0</v>
      </c>
      <c r="C26" s="51"/>
      <c r="D26" s="54" t="b">
        <v>1</v>
      </c>
      <c r="E26" s="9" t="str">
        <f>IFERROR(HYPERLINK("#Main!A"&amp;MATCH(A26,Main!A:A,0),"Open"),HYPERLINK("#Main!A1","Open"))</f>
        <v>Open</v>
      </c>
      <c r="F26" s="9"/>
    </row>
    <row r="27" spans="1:6" ht="30" customHeight="1" x14ac:dyDescent="0.25">
      <c r="A27" s="58" t="s">
        <v>574</v>
      </c>
      <c r="B27" s="11">
        <v>0</v>
      </c>
      <c r="C27" s="55"/>
      <c r="D27" s="56" t="b">
        <v>1</v>
      </c>
      <c r="E27" t="str">
        <f>IFERROR(HYPERLINK("#Main!A"&amp;MATCH(A27,Main!A:A,0),"Open"),HYPERLINK("#Main!A1","Open"))</f>
        <v>Open</v>
      </c>
    </row>
    <row r="28" spans="1:6" ht="30" customHeight="1" x14ac:dyDescent="0.25">
      <c r="A28" s="59" t="s">
        <v>627</v>
      </c>
      <c r="B28" s="8">
        <v>0</v>
      </c>
      <c r="C28" s="51"/>
      <c r="D28" s="54" t="b">
        <v>1</v>
      </c>
      <c r="E28" s="9" t="str">
        <f>IFERROR(HYPERLINK("#Main!A"&amp;MATCH(A28,Main!A:A,0),"Open"),HYPERLINK("#Main!A1","Open"))</f>
        <v>Open</v>
      </c>
      <c r="F28" s="9"/>
    </row>
    <row r="29" spans="1:6" ht="30" customHeight="1" x14ac:dyDescent="0.25">
      <c r="A29" s="58" t="s">
        <v>274</v>
      </c>
      <c r="B29" s="11">
        <v>0</v>
      </c>
      <c r="C29" s="55"/>
      <c r="D29" s="56" t="b">
        <v>1</v>
      </c>
      <c r="E29" t="str">
        <f>IFERROR(HYPERLINK("#Main!A"&amp;MATCH(A29,Main!A:A,0),"Open"),HYPERLINK("#Main!A1","Open"))</f>
        <v>Open</v>
      </c>
    </row>
    <row r="30" spans="1:6" ht="30" customHeight="1" x14ac:dyDescent="0.25">
      <c r="A30" s="59" t="s">
        <v>401</v>
      </c>
      <c r="B30" s="8">
        <v>0</v>
      </c>
      <c r="C30" s="51"/>
      <c r="D30" s="54" t="b">
        <v>1</v>
      </c>
      <c r="E30" s="9" t="str">
        <f>IFERROR(HYPERLINK("#Main!A"&amp;MATCH(A30,Main!A:A,0),"Open"),HYPERLINK("#Main!A1","Open"))</f>
        <v>Open</v>
      </c>
      <c r="F30" s="9"/>
    </row>
    <row r="31" spans="1:6" ht="30" customHeight="1" x14ac:dyDescent="0.25">
      <c r="A31" s="58" t="s">
        <v>298</v>
      </c>
      <c r="B31" s="11">
        <v>0</v>
      </c>
      <c r="C31" s="55"/>
      <c r="D31" s="56" t="b">
        <v>1</v>
      </c>
      <c r="E31" t="str">
        <f>IFERROR(HYPERLINK("#Main!A"&amp;MATCH(A31,Main!A:A,0),"Open"),HYPERLINK("#Main!A1","Open"))</f>
        <v>Open</v>
      </c>
    </row>
    <row r="32" spans="1:6" ht="30" customHeight="1" x14ac:dyDescent="0.25">
      <c r="A32" s="59" t="s">
        <v>481</v>
      </c>
      <c r="B32" s="8">
        <v>0</v>
      </c>
      <c r="C32" s="51"/>
      <c r="D32" s="54" t="b">
        <v>1</v>
      </c>
      <c r="E32" s="9" t="str">
        <f>IFERROR(HYPERLINK("#Main!A"&amp;MATCH(A32,Main!A:A,0),"Open"),HYPERLINK("#Main!A1","Open"))</f>
        <v>Open</v>
      </c>
      <c r="F32" s="9"/>
    </row>
    <row r="33" spans="1:6" ht="30" customHeight="1" x14ac:dyDescent="0.25">
      <c r="A33" s="58" t="s">
        <v>172</v>
      </c>
      <c r="B33" s="11">
        <v>0</v>
      </c>
      <c r="C33" s="55"/>
      <c r="D33" s="56" t="b">
        <v>1</v>
      </c>
      <c r="E33" t="str">
        <f>IFERROR(HYPERLINK("#Main!A"&amp;MATCH(A33,Main!A:A,0),"Open"),HYPERLINK("#Main!A1","Open"))</f>
        <v>Open</v>
      </c>
    </row>
    <row r="34" spans="1:6" ht="30" customHeight="1" x14ac:dyDescent="0.25">
      <c r="A34" s="59" t="s">
        <v>727</v>
      </c>
      <c r="B34" s="8">
        <v>0</v>
      </c>
      <c r="C34" s="51"/>
      <c r="D34" s="54" t="b">
        <v>1</v>
      </c>
      <c r="E34" s="9" t="str">
        <f>IFERROR(HYPERLINK("#Main!A"&amp;MATCH(A34,Main!A:A,0),"Open"),HYPERLINK("#Main!A1","Open"))</f>
        <v>Open</v>
      </c>
      <c r="F34" s="9"/>
    </row>
    <row r="35" spans="1:6" ht="30" customHeight="1" x14ac:dyDescent="0.25">
      <c r="A35" s="58" t="s">
        <v>559</v>
      </c>
      <c r="B35" s="11">
        <v>0</v>
      </c>
      <c r="C35" s="55"/>
      <c r="D35" s="56" t="b">
        <v>1</v>
      </c>
      <c r="E35" t="str">
        <f>IFERROR(HYPERLINK("#Main!A"&amp;MATCH(A35,Main!A:A,0),"Open"),HYPERLINK("#Main!A1","Open"))</f>
        <v>Open</v>
      </c>
    </row>
    <row r="36" spans="1:6" ht="30" customHeight="1" x14ac:dyDescent="0.25">
      <c r="A36" s="59" t="s">
        <v>393</v>
      </c>
      <c r="B36" s="8">
        <v>0</v>
      </c>
      <c r="C36" s="51"/>
      <c r="D36" s="54" t="b">
        <v>1</v>
      </c>
      <c r="E36" s="9" t="str">
        <f>IFERROR(HYPERLINK("#Main!A"&amp;MATCH(A36,Main!A:A,0),"Open"),HYPERLINK("#Main!A1","Open"))</f>
        <v>Open</v>
      </c>
      <c r="F36" s="9"/>
    </row>
    <row r="37" spans="1:6" ht="30" customHeight="1" x14ac:dyDescent="0.25">
      <c r="A37" s="58" t="s">
        <v>566</v>
      </c>
      <c r="B37" s="11">
        <v>0</v>
      </c>
      <c r="C37" s="55"/>
      <c r="D37" s="56" t="b">
        <v>1</v>
      </c>
      <c r="E37" t="str">
        <f>IFERROR(HYPERLINK("#Main!A"&amp;MATCH(A37,Main!A:A,0),"Open"),HYPERLINK("#Main!A1","Open"))</f>
        <v>Open</v>
      </c>
    </row>
    <row r="38" spans="1:6" ht="45" customHeight="1" x14ac:dyDescent="0.25">
      <c r="A38" s="59" t="s">
        <v>377</v>
      </c>
      <c r="B38" s="8">
        <v>0</v>
      </c>
      <c r="C38" s="51"/>
      <c r="D38" s="54" t="b">
        <v>1</v>
      </c>
      <c r="E38" s="9" t="str">
        <f>IFERROR(HYPERLINK("#Main!A"&amp;MATCH(A38,Main!A:A,0),"Open"),HYPERLINK("#Main!A1","Open"))</f>
        <v>Open</v>
      </c>
      <c r="F38" s="9"/>
    </row>
    <row r="39" spans="1:6" ht="30" customHeight="1" x14ac:dyDescent="0.25">
      <c r="A39" s="58" t="s">
        <v>385</v>
      </c>
      <c r="B39" s="11">
        <v>0</v>
      </c>
      <c r="C39" s="55"/>
      <c r="D39" s="56" t="b">
        <v>1</v>
      </c>
      <c r="E39" t="str">
        <f>IFERROR(HYPERLINK("#Main!A"&amp;MATCH(A39,Main!A:A,0),"Open"),HYPERLINK("#Main!A1","Open"))</f>
        <v>Open</v>
      </c>
    </row>
    <row r="40" spans="1:6" ht="30" customHeight="1" x14ac:dyDescent="0.25">
      <c r="A40" s="59" t="s">
        <v>358</v>
      </c>
      <c r="B40" s="8">
        <v>0</v>
      </c>
      <c r="C40" s="51"/>
      <c r="D40" s="54" t="b">
        <v>1</v>
      </c>
      <c r="E40" s="9" t="str">
        <f>IFERROR(HYPERLINK("#Main!A"&amp;MATCH(A40,Main!A:A,0),"Open"),HYPERLINK("#Main!A1","Open"))</f>
        <v>Open</v>
      </c>
      <c r="F40" s="9"/>
    </row>
    <row r="41" spans="1:6" ht="30" customHeight="1" x14ac:dyDescent="0.25">
      <c r="A41" s="58" t="s">
        <v>196</v>
      </c>
      <c r="B41" s="11">
        <v>0</v>
      </c>
      <c r="C41" s="55"/>
      <c r="D41" s="56" t="b">
        <v>1</v>
      </c>
      <c r="E41" t="str">
        <f>IFERROR(HYPERLINK("#Main!A"&amp;MATCH(A41,Main!A:A,0),"Open"),HYPERLINK("#Main!A1","Open"))</f>
        <v>Open</v>
      </c>
    </row>
    <row r="42" spans="1:6" ht="30" customHeight="1" x14ac:dyDescent="0.25">
      <c r="A42" s="59" t="s">
        <v>164</v>
      </c>
      <c r="B42" s="8">
        <v>0</v>
      </c>
      <c r="C42" s="51"/>
      <c r="D42" s="54" t="b">
        <v>1</v>
      </c>
      <c r="E42" s="9" t="str">
        <f>IFERROR(HYPERLINK("#Main!A"&amp;MATCH(A42,Main!A:A,0),"Open"),HYPERLINK("#Main!A1","Open"))</f>
        <v>Open</v>
      </c>
      <c r="F42" s="9"/>
    </row>
    <row r="43" spans="1:6" ht="30" customHeight="1" x14ac:dyDescent="0.25">
      <c r="A43" s="58" t="s">
        <v>350</v>
      </c>
      <c r="B43" s="11">
        <v>0</v>
      </c>
      <c r="C43" s="55"/>
      <c r="D43" s="56" t="b">
        <v>1</v>
      </c>
      <c r="E43" t="str">
        <f>IFERROR(HYPERLINK("#Main!A"&amp;MATCH(A43,Main!A:A,0),"Open"),HYPERLINK("#Main!A1","Open"))</f>
        <v>Open</v>
      </c>
    </row>
    <row r="44" spans="1:6" ht="30" customHeight="1" x14ac:dyDescent="0.25">
      <c r="A44" s="59" t="s">
        <v>374</v>
      </c>
      <c r="B44" s="8">
        <v>0</v>
      </c>
      <c r="C44" s="51"/>
      <c r="D44" s="54" t="b">
        <v>1</v>
      </c>
      <c r="E44" s="9" t="str">
        <f>IFERROR(HYPERLINK("#Main!A"&amp;MATCH(A44,Main!A:A,0),"Open"),HYPERLINK("#Main!A1","Open"))</f>
        <v>Open</v>
      </c>
      <c r="F44" s="9"/>
    </row>
    <row r="45" spans="1:6" ht="45" customHeight="1" x14ac:dyDescent="0.25">
      <c r="A45" s="58" t="s">
        <v>409</v>
      </c>
      <c r="B45" s="11">
        <v>0</v>
      </c>
      <c r="C45" s="55"/>
      <c r="D45" s="56" t="b">
        <v>1</v>
      </c>
      <c r="E45" t="str">
        <f>IFERROR(HYPERLINK("#Main!A"&amp;MATCH(A45,Main!A:A,0),"Open"),HYPERLINK("#Main!A1","Open"))</f>
        <v>Open</v>
      </c>
    </row>
    <row r="46" spans="1:6" ht="30" customHeight="1" x14ac:dyDescent="0.25">
      <c r="A46" s="59" t="s">
        <v>436</v>
      </c>
      <c r="B46" s="8">
        <v>0</v>
      </c>
      <c r="C46" s="51"/>
      <c r="D46" s="54" t="b">
        <v>1</v>
      </c>
      <c r="E46" s="9" t="str">
        <f>IFERROR(HYPERLINK("#Main!A"&amp;MATCH(A46,Main!A:A,0),"Open"),HYPERLINK("#Main!A1","Open"))</f>
        <v>Open</v>
      </c>
      <c r="F46" s="9"/>
    </row>
    <row r="47" spans="1:6" ht="30" customHeight="1" x14ac:dyDescent="0.25">
      <c r="A47" s="58" t="s">
        <v>473</v>
      </c>
      <c r="B47" s="11">
        <v>0</v>
      </c>
      <c r="C47" s="55"/>
      <c r="D47" s="56" t="b">
        <v>1</v>
      </c>
      <c r="E47" t="str">
        <f>IFERROR(HYPERLINK("#Main!A"&amp;MATCH(A47,Main!A:A,0),"Open"),HYPERLINK("#Main!A1","Open"))</f>
        <v>Open</v>
      </c>
    </row>
    <row r="48" spans="1:6" ht="30" customHeight="1" x14ac:dyDescent="0.25">
      <c r="A48" s="59" t="s">
        <v>489</v>
      </c>
      <c r="B48" s="8">
        <v>0</v>
      </c>
      <c r="C48" s="51"/>
      <c r="D48" s="54" t="b">
        <v>1</v>
      </c>
      <c r="E48" s="9" t="str">
        <f>IFERROR(HYPERLINK("#Main!A"&amp;MATCH(A48,Main!A:A,0),"Open"),HYPERLINK("#Main!A1","Open"))</f>
        <v>Open</v>
      </c>
      <c r="F48" s="9"/>
    </row>
    <row r="49" spans="1:6" ht="30" customHeight="1" x14ac:dyDescent="0.25">
      <c r="A49" s="58" t="s">
        <v>338</v>
      </c>
      <c r="B49" s="11">
        <v>0</v>
      </c>
      <c r="C49" s="55"/>
      <c r="D49" s="56" t="b">
        <v>1</v>
      </c>
      <c r="E49" t="str">
        <f>IFERROR(HYPERLINK("#Main!A"&amp;MATCH(A49,Main!A:A,0),"Open"),HYPERLINK("#Main!A1","Open"))</f>
        <v>Open</v>
      </c>
    </row>
    <row r="50" spans="1:6" ht="30" customHeight="1" x14ac:dyDescent="0.25">
      <c r="A50" s="59" t="s">
        <v>433</v>
      </c>
      <c r="B50" s="8">
        <v>0</v>
      </c>
      <c r="C50" s="51"/>
      <c r="D50" s="54" t="b">
        <v>1</v>
      </c>
      <c r="E50" s="9" t="str">
        <f>IFERROR(HYPERLINK("#Main!A"&amp;MATCH(A50,Main!A:A,0),"Open"),HYPERLINK("#Main!A1","Open"))</f>
        <v>Open</v>
      </c>
      <c r="F50" s="9"/>
    </row>
    <row r="51" spans="1:6" ht="30" customHeight="1" x14ac:dyDescent="0.25">
      <c r="A51" s="58" t="s">
        <v>743</v>
      </c>
      <c r="B51" s="11">
        <v>0</v>
      </c>
      <c r="C51" s="55"/>
      <c r="D51" s="56" t="b">
        <v>1</v>
      </c>
      <c r="E51" t="str">
        <f>IFERROR(HYPERLINK("#Main!A"&amp;MATCH(A51,Main!A:A,0),"Open"),HYPERLINK("#Main!A1","Open"))</f>
        <v>Open</v>
      </c>
    </row>
    <row r="52" spans="1:6" ht="30" customHeight="1" x14ac:dyDescent="0.25">
      <c r="A52" s="59" t="s">
        <v>598</v>
      </c>
      <c r="B52" s="8">
        <v>0</v>
      </c>
      <c r="C52" s="51"/>
      <c r="D52" s="54" t="b">
        <v>1</v>
      </c>
      <c r="E52" s="9" t="str">
        <f>IFERROR(HYPERLINK("#Main!A"&amp;MATCH(A52,Main!A:A,0),"Open"),HYPERLINK("#Main!A1","Open"))</f>
        <v>Open</v>
      </c>
      <c r="F52" s="9"/>
    </row>
    <row r="53" spans="1:6" ht="30" customHeight="1" x14ac:dyDescent="0.25">
      <c r="A53" s="58" t="s">
        <v>735</v>
      </c>
      <c r="B53" s="11">
        <v>0</v>
      </c>
      <c r="C53" s="55"/>
      <c r="D53" s="56" t="b">
        <v>1</v>
      </c>
      <c r="E53" t="str">
        <f>IFERROR(HYPERLINK("#Main!A"&amp;MATCH(A53,Main!A:A,0),"Open"),HYPERLINK("#Main!A1","Open"))</f>
        <v>Open</v>
      </c>
    </row>
    <row r="54" spans="1:6" ht="30" customHeight="1" x14ac:dyDescent="0.25">
      <c r="A54" s="59" t="s">
        <v>712</v>
      </c>
      <c r="B54" s="8">
        <v>0</v>
      </c>
      <c r="C54" s="51"/>
      <c r="D54" s="54" t="b">
        <v>1</v>
      </c>
      <c r="E54" s="9" t="str">
        <f>IFERROR(HYPERLINK("#Main!A"&amp;MATCH(A54,Main!A:A,0),"Open"),HYPERLINK("#Main!A1","Open"))</f>
        <v>Open</v>
      </c>
      <c r="F54" s="9"/>
    </row>
    <row r="55" spans="1:6" ht="30" customHeight="1" x14ac:dyDescent="0.25">
      <c r="A55" s="58" t="s">
        <v>622</v>
      </c>
      <c r="B55" s="11">
        <v>0</v>
      </c>
      <c r="C55" s="55"/>
      <c r="D55" s="56" t="b">
        <v>1</v>
      </c>
      <c r="E55" t="str">
        <f>IFERROR(HYPERLINK("#Main!A"&amp;MATCH(A55,Main!A:A,0),"Open"),HYPERLINK("#Main!A1","Open"))</f>
        <v>Open</v>
      </c>
    </row>
    <row r="56" spans="1:6" ht="30" customHeight="1" x14ac:dyDescent="0.25">
      <c r="A56" s="59" t="s">
        <v>535</v>
      </c>
      <c r="B56" s="8">
        <v>0</v>
      </c>
      <c r="C56" s="51"/>
      <c r="D56" s="54" t="b">
        <v>1</v>
      </c>
      <c r="E56" s="9" t="str">
        <f>IFERROR(HYPERLINK("#Main!A"&amp;MATCH(A56,Main!A:A,0),"Open"),HYPERLINK("#Main!A1","Open"))</f>
        <v>Open</v>
      </c>
      <c r="F56" s="9"/>
    </row>
    <row r="57" spans="1:6" ht="30" customHeight="1" x14ac:dyDescent="0.25">
      <c r="A57" s="58" t="s">
        <v>527</v>
      </c>
      <c r="B57" s="11">
        <v>0</v>
      </c>
      <c r="C57" s="55"/>
      <c r="D57" s="56" t="b">
        <v>1</v>
      </c>
      <c r="E57" t="str">
        <f>IFERROR(HYPERLINK("#Main!A"&amp;MATCH(A57,Main!A:A,0),"Open"),HYPERLINK("#Main!A1","Open"))</f>
        <v>Open</v>
      </c>
    </row>
    <row r="58" spans="1:6" ht="30" customHeight="1" x14ac:dyDescent="0.25">
      <c r="A58" s="59" t="s">
        <v>590</v>
      </c>
      <c r="B58" s="8">
        <v>0</v>
      </c>
      <c r="C58" s="51"/>
      <c r="D58" s="54" t="b">
        <v>1</v>
      </c>
      <c r="E58" s="9" t="str">
        <f>IFERROR(HYPERLINK("#Main!A"&amp;MATCH(A58,Main!A:A,0),"Open"),HYPERLINK("#Main!A1","Open"))</f>
        <v>Open</v>
      </c>
      <c r="F58" s="9"/>
    </row>
    <row r="59" spans="1:6" ht="30" customHeight="1" x14ac:dyDescent="0.25">
      <c r="A59" s="58" t="s">
        <v>758</v>
      </c>
      <c r="B59" s="11">
        <v>0</v>
      </c>
      <c r="C59" s="55"/>
      <c r="D59" s="56" t="b">
        <v>1</v>
      </c>
      <c r="E59" t="str">
        <f>IFERROR(HYPERLINK("#Main!A"&amp;MATCH(A59,Main!A:A,0),"Open"),HYPERLINK("#Main!A1","Open"))</f>
        <v>Open</v>
      </c>
    </row>
    <row r="60" spans="1:6" ht="30" customHeight="1" x14ac:dyDescent="0.25">
      <c r="A60" s="59" t="s">
        <v>282</v>
      </c>
      <c r="B60" s="8">
        <v>0</v>
      </c>
      <c r="C60" s="51"/>
      <c r="D60" s="54" t="b">
        <v>1</v>
      </c>
      <c r="E60" s="9" t="str">
        <f>IFERROR(HYPERLINK("#Main!A"&amp;MATCH(A60,Main!A:A,0),"Open"),HYPERLINK("#Main!A1","Open"))</f>
        <v>Open</v>
      </c>
      <c r="F60" s="9"/>
    </row>
    <row r="61" spans="1:6" ht="30" customHeight="1" x14ac:dyDescent="0.25">
      <c r="A61" s="58" t="s">
        <v>766</v>
      </c>
      <c r="B61" s="11">
        <v>0</v>
      </c>
      <c r="C61" s="55"/>
      <c r="D61" s="56" t="b">
        <v>1</v>
      </c>
      <c r="E61" t="str">
        <f>IFERROR(HYPERLINK("#Main!A"&amp;MATCH(A61,Main!A:A,0),"Open"),HYPERLINK("#Main!A1","Open"))</f>
        <v>Open</v>
      </c>
    </row>
    <row r="62" spans="1:6" ht="30" customHeight="1" x14ac:dyDescent="0.25">
      <c r="A62" s="59" t="s">
        <v>614</v>
      </c>
      <c r="B62" s="8">
        <v>0</v>
      </c>
      <c r="C62" s="51"/>
      <c r="D62" s="54" t="b">
        <v>1</v>
      </c>
      <c r="E62" s="9" t="str">
        <f>IFERROR(HYPERLINK("#Main!A"&amp;MATCH(A62,Main!A:A,0),"Open"),HYPERLINK("#Main!A1","Open"))</f>
        <v>Open</v>
      </c>
      <c r="F62" s="9"/>
    </row>
    <row r="63" spans="1:6" ht="30" customHeight="1" x14ac:dyDescent="0.25">
      <c r="A63" s="58" t="s">
        <v>425</v>
      </c>
      <c r="B63" s="11">
        <v>0</v>
      </c>
      <c r="C63" s="55"/>
      <c r="D63" s="56" t="b">
        <v>1</v>
      </c>
      <c r="E63" t="str">
        <f>IFERROR(HYPERLINK("#Main!A"&amp;MATCH(A63,Main!A:A,0),"Open"),HYPERLINK("#Main!A1","Open"))</f>
        <v>Open</v>
      </c>
    </row>
    <row r="64" spans="1:6" ht="30" customHeight="1" x14ac:dyDescent="0.25">
      <c r="A64" s="59" t="s">
        <v>210</v>
      </c>
      <c r="B64" s="8">
        <v>0</v>
      </c>
      <c r="C64" s="51"/>
      <c r="D64" s="54" t="b">
        <v>1</v>
      </c>
      <c r="E64" s="9" t="str">
        <f>IFERROR(HYPERLINK("#Main!A"&amp;MATCH(A64,Main!A:A,0),"Open"),HYPERLINK("#Main!A1","Open"))</f>
        <v>Open</v>
      </c>
      <c r="F64" s="9"/>
    </row>
    <row r="65" spans="1:6" ht="30" customHeight="1" x14ac:dyDescent="0.25">
      <c r="A65" s="58" t="s">
        <v>258</v>
      </c>
      <c r="B65" s="11">
        <v>0</v>
      </c>
      <c r="C65" s="55"/>
      <c r="D65" s="56" t="b">
        <v>1</v>
      </c>
      <c r="E65" t="str">
        <f>IFERROR(HYPERLINK("#Main!A"&amp;MATCH(A65,Main!A:A,0),"Open"),HYPERLINK("#Main!A1","Open"))</f>
        <v>Open</v>
      </c>
    </row>
    <row r="66" spans="1:6" ht="30" customHeight="1" x14ac:dyDescent="0.25">
      <c r="A66" s="59" t="s">
        <v>250</v>
      </c>
      <c r="B66" s="8">
        <v>0</v>
      </c>
      <c r="C66" s="51"/>
      <c r="D66" s="54" t="b">
        <v>1</v>
      </c>
      <c r="E66" s="9" t="str">
        <f>IFERROR(HYPERLINK("#Main!A"&amp;MATCH(A66,Main!A:A,0),"Open"),HYPERLINK("#Main!A1","Open"))</f>
        <v>Open</v>
      </c>
      <c r="F66" s="9"/>
    </row>
    <row r="67" spans="1:6" ht="30" customHeight="1" x14ac:dyDescent="0.25">
      <c r="A67" s="58" t="s">
        <v>266</v>
      </c>
      <c r="B67" s="11">
        <v>0</v>
      </c>
      <c r="C67" s="55"/>
      <c r="D67" s="56" t="b">
        <v>1</v>
      </c>
      <c r="E67" t="str">
        <f>IFERROR(HYPERLINK("#Main!A"&amp;MATCH(A67,Main!A:A,0),"Open"),HYPERLINK("#Main!A1","Open"))</f>
        <v>Open</v>
      </c>
    </row>
    <row r="68" spans="1:6" ht="30" customHeight="1" x14ac:dyDescent="0.25">
      <c r="A68" s="59" t="s">
        <v>543</v>
      </c>
      <c r="B68" s="8">
        <v>0</v>
      </c>
      <c r="C68" s="51"/>
      <c r="D68" s="54" t="b">
        <v>1</v>
      </c>
      <c r="E68" s="9" t="str">
        <f>IFERROR(HYPERLINK("#Main!A"&amp;MATCH(A68,Main!A:A,0),"Open"),HYPERLINK("#Main!A1","Open"))</f>
        <v>Open</v>
      </c>
      <c r="F68" s="9"/>
    </row>
    <row r="69" spans="1:6" ht="30" customHeight="1" x14ac:dyDescent="0.25">
      <c r="A69" s="58" t="s">
        <v>99</v>
      </c>
      <c r="B69" s="11">
        <v>0</v>
      </c>
      <c r="C69" s="55"/>
      <c r="D69" s="56" t="b">
        <v>1</v>
      </c>
      <c r="E69" t="str">
        <f>IFERROR(HYPERLINK("#Main!A"&amp;MATCH(A69,Main!A:A,0),"Open"),HYPERLINK("#Main!A1","Open"))</f>
        <v>Open</v>
      </c>
    </row>
    <row r="70" spans="1:6" ht="30" customHeight="1" x14ac:dyDescent="0.25">
      <c r="A70" s="59" t="s">
        <v>226</v>
      </c>
      <c r="B70" s="8">
        <v>0</v>
      </c>
      <c r="C70" s="51"/>
      <c r="D70" s="54" t="b">
        <v>1</v>
      </c>
      <c r="E70" s="9" t="str">
        <f>IFERROR(HYPERLINK("#Main!A"&amp;MATCH(A70,Main!A:A,0),"Open"),HYPERLINK("#Main!A1","Open"))</f>
        <v>Open</v>
      </c>
      <c r="F70" s="9"/>
    </row>
    <row r="71" spans="1:6" ht="30" customHeight="1" x14ac:dyDescent="0.25">
      <c r="A71" s="58" t="s">
        <v>234</v>
      </c>
      <c r="B71" s="11">
        <v>0</v>
      </c>
      <c r="C71" s="55"/>
      <c r="D71" s="56" t="b">
        <v>1</v>
      </c>
      <c r="E71" t="str">
        <f>IFERROR(HYPERLINK("#Main!A"&amp;MATCH(A71,Main!A:A,0),"Open"),HYPERLINK("#Main!A1","Open"))</f>
        <v>Open</v>
      </c>
    </row>
    <row r="72" spans="1:6" ht="30" customHeight="1" x14ac:dyDescent="0.25">
      <c r="A72" s="59" t="s">
        <v>218</v>
      </c>
      <c r="B72" s="8">
        <v>0</v>
      </c>
      <c r="C72" s="51"/>
      <c r="D72" s="54" t="b">
        <v>1</v>
      </c>
      <c r="E72" s="9" t="str">
        <f>IFERROR(HYPERLINK("#Main!A"&amp;MATCH(A72,Main!A:A,0),"Open"),HYPERLINK("#Main!A1","Open"))</f>
        <v>Open</v>
      </c>
      <c r="F72" s="9"/>
    </row>
    <row r="73" spans="1:6" ht="30" customHeight="1" x14ac:dyDescent="0.25">
      <c r="A73" s="58" t="s">
        <v>342</v>
      </c>
      <c r="B73" s="11">
        <v>0</v>
      </c>
      <c r="C73" s="55"/>
      <c r="D73" s="56" t="b">
        <v>1</v>
      </c>
      <c r="E73" t="str">
        <f>IFERROR(HYPERLINK("#Main!A"&amp;MATCH(A73,Main!A:A,0),"Open"),HYPERLINK("#Main!A1","Open"))</f>
        <v>Open</v>
      </c>
    </row>
    <row r="74" spans="1:6" ht="30" customHeight="1" x14ac:dyDescent="0.25">
      <c r="A74" s="59" t="s">
        <v>774</v>
      </c>
      <c r="B74" s="8">
        <v>0</v>
      </c>
      <c r="C74" s="51"/>
      <c r="D74" s="54" t="b">
        <v>1</v>
      </c>
      <c r="E74" s="9" t="str">
        <f>IFERROR(HYPERLINK("#Main!A"&amp;MATCH(A74,Main!A:A,0),"Open"),HYPERLINK("#Main!A1","Open"))</f>
        <v>Open</v>
      </c>
      <c r="F74" s="9"/>
    </row>
    <row r="75" spans="1:6" ht="30" customHeight="1" x14ac:dyDescent="0.25">
      <c r="A75" s="58" t="s">
        <v>750</v>
      </c>
      <c r="B75" s="11">
        <v>0</v>
      </c>
      <c r="C75" s="55"/>
      <c r="D75" s="56" t="b">
        <v>1</v>
      </c>
      <c r="E75" t="str">
        <f>IFERROR(HYPERLINK("#Main!A"&amp;MATCH(A75,Main!A:A,0),"Open"),HYPERLINK("#Main!A1","Open"))</f>
        <v>Open</v>
      </c>
    </row>
    <row r="76" spans="1:6" ht="30" customHeight="1" x14ac:dyDescent="0.25">
      <c r="A76" s="59" t="s">
        <v>465</v>
      </c>
      <c r="B76" s="8">
        <v>0</v>
      </c>
      <c r="C76" s="51"/>
      <c r="D76" s="54" t="b">
        <v>1</v>
      </c>
      <c r="E76" s="9" t="str">
        <f>IFERROR(HYPERLINK("#Main!A"&amp;MATCH(A76,Main!A:A,0),"Open"),HYPERLINK("#Main!A1","Open"))</f>
        <v>Open</v>
      </c>
      <c r="F76" s="9"/>
    </row>
    <row r="77" spans="1:6" ht="30" customHeight="1" x14ac:dyDescent="0.25">
      <c r="A77" s="58" t="s">
        <v>457</v>
      </c>
      <c r="B77" s="11">
        <v>0</v>
      </c>
      <c r="C77" s="55"/>
      <c r="D77" s="56" t="b">
        <v>1</v>
      </c>
      <c r="E77" t="str">
        <f>IFERROR(HYPERLINK("#Main!A"&amp;MATCH(A77,Main!A:A,0),"Open"),HYPERLINK("#Main!A1","Open"))</f>
        <v>Open</v>
      </c>
    </row>
    <row r="78" spans="1:6" ht="30" customHeight="1" x14ac:dyDescent="0.25">
      <c r="A78" s="59" t="s">
        <v>449</v>
      </c>
      <c r="B78" s="8">
        <v>0</v>
      </c>
      <c r="C78" s="51"/>
      <c r="D78" s="54" t="b">
        <v>1</v>
      </c>
      <c r="E78" s="9" t="str">
        <f>IFERROR(HYPERLINK("#Main!A"&amp;MATCH(A78,Main!A:A,0),"Open"),HYPERLINK("#Main!A1","Open"))</f>
        <v>Open</v>
      </c>
      <c r="F78" s="9"/>
    </row>
    <row r="79" spans="1:6" ht="30" customHeight="1" x14ac:dyDescent="0.25">
      <c r="A79" s="58" t="s">
        <v>444</v>
      </c>
      <c r="B79" s="11">
        <v>0</v>
      </c>
      <c r="C79" s="55"/>
      <c r="D79" s="56" t="b">
        <v>1</v>
      </c>
      <c r="E79" t="str">
        <f>IFERROR(HYPERLINK("#Main!A"&amp;MATCH(A79,Main!A:A,0),"Open"),HYPERLINK("#Main!A1","Open"))</f>
        <v>Open</v>
      </c>
    </row>
    <row r="80" spans="1:6" ht="30" customHeight="1" x14ac:dyDescent="0.25">
      <c r="A80" s="59" t="s">
        <v>330</v>
      </c>
      <c r="B80" s="8">
        <v>0</v>
      </c>
      <c r="C80" s="51"/>
      <c r="D80" s="54" t="b">
        <v>1</v>
      </c>
      <c r="E80" s="9" t="str">
        <f>IFERROR(HYPERLINK("#Main!A"&amp;MATCH(A80,Main!A:A,0),"Open"),HYPERLINK("#Main!A1","Open"))</f>
        <v>Open</v>
      </c>
      <c r="F80" s="9"/>
    </row>
    <row r="81" spans="1:6" ht="30" customHeight="1" x14ac:dyDescent="0.25">
      <c r="A81" s="58" t="s">
        <v>782</v>
      </c>
      <c r="B81" s="11">
        <v>0</v>
      </c>
      <c r="C81" s="55"/>
      <c r="D81" s="56" t="b">
        <v>1</v>
      </c>
      <c r="E81" t="str">
        <f>IFERROR(HYPERLINK("#Main!A"&amp;MATCH(A81,Main!A:A,0),"Open"),HYPERLINK("#Main!A1","Open"))</f>
        <v>Open</v>
      </c>
    </row>
    <row r="82" spans="1:6" ht="30" customHeight="1" x14ac:dyDescent="0.25">
      <c r="A82" s="59" t="s">
        <v>720</v>
      </c>
      <c r="B82" s="8">
        <v>0</v>
      </c>
      <c r="C82" s="51"/>
      <c r="D82" s="54" t="b">
        <v>1</v>
      </c>
      <c r="E82" s="9" t="str">
        <f>IFERROR(HYPERLINK("#Main!A"&amp;MATCH(A82,Main!A:A,0),"Open"),HYPERLINK("#Main!A1","Open"))</f>
        <v>Open</v>
      </c>
      <c r="F82" s="9"/>
    </row>
    <row r="83" spans="1:6" ht="30" customHeight="1" x14ac:dyDescent="0.25">
      <c r="A83" s="58" t="s">
        <v>635</v>
      </c>
      <c r="B83" s="11">
        <v>0</v>
      </c>
      <c r="C83" s="55"/>
      <c r="D83" s="56" t="b">
        <v>1</v>
      </c>
      <c r="E83" t="str">
        <f>IFERROR(HYPERLINK("#Main!A"&amp;MATCH(A83,Main!A:A,0),"Open"),HYPERLINK("#Main!A1","Open"))</f>
        <v>Open</v>
      </c>
    </row>
    <row r="84" spans="1:6" ht="30" customHeight="1" x14ac:dyDescent="0.25">
      <c r="A84" s="59" t="s">
        <v>180</v>
      </c>
      <c r="B84" s="8">
        <v>0</v>
      </c>
      <c r="C84" s="51"/>
      <c r="D84" s="54" t="b">
        <v>1</v>
      </c>
      <c r="E84" s="9" t="str">
        <f>IFERROR(HYPERLINK("#Main!A"&amp;MATCH(A84,Main!A:A,0),"Open"),HYPERLINK("#Main!A1","Open"))</f>
        <v>Open</v>
      </c>
      <c r="F84" s="9"/>
    </row>
    <row r="85" spans="1:6" ht="30" customHeight="1" x14ac:dyDescent="0.25">
      <c r="A85" s="58" t="s">
        <v>698</v>
      </c>
      <c r="B85" s="11">
        <v>0</v>
      </c>
      <c r="C85" s="55"/>
      <c r="D85" s="56" t="b">
        <v>1</v>
      </c>
      <c r="E85" t="str">
        <f>IFERROR(HYPERLINK("#Main!A"&amp;MATCH(A85,Main!A:A,0),"Open"),HYPERLINK("#Main!A1","Open"))</f>
        <v>Open</v>
      </c>
    </row>
    <row r="86" spans="1:6" ht="30" customHeight="1" x14ac:dyDescent="0.25">
      <c r="A86" s="59" t="s">
        <v>666</v>
      </c>
      <c r="B86" s="8">
        <v>0</v>
      </c>
      <c r="C86" s="51"/>
      <c r="D86" s="54" t="b">
        <v>1</v>
      </c>
      <c r="E86" s="9" t="str">
        <f>IFERROR(HYPERLINK("#Main!A"&amp;MATCH(A86,Main!A:A,0),"Open"),HYPERLINK("#Main!A1","Open"))</f>
        <v>Open</v>
      </c>
      <c r="F86" s="9"/>
    </row>
  </sheetData>
  <autoFilter ref="A1:F86" xr:uid="{00000000-0009-0000-0000-000016000000}"/>
  <dataValidations count="6">
    <dataValidation type="custom" allowBlank="1" showInputMessage="1" promptTitle="URL" prompt="URL. Use this URL to inspect the page directly or jump to related tabs." sqref="A1" xr:uid="{00000000-0002-0000-1600-000000000000}">
      <formula1>TRUE</formula1>
    </dataValidation>
    <dataValidation type="custom" allowBlank="1" showInputMessage="1" promptTitle="Inlinks Count" prompt="Link quality and crawl-path metric. Fix: repair broken links and improve internal linking relevance." sqref="B1" xr:uid="{00000000-0002-0000-1600-000001000000}">
      <formula1>TRUE</formula1>
    </dataValidation>
    <dataValidation type="custom" allowBlank="1" showInputMessage="1" promptTitle="Inlinks URLs" prompt="Inlinks URLs. Use this URL to inspect the page directly or jump to related tabs." sqref="C1" xr:uid="{00000000-0002-0000-1600-000002000000}">
      <formula1>TRUE</formula1>
    </dataValidation>
    <dataValidation type="custom" allowBlank="1" showInputMessage="1" promptTitle="Orphan Candidate" prompt="Orphan Candidate. Review this metric to identify risk, then use linked tabs for details and remediation." sqref="D1" xr:uid="{00000000-0002-0000-1600-000003000000}">
      <formula1>TRUE</formula1>
    </dataValidation>
    <dataValidation type="custom" allowBlank="1" showInputMessage="1" promptTitle="Open in Main" prompt="Navigation helper. Click to jump directly to the related record in another tab." sqref="E1" xr:uid="{00000000-0002-0000-1600-000004000000}">
      <formula1>TRUE</formula1>
    </dataValidation>
    <dataValidation type="custom" allowBlank="1" showInputMessage="1" promptTitle="BACK TO DASHBOARD" prompt="BACK TO DASHBOARD. Review this metric to identify risk, then use linked tabs for details and remediation." sqref="F1" xr:uid="{00000000-0002-0000-1600-000005000000}">
      <formula1>TRUE</formula1>
    </dataValidation>
  </dataValidations>
  <hyperlinks>
    <hyperlink ref="F1" location="Dashboard!A1" display="BACK TO DASHBOARD" xr:uid="{00000000-0004-0000-1600-000000000000}"/>
    <hyperlink ref="A2" r:id="rId1" xr:uid="{00000000-0004-0000-1600-000001000000}"/>
    <hyperlink ref="A3" r:id="rId2" xr:uid="{00000000-0004-0000-1600-000002000000}"/>
    <hyperlink ref="A4" r:id="rId3" xr:uid="{00000000-0004-0000-1600-000003000000}"/>
    <hyperlink ref="A5" r:id="rId4" xr:uid="{00000000-0004-0000-1600-000004000000}"/>
    <hyperlink ref="A6" r:id="rId5" xr:uid="{00000000-0004-0000-1600-000005000000}"/>
    <hyperlink ref="A7" r:id="rId6" xr:uid="{00000000-0004-0000-1600-000006000000}"/>
    <hyperlink ref="A8" r:id="rId7" xr:uid="{00000000-0004-0000-1600-000007000000}"/>
    <hyperlink ref="A9" r:id="rId8" xr:uid="{00000000-0004-0000-1600-000008000000}"/>
    <hyperlink ref="A10" r:id="rId9" xr:uid="{00000000-0004-0000-1600-000009000000}"/>
    <hyperlink ref="A11" r:id="rId10" xr:uid="{00000000-0004-0000-1600-00000A000000}"/>
    <hyperlink ref="A12" r:id="rId11" xr:uid="{00000000-0004-0000-1600-00000B000000}"/>
    <hyperlink ref="A13" r:id="rId12" xr:uid="{00000000-0004-0000-1600-00000C000000}"/>
    <hyperlink ref="A14" r:id="rId13" xr:uid="{00000000-0004-0000-1600-00000D000000}"/>
    <hyperlink ref="A15" r:id="rId14" xr:uid="{00000000-0004-0000-1600-00000E000000}"/>
    <hyperlink ref="A16" r:id="rId15" xr:uid="{00000000-0004-0000-1600-00000F000000}"/>
    <hyperlink ref="A17" r:id="rId16" xr:uid="{00000000-0004-0000-1600-000010000000}"/>
    <hyperlink ref="A18" r:id="rId17" xr:uid="{00000000-0004-0000-1600-000011000000}"/>
    <hyperlink ref="A19" r:id="rId18" xr:uid="{00000000-0004-0000-1600-000012000000}"/>
    <hyperlink ref="A20" r:id="rId19" xr:uid="{00000000-0004-0000-1600-000013000000}"/>
    <hyperlink ref="A21" r:id="rId20" xr:uid="{00000000-0004-0000-1600-000014000000}"/>
    <hyperlink ref="A22" r:id="rId21" xr:uid="{00000000-0004-0000-1600-000015000000}"/>
    <hyperlink ref="A23" r:id="rId22" xr:uid="{00000000-0004-0000-1600-000016000000}"/>
    <hyperlink ref="A24" r:id="rId23" xr:uid="{00000000-0004-0000-1600-000017000000}"/>
    <hyperlink ref="A25" r:id="rId24" xr:uid="{00000000-0004-0000-1600-000018000000}"/>
    <hyperlink ref="A26" r:id="rId25" xr:uid="{00000000-0004-0000-1600-000019000000}"/>
    <hyperlink ref="A27" r:id="rId26" xr:uid="{00000000-0004-0000-1600-00001A000000}"/>
    <hyperlink ref="A28" r:id="rId27" xr:uid="{00000000-0004-0000-1600-00001B000000}"/>
    <hyperlink ref="A29" r:id="rId28" xr:uid="{00000000-0004-0000-1600-00001C000000}"/>
    <hyperlink ref="A30" r:id="rId29" xr:uid="{00000000-0004-0000-1600-00001D000000}"/>
    <hyperlink ref="A31" r:id="rId30" xr:uid="{00000000-0004-0000-1600-00001E000000}"/>
    <hyperlink ref="A32" r:id="rId31" xr:uid="{00000000-0004-0000-1600-00001F000000}"/>
    <hyperlink ref="A33" r:id="rId32" xr:uid="{00000000-0004-0000-1600-000020000000}"/>
    <hyperlink ref="A34" r:id="rId33" xr:uid="{00000000-0004-0000-1600-000021000000}"/>
    <hyperlink ref="A35" r:id="rId34" xr:uid="{00000000-0004-0000-1600-000022000000}"/>
    <hyperlink ref="A36" r:id="rId35" xr:uid="{00000000-0004-0000-1600-000023000000}"/>
    <hyperlink ref="A37" r:id="rId36" xr:uid="{00000000-0004-0000-1600-000024000000}"/>
    <hyperlink ref="A38" r:id="rId37" xr:uid="{00000000-0004-0000-1600-000025000000}"/>
    <hyperlink ref="A39" r:id="rId38" xr:uid="{00000000-0004-0000-1600-000026000000}"/>
    <hyperlink ref="A40" r:id="rId39" xr:uid="{00000000-0004-0000-1600-000027000000}"/>
    <hyperlink ref="A41" r:id="rId40" xr:uid="{00000000-0004-0000-1600-000028000000}"/>
    <hyperlink ref="A42" r:id="rId41" xr:uid="{00000000-0004-0000-1600-000029000000}"/>
    <hyperlink ref="A43" r:id="rId42" xr:uid="{00000000-0004-0000-1600-00002A000000}"/>
    <hyperlink ref="A44" r:id="rId43" xr:uid="{00000000-0004-0000-1600-00002B000000}"/>
    <hyperlink ref="A45" r:id="rId44" xr:uid="{00000000-0004-0000-1600-00002C000000}"/>
    <hyperlink ref="A46" r:id="rId45" xr:uid="{00000000-0004-0000-1600-00002D000000}"/>
    <hyperlink ref="A47" r:id="rId46" xr:uid="{00000000-0004-0000-1600-00002E000000}"/>
    <hyperlink ref="A48" r:id="rId47" xr:uid="{00000000-0004-0000-1600-00002F000000}"/>
    <hyperlink ref="A49" r:id="rId48" xr:uid="{00000000-0004-0000-1600-000030000000}"/>
    <hyperlink ref="A50" r:id="rId49" xr:uid="{00000000-0004-0000-1600-000031000000}"/>
    <hyperlink ref="A51" r:id="rId50" xr:uid="{00000000-0004-0000-1600-000032000000}"/>
    <hyperlink ref="A52" r:id="rId51" xr:uid="{00000000-0004-0000-1600-000033000000}"/>
    <hyperlink ref="A53" r:id="rId52" xr:uid="{00000000-0004-0000-1600-000034000000}"/>
    <hyperlink ref="A54" r:id="rId53" xr:uid="{00000000-0004-0000-1600-000035000000}"/>
    <hyperlink ref="A55" r:id="rId54" xr:uid="{00000000-0004-0000-1600-000036000000}"/>
    <hyperlink ref="A56" r:id="rId55" xr:uid="{00000000-0004-0000-1600-000037000000}"/>
    <hyperlink ref="A57" r:id="rId56" xr:uid="{00000000-0004-0000-1600-000038000000}"/>
    <hyperlink ref="A58" r:id="rId57" xr:uid="{00000000-0004-0000-1600-000039000000}"/>
    <hyperlink ref="A59" r:id="rId58" xr:uid="{00000000-0004-0000-1600-00003A000000}"/>
    <hyperlink ref="A60" r:id="rId59" xr:uid="{00000000-0004-0000-1600-00003B000000}"/>
    <hyperlink ref="A61" r:id="rId60" xr:uid="{00000000-0004-0000-1600-00003C000000}"/>
    <hyperlink ref="A62" r:id="rId61" xr:uid="{00000000-0004-0000-1600-00003D000000}"/>
    <hyperlink ref="A63" r:id="rId62" xr:uid="{00000000-0004-0000-1600-00003E000000}"/>
    <hyperlink ref="A64" r:id="rId63" xr:uid="{00000000-0004-0000-1600-00003F000000}"/>
    <hyperlink ref="A65" r:id="rId64" xr:uid="{00000000-0004-0000-1600-000040000000}"/>
    <hyperlink ref="A66" r:id="rId65" xr:uid="{00000000-0004-0000-1600-000041000000}"/>
    <hyperlink ref="A67" r:id="rId66" xr:uid="{00000000-0004-0000-1600-000042000000}"/>
    <hyperlink ref="A68" r:id="rId67" xr:uid="{00000000-0004-0000-1600-000043000000}"/>
    <hyperlink ref="A69" r:id="rId68" xr:uid="{00000000-0004-0000-1600-000044000000}"/>
    <hyperlink ref="A70" r:id="rId69" xr:uid="{00000000-0004-0000-1600-000045000000}"/>
    <hyperlink ref="A71" r:id="rId70" xr:uid="{00000000-0004-0000-1600-000046000000}"/>
    <hyperlink ref="A72" r:id="rId71" xr:uid="{00000000-0004-0000-1600-000047000000}"/>
    <hyperlink ref="A73" r:id="rId72" xr:uid="{00000000-0004-0000-1600-000048000000}"/>
    <hyperlink ref="A74" r:id="rId73" xr:uid="{00000000-0004-0000-1600-000049000000}"/>
    <hyperlink ref="A75" r:id="rId74" xr:uid="{00000000-0004-0000-1600-00004A000000}"/>
    <hyperlink ref="A76" r:id="rId75" xr:uid="{00000000-0004-0000-1600-00004B000000}"/>
    <hyperlink ref="A77" r:id="rId76" xr:uid="{00000000-0004-0000-1600-00004C000000}"/>
    <hyperlink ref="A78" r:id="rId77" xr:uid="{00000000-0004-0000-1600-00004D000000}"/>
    <hyperlink ref="A79" r:id="rId78" xr:uid="{00000000-0004-0000-1600-00004E000000}"/>
    <hyperlink ref="A80" r:id="rId79" xr:uid="{00000000-0004-0000-1600-00004F000000}"/>
    <hyperlink ref="A81" r:id="rId80" xr:uid="{00000000-0004-0000-1600-000050000000}"/>
    <hyperlink ref="A82" r:id="rId81" xr:uid="{00000000-0004-0000-1600-000051000000}"/>
    <hyperlink ref="A83" r:id="rId82" xr:uid="{00000000-0004-0000-1600-000052000000}"/>
    <hyperlink ref="A84" r:id="rId83" xr:uid="{00000000-0004-0000-1600-000053000000}"/>
    <hyperlink ref="A85" r:id="rId84" xr:uid="{00000000-0004-0000-1600-000054000000}"/>
    <hyperlink ref="A86" r:id="rId85" xr:uid="{00000000-0004-0000-1600-000055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86"/>
  <sheetViews>
    <sheetView workbookViewId="0">
      <pane ySplit="1" topLeftCell="A2" activePane="bottomLeft" state="frozen"/>
      <selection pane="bottomLeft"/>
    </sheetView>
  </sheetViews>
  <sheetFormatPr defaultRowHeight="15" x14ac:dyDescent="0.25"/>
  <cols>
    <col min="1" max="1" width="60" customWidth="1"/>
    <col min="2" max="2" width="45" customWidth="1"/>
    <col min="3" max="3" width="13" customWidth="1"/>
    <col min="4" max="4" width="24" customWidth="1"/>
    <col min="5" max="5" width="23" customWidth="1"/>
    <col min="6" max="6" width="40" customWidth="1"/>
    <col min="7" max="7" width="19" customWidth="1"/>
    <col min="8" max="8" width="22" customWidth="1"/>
    <col min="9" max="9" width="20" customWidth="1"/>
    <col min="10" max="10" width="21" customWidth="1"/>
    <col min="11" max="11" width="22" customWidth="1"/>
    <col min="12" max="12" width="20" customWidth="1"/>
  </cols>
  <sheetData>
    <row r="1" spans="1:13" ht="45" x14ac:dyDescent="0.25">
      <c r="A1" s="4" t="s">
        <v>3303</v>
      </c>
      <c r="B1" s="4" t="s">
        <v>925</v>
      </c>
      <c r="C1" s="4" t="s">
        <v>888</v>
      </c>
      <c r="D1" s="4" t="s">
        <v>3304</v>
      </c>
      <c r="E1" s="4" t="s">
        <v>3305</v>
      </c>
      <c r="F1" s="4" t="s">
        <v>3306</v>
      </c>
      <c r="G1" s="4" t="s">
        <v>3307</v>
      </c>
      <c r="H1" s="4" t="s">
        <v>3308</v>
      </c>
      <c r="I1" s="4" t="s">
        <v>3309</v>
      </c>
      <c r="J1" s="4" t="s">
        <v>3310</v>
      </c>
      <c r="K1" s="4" t="s">
        <v>3311</v>
      </c>
      <c r="L1" s="4" t="s">
        <v>3312</v>
      </c>
      <c r="M1" s="39" t="s">
        <v>136</v>
      </c>
    </row>
    <row r="2" spans="1:13" x14ac:dyDescent="0.25">
      <c r="A2" s="78" t="s">
        <v>140</v>
      </c>
      <c r="B2" s="51" t="s">
        <v>140</v>
      </c>
      <c r="C2" s="6">
        <v>200</v>
      </c>
      <c r="D2" s="6" t="b">
        <v>0</v>
      </c>
      <c r="E2" s="51" t="b">
        <v>0</v>
      </c>
      <c r="F2" s="8" t="b">
        <v>0</v>
      </c>
      <c r="G2" s="79" t="b">
        <v>0</v>
      </c>
      <c r="H2" s="6" t="b">
        <v>0</v>
      </c>
      <c r="I2" s="6" t="b">
        <v>0</v>
      </c>
      <c r="J2" s="54" t="s">
        <v>3313</v>
      </c>
      <c r="K2" s="8" t="s">
        <v>993</v>
      </c>
      <c r="L2" s="8" t="s">
        <v>994</v>
      </c>
      <c r="M2" s="9"/>
    </row>
    <row r="3" spans="1:13" ht="30" customHeight="1" x14ac:dyDescent="0.25">
      <c r="A3" s="78" t="s">
        <v>682</v>
      </c>
      <c r="B3" s="55" t="s">
        <v>682</v>
      </c>
      <c r="C3" s="6">
        <v>200</v>
      </c>
      <c r="D3" s="6" t="b">
        <v>0</v>
      </c>
      <c r="E3" s="55" t="b">
        <v>0</v>
      </c>
      <c r="F3" s="11" t="b">
        <v>0</v>
      </c>
      <c r="G3" s="79" t="b">
        <v>0</v>
      </c>
      <c r="H3" s="6" t="b">
        <v>0</v>
      </c>
      <c r="I3" s="6" t="b">
        <v>0</v>
      </c>
      <c r="J3" s="56" t="s">
        <v>3314</v>
      </c>
      <c r="K3" s="11" t="s">
        <v>984</v>
      </c>
      <c r="L3" s="11" t="s">
        <v>985</v>
      </c>
    </row>
    <row r="4" spans="1:13" ht="30" customHeight="1" x14ac:dyDescent="0.25">
      <c r="A4" s="78" t="s">
        <v>674</v>
      </c>
      <c r="B4" s="51" t="s">
        <v>674</v>
      </c>
      <c r="C4" s="6">
        <v>200</v>
      </c>
      <c r="D4" s="6" t="b">
        <v>0</v>
      </c>
      <c r="E4" s="51" t="b">
        <v>0</v>
      </c>
      <c r="F4" s="8" t="b">
        <v>0</v>
      </c>
      <c r="G4" s="79" t="b">
        <v>0</v>
      </c>
      <c r="H4" s="6" t="b">
        <v>0</v>
      </c>
      <c r="I4" s="6" t="b">
        <v>0</v>
      </c>
      <c r="J4" s="54" t="s">
        <v>3315</v>
      </c>
      <c r="K4" s="8" t="s">
        <v>984</v>
      </c>
      <c r="L4" s="8" t="s">
        <v>985</v>
      </c>
      <c r="M4" s="9"/>
    </row>
    <row r="5" spans="1:13" ht="30" customHeight="1" x14ac:dyDescent="0.25">
      <c r="A5" s="78" t="s">
        <v>642</v>
      </c>
      <c r="B5" s="55" t="s">
        <v>642</v>
      </c>
      <c r="C5" s="6">
        <v>200</v>
      </c>
      <c r="D5" s="6" t="b">
        <v>0</v>
      </c>
      <c r="E5" s="55" t="b">
        <v>0</v>
      </c>
      <c r="F5" s="11" t="b">
        <v>0</v>
      </c>
      <c r="G5" s="79" t="b">
        <v>0</v>
      </c>
      <c r="H5" s="6" t="b">
        <v>0</v>
      </c>
      <c r="I5" s="6" t="b">
        <v>0</v>
      </c>
      <c r="J5" s="56" t="s">
        <v>3316</v>
      </c>
      <c r="K5" s="11" t="s">
        <v>984</v>
      </c>
      <c r="L5" s="11" t="s">
        <v>985</v>
      </c>
    </row>
    <row r="6" spans="1:13" ht="30" customHeight="1" x14ac:dyDescent="0.25">
      <c r="A6" s="78" t="s">
        <v>322</v>
      </c>
      <c r="B6" s="51" t="s">
        <v>322</v>
      </c>
      <c r="C6" s="6">
        <v>200</v>
      </c>
      <c r="D6" s="6" t="b">
        <v>0</v>
      </c>
      <c r="E6" s="51" t="b">
        <v>0</v>
      </c>
      <c r="F6" s="8" t="b">
        <v>0</v>
      </c>
      <c r="G6" s="79" t="b">
        <v>0</v>
      </c>
      <c r="H6" s="6" t="b">
        <v>0</v>
      </c>
      <c r="I6" s="6" t="b">
        <v>0</v>
      </c>
      <c r="J6" s="54" t="s">
        <v>3317</v>
      </c>
      <c r="K6" s="8" t="s">
        <v>984</v>
      </c>
      <c r="L6" s="8" t="s">
        <v>985</v>
      </c>
      <c r="M6" s="9"/>
    </row>
    <row r="7" spans="1:13" ht="30" customHeight="1" x14ac:dyDescent="0.25">
      <c r="A7" s="78" t="s">
        <v>519</v>
      </c>
      <c r="B7" s="55" t="s">
        <v>519</v>
      </c>
      <c r="C7" s="6">
        <v>200</v>
      </c>
      <c r="D7" s="6" t="b">
        <v>0</v>
      </c>
      <c r="E7" s="55" t="b">
        <v>0</v>
      </c>
      <c r="F7" s="11" t="b">
        <v>0</v>
      </c>
      <c r="G7" s="79" t="b">
        <v>0</v>
      </c>
      <c r="H7" s="6" t="b">
        <v>0</v>
      </c>
      <c r="I7" s="6" t="b">
        <v>0</v>
      </c>
      <c r="J7" s="56" t="s">
        <v>3318</v>
      </c>
      <c r="K7" s="11" t="s">
        <v>984</v>
      </c>
      <c r="L7" s="11" t="s">
        <v>985</v>
      </c>
    </row>
    <row r="8" spans="1:13" ht="30" customHeight="1" x14ac:dyDescent="0.25">
      <c r="A8" s="78" t="s">
        <v>551</v>
      </c>
      <c r="B8" s="51" t="s">
        <v>551</v>
      </c>
      <c r="C8" s="6">
        <v>200</v>
      </c>
      <c r="D8" s="6" t="b">
        <v>0</v>
      </c>
      <c r="E8" s="51" t="b">
        <v>0</v>
      </c>
      <c r="F8" s="8" t="b">
        <v>0</v>
      </c>
      <c r="G8" s="79" t="b">
        <v>0</v>
      </c>
      <c r="H8" s="6" t="b">
        <v>0</v>
      </c>
      <c r="I8" s="6" t="b">
        <v>0</v>
      </c>
      <c r="J8" s="54" t="s">
        <v>3319</v>
      </c>
      <c r="K8" s="8" t="s">
        <v>984</v>
      </c>
      <c r="L8" s="8" t="s">
        <v>985</v>
      </c>
      <c r="M8" s="9"/>
    </row>
    <row r="9" spans="1:13" ht="30" customHeight="1" x14ac:dyDescent="0.25">
      <c r="A9" s="78" t="s">
        <v>606</v>
      </c>
      <c r="B9" s="55" t="s">
        <v>606</v>
      </c>
      <c r="C9" s="6">
        <v>200</v>
      </c>
      <c r="D9" s="6" t="b">
        <v>0</v>
      </c>
      <c r="E9" s="55" t="b">
        <v>0</v>
      </c>
      <c r="F9" s="11" t="b">
        <v>0</v>
      </c>
      <c r="G9" s="79" t="b">
        <v>0</v>
      </c>
      <c r="H9" s="6" t="b">
        <v>0</v>
      </c>
      <c r="I9" s="6" t="b">
        <v>0</v>
      </c>
      <c r="J9" s="56" t="s">
        <v>3320</v>
      </c>
      <c r="K9" s="11" t="s">
        <v>984</v>
      </c>
      <c r="L9" s="11" t="s">
        <v>985</v>
      </c>
    </row>
    <row r="10" spans="1:13" ht="30" customHeight="1" x14ac:dyDescent="0.25">
      <c r="A10" s="78" t="s">
        <v>512</v>
      </c>
      <c r="B10" s="51" t="s">
        <v>512</v>
      </c>
      <c r="C10" s="6">
        <v>200</v>
      </c>
      <c r="D10" s="6" t="b">
        <v>0</v>
      </c>
      <c r="E10" s="51" t="b">
        <v>0</v>
      </c>
      <c r="F10" s="8" t="b">
        <v>0</v>
      </c>
      <c r="G10" s="79" t="b">
        <v>0</v>
      </c>
      <c r="H10" s="6" t="b">
        <v>0</v>
      </c>
      <c r="I10" s="6" t="b">
        <v>0</v>
      </c>
      <c r="J10" s="54" t="s">
        <v>3321</v>
      </c>
      <c r="K10" s="8" t="s">
        <v>984</v>
      </c>
      <c r="L10" s="8" t="s">
        <v>985</v>
      </c>
      <c r="M10" s="9"/>
    </row>
    <row r="11" spans="1:13" ht="30" customHeight="1" x14ac:dyDescent="0.25">
      <c r="A11" s="78" t="s">
        <v>582</v>
      </c>
      <c r="B11" s="55" t="s">
        <v>582</v>
      </c>
      <c r="C11" s="6">
        <v>200</v>
      </c>
      <c r="D11" s="6" t="b">
        <v>0</v>
      </c>
      <c r="E11" s="55" t="b">
        <v>0</v>
      </c>
      <c r="F11" s="11" t="b">
        <v>0</v>
      </c>
      <c r="G11" s="79" t="b">
        <v>0</v>
      </c>
      <c r="H11" s="6" t="b">
        <v>0</v>
      </c>
      <c r="I11" s="6" t="b">
        <v>0</v>
      </c>
      <c r="J11" s="56" t="s">
        <v>3322</v>
      </c>
      <c r="K11" s="11" t="s">
        <v>984</v>
      </c>
      <c r="L11" s="11" t="s">
        <v>985</v>
      </c>
    </row>
    <row r="12" spans="1:13" ht="30" customHeight="1" x14ac:dyDescent="0.25">
      <c r="A12" s="78" t="s">
        <v>658</v>
      </c>
      <c r="B12" s="51" t="s">
        <v>658</v>
      </c>
      <c r="C12" s="6">
        <v>200</v>
      </c>
      <c r="D12" s="6" t="b">
        <v>0</v>
      </c>
      <c r="E12" s="51" t="b">
        <v>0</v>
      </c>
      <c r="F12" s="8" t="b">
        <v>0</v>
      </c>
      <c r="G12" s="79" t="b">
        <v>0</v>
      </c>
      <c r="H12" s="6" t="b">
        <v>0</v>
      </c>
      <c r="I12" s="6" t="b">
        <v>0</v>
      </c>
      <c r="J12" s="54" t="s">
        <v>3323</v>
      </c>
      <c r="K12" s="8" t="s">
        <v>984</v>
      </c>
      <c r="L12" s="8" t="s">
        <v>985</v>
      </c>
      <c r="M12" s="9"/>
    </row>
    <row r="13" spans="1:13" ht="30" customHeight="1" x14ac:dyDescent="0.25">
      <c r="A13" s="78" t="s">
        <v>156</v>
      </c>
      <c r="B13" s="55" t="s">
        <v>156</v>
      </c>
      <c r="C13" s="6">
        <v>200</v>
      </c>
      <c r="D13" s="6" t="b">
        <v>0</v>
      </c>
      <c r="E13" s="55" t="b">
        <v>0</v>
      </c>
      <c r="F13" s="11" t="b">
        <v>0</v>
      </c>
      <c r="G13" s="79" t="b">
        <v>0</v>
      </c>
      <c r="H13" s="6" t="b">
        <v>0</v>
      </c>
      <c r="I13" s="6" t="b">
        <v>0</v>
      </c>
      <c r="J13" s="56" t="s">
        <v>3324</v>
      </c>
      <c r="K13" s="11" t="s">
        <v>984</v>
      </c>
      <c r="L13" s="11" t="s">
        <v>985</v>
      </c>
    </row>
    <row r="14" spans="1:13" ht="30" customHeight="1" x14ac:dyDescent="0.25">
      <c r="A14" s="78" t="s">
        <v>650</v>
      </c>
      <c r="B14" s="51" t="s">
        <v>650</v>
      </c>
      <c r="C14" s="6">
        <v>200</v>
      </c>
      <c r="D14" s="6" t="b">
        <v>0</v>
      </c>
      <c r="E14" s="51" t="b">
        <v>0</v>
      </c>
      <c r="F14" s="8" t="b">
        <v>0</v>
      </c>
      <c r="G14" s="79" t="b">
        <v>0</v>
      </c>
      <c r="H14" s="6" t="b">
        <v>0</v>
      </c>
      <c r="I14" s="6" t="b">
        <v>0</v>
      </c>
      <c r="J14" s="54" t="s">
        <v>3325</v>
      </c>
      <c r="K14" s="8" t="s">
        <v>984</v>
      </c>
      <c r="L14" s="8" t="s">
        <v>985</v>
      </c>
      <c r="M14" s="9"/>
    </row>
    <row r="15" spans="1:13" ht="30" customHeight="1" x14ac:dyDescent="0.25">
      <c r="A15" s="78" t="s">
        <v>704</v>
      </c>
      <c r="B15" s="55" t="s">
        <v>704</v>
      </c>
      <c r="C15" s="6">
        <v>200</v>
      </c>
      <c r="D15" s="6" t="b">
        <v>0</v>
      </c>
      <c r="E15" s="55" t="b">
        <v>0</v>
      </c>
      <c r="F15" s="11" t="b">
        <v>0</v>
      </c>
      <c r="G15" s="79" t="b">
        <v>0</v>
      </c>
      <c r="H15" s="6" t="b">
        <v>0</v>
      </c>
      <c r="I15" s="6" t="b">
        <v>0</v>
      </c>
      <c r="J15" s="56" t="s">
        <v>3326</v>
      </c>
      <c r="K15" s="11" t="s">
        <v>984</v>
      </c>
      <c r="L15" s="11" t="s">
        <v>985</v>
      </c>
    </row>
    <row r="16" spans="1:13" ht="30" customHeight="1" x14ac:dyDescent="0.25">
      <c r="A16" s="78" t="s">
        <v>148</v>
      </c>
      <c r="B16" s="51" t="s">
        <v>148</v>
      </c>
      <c r="C16" s="6">
        <v>200</v>
      </c>
      <c r="D16" s="6" t="b">
        <v>0</v>
      </c>
      <c r="E16" s="51" t="b">
        <v>0</v>
      </c>
      <c r="F16" s="8" t="b">
        <v>0</v>
      </c>
      <c r="G16" s="79" t="b">
        <v>0</v>
      </c>
      <c r="H16" s="6" t="b">
        <v>0</v>
      </c>
      <c r="I16" s="6" t="b">
        <v>0</v>
      </c>
      <c r="J16" s="54" t="s">
        <v>3327</v>
      </c>
      <c r="K16" s="8" t="s">
        <v>984</v>
      </c>
      <c r="L16" s="8" t="s">
        <v>985</v>
      </c>
      <c r="M16" s="9"/>
    </row>
    <row r="17" spans="1:13" ht="30" customHeight="1" x14ac:dyDescent="0.25">
      <c r="A17" s="78" t="s">
        <v>497</v>
      </c>
      <c r="B17" s="55" t="s">
        <v>497</v>
      </c>
      <c r="C17" s="6">
        <v>200</v>
      </c>
      <c r="D17" s="6" t="b">
        <v>0</v>
      </c>
      <c r="E17" s="55" t="b">
        <v>0</v>
      </c>
      <c r="F17" s="11" t="b">
        <v>0</v>
      </c>
      <c r="G17" s="79" t="b">
        <v>0</v>
      </c>
      <c r="H17" s="6" t="b">
        <v>0</v>
      </c>
      <c r="I17" s="6" t="b">
        <v>0</v>
      </c>
      <c r="J17" s="56" t="s">
        <v>3328</v>
      </c>
      <c r="K17" s="11" t="s">
        <v>984</v>
      </c>
      <c r="L17" s="11" t="s">
        <v>985</v>
      </c>
    </row>
    <row r="18" spans="1:13" ht="30" customHeight="1" x14ac:dyDescent="0.25">
      <c r="A18" s="78" t="s">
        <v>505</v>
      </c>
      <c r="B18" s="51" t="s">
        <v>505</v>
      </c>
      <c r="C18" s="6">
        <v>200</v>
      </c>
      <c r="D18" s="6" t="b">
        <v>0</v>
      </c>
      <c r="E18" s="51" t="b">
        <v>0</v>
      </c>
      <c r="F18" s="8" t="b">
        <v>0</v>
      </c>
      <c r="G18" s="79" t="b">
        <v>0</v>
      </c>
      <c r="H18" s="6" t="b">
        <v>0</v>
      </c>
      <c r="I18" s="6" t="b">
        <v>0</v>
      </c>
      <c r="J18" s="54" t="s">
        <v>3329</v>
      </c>
      <c r="K18" s="8" t="s">
        <v>984</v>
      </c>
      <c r="L18" s="8" t="s">
        <v>985</v>
      </c>
      <c r="M18" s="9"/>
    </row>
    <row r="19" spans="1:13" ht="30" customHeight="1" x14ac:dyDescent="0.25">
      <c r="A19" s="78" t="s">
        <v>690</v>
      </c>
      <c r="B19" s="55" t="s">
        <v>690</v>
      </c>
      <c r="C19" s="6">
        <v>200</v>
      </c>
      <c r="D19" s="6" t="b">
        <v>0</v>
      </c>
      <c r="E19" s="55" t="b">
        <v>0</v>
      </c>
      <c r="F19" s="11" t="b">
        <v>0</v>
      </c>
      <c r="G19" s="79" t="b">
        <v>0</v>
      </c>
      <c r="H19" s="6" t="b">
        <v>0</v>
      </c>
      <c r="I19" s="6" t="b">
        <v>0</v>
      </c>
      <c r="J19" s="56" t="s">
        <v>3330</v>
      </c>
      <c r="K19" s="11" t="s">
        <v>984</v>
      </c>
      <c r="L19" s="11" t="s">
        <v>985</v>
      </c>
    </row>
    <row r="20" spans="1:13" ht="30" customHeight="1" x14ac:dyDescent="0.25">
      <c r="A20" s="78" t="s">
        <v>306</v>
      </c>
      <c r="B20" s="51" t="s">
        <v>306</v>
      </c>
      <c r="C20" s="6">
        <v>200</v>
      </c>
      <c r="D20" s="6" t="b">
        <v>0</v>
      </c>
      <c r="E20" s="51" t="b">
        <v>0</v>
      </c>
      <c r="F20" s="8" t="b">
        <v>0</v>
      </c>
      <c r="G20" s="79" t="b">
        <v>0</v>
      </c>
      <c r="H20" s="6" t="b">
        <v>0</v>
      </c>
      <c r="I20" s="6" t="b">
        <v>0</v>
      </c>
      <c r="J20" s="54" t="s">
        <v>3331</v>
      </c>
      <c r="K20" s="8" t="s">
        <v>984</v>
      </c>
      <c r="L20" s="8" t="s">
        <v>985</v>
      </c>
      <c r="M20" s="9"/>
    </row>
    <row r="21" spans="1:13" ht="30" customHeight="1" x14ac:dyDescent="0.25">
      <c r="A21" s="78" t="s">
        <v>314</v>
      </c>
      <c r="B21" s="55" t="s">
        <v>314</v>
      </c>
      <c r="C21" s="6">
        <v>200</v>
      </c>
      <c r="D21" s="6" t="b">
        <v>0</v>
      </c>
      <c r="E21" s="55" t="b">
        <v>0</v>
      </c>
      <c r="F21" s="11" t="b">
        <v>0</v>
      </c>
      <c r="G21" s="79" t="b">
        <v>0</v>
      </c>
      <c r="H21" s="6" t="b">
        <v>0</v>
      </c>
      <c r="I21" s="6" t="b">
        <v>0</v>
      </c>
      <c r="J21" s="56" t="s">
        <v>3332</v>
      </c>
      <c r="K21" s="11" t="s">
        <v>984</v>
      </c>
      <c r="L21" s="11" t="s">
        <v>985</v>
      </c>
    </row>
    <row r="22" spans="1:13" ht="30" customHeight="1" x14ac:dyDescent="0.25">
      <c r="A22" s="78" t="s">
        <v>366</v>
      </c>
      <c r="B22" s="51" t="s">
        <v>366</v>
      </c>
      <c r="C22" s="6">
        <v>200</v>
      </c>
      <c r="D22" s="6" t="b">
        <v>0</v>
      </c>
      <c r="E22" s="51" t="b">
        <v>0</v>
      </c>
      <c r="F22" s="8" t="b">
        <v>0</v>
      </c>
      <c r="G22" s="79" t="b">
        <v>0</v>
      </c>
      <c r="H22" s="6" t="b">
        <v>0</v>
      </c>
      <c r="I22" s="6" t="b">
        <v>0</v>
      </c>
      <c r="J22" s="54" t="s">
        <v>3333</v>
      </c>
      <c r="K22" s="8" t="s">
        <v>984</v>
      </c>
      <c r="L22" s="8" t="s">
        <v>985</v>
      </c>
      <c r="M22" s="9"/>
    </row>
    <row r="23" spans="1:13" ht="30" customHeight="1" x14ac:dyDescent="0.25">
      <c r="A23" s="78" t="s">
        <v>417</v>
      </c>
      <c r="B23" s="55" t="s">
        <v>417</v>
      </c>
      <c r="C23" s="6">
        <v>200</v>
      </c>
      <c r="D23" s="6" t="b">
        <v>0</v>
      </c>
      <c r="E23" s="55" t="b">
        <v>0</v>
      </c>
      <c r="F23" s="11" t="b">
        <v>0</v>
      </c>
      <c r="G23" s="79" t="b">
        <v>0</v>
      </c>
      <c r="H23" s="6" t="b">
        <v>0</v>
      </c>
      <c r="I23" s="6" t="b">
        <v>0</v>
      </c>
      <c r="J23" s="56" t="s">
        <v>3334</v>
      </c>
      <c r="K23" s="11" t="s">
        <v>984</v>
      </c>
      <c r="L23" s="11" t="s">
        <v>985</v>
      </c>
    </row>
    <row r="24" spans="1:13" ht="30" customHeight="1" x14ac:dyDescent="0.25">
      <c r="A24" s="78" t="s">
        <v>290</v>
      </c>
      <c r="B24" s="51" t="s">
        <v>290</v>
      </c>
      <c r="C24" s="6">
        <v>200</v>
      </c>
      <c r="D24" s="6" t="b">
        <v>0</v>
      </c>
      <c r="E24" s="51" t="b">
        <v>0</v>
      </c>
      <c r="F24" s="8" t="b">
        <v>0</v>
      </c>
      <c r="G24" s="79" t="b">
        <v>0</v>
      </c>
      <c r="H24" s="6" t="b">
        <v>0</v>
      </c>
      <c r="I24" s="6" t="b">
        <v>0</v>
      </c>
      <c r="J24" s="54" t="s">
        <v>3335</v>
      </c>
      <c r="K24" s="8" t="s">
        <v>984</v>
      </c>
      <c r="L24" s="8" t="s">
        <v>985</v>
      </c>
      <c r="M24" s="9"/>
    </row>
    <row r="25" spans="1:13" ht="30" customHeight="1" x14ac:dyDescent="0.25">
      <c r="A25" s="78" t="s">
        <v>188</v>
      </c>
      <c r="B25" s="55" t="s">
        <v>188</v>
      </c>
      <c r="C25" s="6">
        <v>200</v>
      </c>
      <c r="D25" s="6" t="b">
        <v>0</v>
      </c>
      <c r="E25" s="55" t="b">
        <v>0</v>
      </c>
      <c r="F25" s="11" t="b">
        <v>0</v>
      </c>
      <c r="G25" s="79" t="b">
        <v>0</v>
      </c>
      <c r="H25" s="6" t="b">
        <v>0</v>
      </c>
      <c r="I25" s="6" t="b">
        <v>0</v>
      </c>
      <c r="J25" s="56" t="s">
        <v>3336</v>
      </c>
      <c r="K25" s="11" t="s">
        <v>984</v>
      </c>
      <c r="L25" s="11" t="s">
        <v>985</v>
      </c>
    </row>
    <row r="26" spans="1:13" ht="30" customHeight="1" x14ac:dyDescent="0.25">
      <c r="A26" s="78" t="s">
        <v>242</v>
      </c>
      <c r="B26" s="51" t="s">
        <v>242</v>
      </c>
      <c r="C26" s="6">
        <v>200</v>
      </c>
      <c r="D26" s="6" t="b">
        <v>0</v>
      </c>
      <c r="E26" s="51" t="b">
        <v>0</v>
      </c>
      <c r="F26" s="8" t="b">
        <v>0</v>
      </c>
      <c r="G26" s="79" t="b">
        <v>0</v>
      </c>
      <c r="H26" s="6" t="b">
        <v>0</v>
      </c>
      <c r="I26" s="6" t="b">
        <v>0</v>
      </c>
      <c r="J26" s="54" t="s">
        <v>3337</v>
      </c>
      <c r="K26" s="8" t="s">
        <v>984</v>
      </c>
      <c r="L26" s="8" t="s">
        <v>985</v>
      </c>
      <c r="M26" s="9"/>
    </row>
    <row r="27" spans="1:13" ht="30" customHeight="1" x14ac:dyDescent="0.25">
      <c r="A27" s="78" t="s">
        <v>574</v>
      </c>
      <c r="B27" s="55" t="s">
        <v>574</v>
      </c>
      <c r="C27" s="6">
        <v>200</v>
      </c>
      <c r="D27" s="6" t="b">
        <v>0</v>
      </c>
      <c r="E27" s="55" t="b">
        <v>0</v>
      </c>
      <c r="F27" s="11" t="b">
        <v>0</v>
      </c>
      <c r="G27" s="79" t="b">
        <v>0</v>
      </c>
      <c r="H27" s="6" t="b">
        <v>0</v>
      </c>
      <c r="I27" s="6" t="b">
        <v>0</v>
      </c>
      <c r="J27" s="56" t="s">
        <v>3338</v>
      </c>
      <c r="K27" s="11" t="s">
        <v>984</v>
      </c>
      <c r="L27" s="11" t="s">
        <v>985</v>
      </c>
    </row>
    <row r="28" spans="1:13" ht="30" customHeight="1" x14ac:dyDescent="0.25">
      <c r="A28" s="78" t="s">
        <v>627</v>
      </c>
      <c r="B28" s="51" t="s">
        <v>627</v>
      </c>
      <c r="C28" s="6">
        <v>200</v>
      </c>
      <c r="D28" s="6" t="b">
        <v>0</v>
      </c>
      <c r="E28" s="51" t="b">
        <v>0</v>
      </c>
      <c r="F28" s="8" t="b">
        <v>0</v>
      </c>
      <c r="G28" s="79" t="b">
        <v>0</v>
      </c>
      <c r="H28" s="6" t="b">
        <v>0</v>
      </c>
      <c r="I28" s="6" t="b">
        <v>0</v>
      </c>
      <c r="J28" s="54" t="s">
        <v>3339</v>
      </c>
      <c r="K28" s="8" t="s">
        <v>984</v>
      </c>
      <c r="L28" s="8" t="s">
        <v>985</v>
      </c>
      <c r="M28" s="9"/>
    </row>
    <row r="29" spans="1:13" ht="30" customHeight="1" x14ac:dyDescent="0.25">
      <c r="A29" s="78" t="s">
        <v>274</v>
      </c>
      <c r="B29" s="55" t="s">
        <v>274</v>
      </c>
      <c r="C29" s="6">
        <v>200</v>
      </c>
      <c r="D29" s="6" t="b">
        <v>0</v>
      </c>
      <c r="E29" s="55" t="b">
        <v>0</v>
      </c>
      <c r="F29" s="11" t="b">
        <v>0</v>
      </c>
      <c r="G29" s="79" t="b">
        <v>0</v>
      </c>
      <c r="H29" s="6" t="b">
        <v>0</v>
      </c>
      <c r="I29" s="6" t="b">
        <v>0</v>
      </c>
      <c r="J29" s="56" t="s">
        <v>3340</v>
      </c>
      <c r="K29" s="11" t="s">
        <v>984</v>
      </c>
      <c r="L29" s="11" t="s">
        <v>985</v>
      </c>
    </row>
    <row r="30" spans="1:13" ht="30" customHeight="1" x14ac:dyDescent="0.25">
      <c r="A30" s="78" t="s">
        <v>401</v>
      </c>
      <c r="B30" s="51" t="s">
        <v>401</v>
      </c>
      <c r="C30" s="6">
        <v>200</v>
      </c>
      <c r="D30" s="6" t="b">
        <v>0</v>
      </c>
      <c r="E30" s="51" t="b">
        <v>0</v>
      </c>
      <c r="F30" s="8" t="b">
        <v>0</v>
      </c>
      <c r="G30" s="79" t="b">
        <v>0</v>
      </c>
      <c r="H30" s="6" t="b">
        <v>0</v>
      </c>
      <c r="I30" s="6" t="b">
        <v>0</v>
      </c>
      <c r="J30" s="54" t="s">
        <v>3341</v>
      </c>
      <c r="K30" s="8" t="s">
        <v>984</v>
      </c>
      <c r="L30" s="8" t="s">
        <v>985</v>
      </c>
      <c r="M30" s="9"/>
    </row>
    <row r="31" spans="1:13" ht="30" customHeight="1" x14ac:dyDescent="0.25">
      <c r="A31" s="78" t="s">
        <v>298</v>
      </c>
      <c r="B31" s="55" t="s">
        <v>298</v>
      </c>
      <c r="C31" s="6">
        <v>200</v>
      </c>
      <c r="D31" s="6" t="b">
        <v>0</v>
      </c>
      <c r="E31" s="55" t="b">
        <v>0</v>
      </c>
      <c r="F31" s="11" t="b">
        <v>0</v>
      </c>
      <c r="G31" s="79" t="b">
        <v>0</v>
      </c>
      <c r="H31" s="6" t="b">
        <v>0</v>
      </c>
      <c r="I31" s="6" t="b">
        <v>0</v>
      </c>
      <c r="J31" s="56" t="s">
        <v>3342</v>
      </c>
      <c r="K31" s="11" t="s">
        <v>984</v>
      </c>
      <c r="L31" s="11" t="s">
        <v>985</v>
      </c>
    </row>
    <row r="32" spans="1:13" ht="30" customHeight="1" x14ac:dyDescent="0.25">
      <c r="A32" s="78" t="s">
        <v>481</v>
      </c>
      <c r="B32" s="51" t="s">
        <v>481</v>
      </c>
      <c r="C32" s="6">
        <v>200</v>
      </c>
      <c r="D32" s="6" t="b">
        <v>0</v>
      </c>
      <c r="E32" s="51" t="b">
        <v>0</v>
      </c>
      <c r="F32" s="8" t="b">
        <v>0</v>
      </c>
      <c r="G32" s="79" t="b">
        <v>0</v>
      </c>
      <c r="H32" s="6" t="b">
        <v>0</v>
      </c>
      <c r="I32" s="6" t="b">
        <v>0</v>
      </c>
      <c r="J32" s="54" t="s">
        <v>3343</v>
      </c>
      <c r="K32" s="8" t="s">
        <v>984</v>
      </c>
      <c r="L32" s="8" t="s">
        <v>985</v>
      </c>
      <c r="M32" s="9"/>
    </row>
    <row r="33" spans="1:13" ht="30" customHeight="1" x14ac:dyDescent="0.25">
      <c r="A33" s="78" t="s">
        <v>172</v>
      </c>
      <c r="B33" s="55" t="s">
        <v>172</v>
      </c>
      <c r="C33" s="6">
        <v>200</v>
      </c>
      <c r="D33" s="6" t="b">
        <v>0</v>
      </c>
      <c r="E33" s="55" t="b">
        <v>0</v>
      </c>
      <c r="F33" s="11" t="b">
        <v>0</v>
      </c>
      <c r="G33" s="79" t="b">
        <v>0</v>
      </c>
      <c r="H33" s="6" t="b">
        <v>0</v>
      </c>
      <c r="I33" s="6" t="b">
        <v>0</v>
      </c>
      <c r="J33" s="56" t="s">
        <v>3344</v>
      </c>
      <c r="K33" s="11" t="s">
        <v>984</v>
      </c>
      <c r="L33" s="11" t="s">
        <v>985</v>
      </c>
    </row>
    <row r="34" spans="1:13" x14ac:dyDescent="0.25">
      <c r="A34" s="78" t="s">
        <v>559</v>
      </c>
      <c r="B34" s="51" t="s">
        <v>1103</v>
      </c>
      <c r="C34" s="6">
        <v>200</v>
      </c>
      <c r="D34" s="6" t="b">
        <v>0</v>
      </c>
      <c r="E34" s="51" t="b">
        <v>1</v>
      </c>
      <c r="F34" s="8" t="b">
        <v>0</v>
      </c>
      <c r="G34" s="79" t="b">
        <v>0</v>
      </c>
      <c r="H34" s="6" t="b">
        <v>0</v>
      </c>
      <c r="I34" s="6" t="b">
        <v>0</v>
      </c>
      <c r="J34" s="54" t="s">
        <v>3345</v>
      </c>
      <c r="K34" s="8" t="s">
        <v>984</v>
      </c>
      <c r="L34" s="8" t="s">
        <v>985</v>
      </c>
      <c r="M34" s="9"/>
    </row>
    <row r="35" spans="1:13" ht="30" customHeight="1" x14ac:dyDescent="0.25">
      <c r="A35" s="78" t="s">
        <v>727</v>
      </c>
      <c r="B35" s="55" t="s">
        <v>727</v>
      </c>
      <c r="C35" s="6">
        <v>200</v>
      </c>
      <c r="D35" s="6" t="b">
        <v>0</v>
      </c>
      <c r="E35" s="55" t="b">
        <v>0</v>
      </c>
      <c r="F35" s="11" t="b">
        <v>0</v>
      </c>
      <c r="G35" s="79" t="b">
        <v>0</v>
      </c>
      <c r="H35" s="6" t="b">
        <v>0</v>
      </c>
      <c r="I35" s="6" t="b">
        <v>0</v>
      </c>
      <c r="J35" s="56" t="s">
        <v>3346</v>
      </c>
      <c r="K35" s="11" t="s">
        <v>984</v>
      </c>
      <c r="L35" s="11" t="s">
        <v>985</v>
      </c>
    </row>
    <row r="36" spans="1:13" ht="30" customHeight="1" x14ac:dyDescent="0.25">
      <c r="A36" s="78" t="s">
        <v>393</v>
      </c>
      <c r="B36" s="51" t="s">
        <v>393</v>
      </c>
      <c r="C36" s="6">
        <v>200</v>
      </c>
      <c r="D36" s="6" t="b">
        <v>0</v>
      </c>
      <c r="E36" s="51" t="b">
        <v>0</v>
      </c>
      <c r="F36" s="8" t="b">
        <v>0</v>
      </c>
      <c r="G36" s="79" t="b">
        <v>0</v>
      </c>
      <c r="H36" s="6" t="b">
        <v>0</v>
      </c>
      <c r="I36" s="6" t="b">
        <v>0</v>
      </c>
      <c r="J36" s="54" t="s">
        <v>3347</v>
      </c>
      <c r="K36" s="8" t="s">
        <v>984</v>
      </c>
      <c r="L36" s="8" t="s">
        <v>985</v>
      </c>
      <c r="M36" s="9"/>
    </row>
    <row r="37" spans="1:13" ht="30" customHeight="1" x14ac:dyDescent="0.25">
      <c r="A37" s="78" t="s">
        <v>566</v>
      </c>
      <c r="B37" s="55" t="s">
        <v>566</v>
      </c>
      <c r="C37" s="6">
        <v>200</v>
      </c>
      <c r="D37" s="6" t="b">
        <v>0</v>
      </c>
      <c r="E37" s="55" t="b">
        <v>0</v>
      </c>
      <c r="F37" s="11" t="b">
        <v>0</v>
      </c>
      <c r="G37" s="79" t="b">
        <v>0</v>
      </c>
      <c r="H37" s="6" t="b">
        <v>0</v>
      </c>
      <c r="I37" s="6" t="b">
        <v>0</v>
      </c>
      <c r="J37" s="56" t="s">
        <v>3348</v>
      </c>
      <c r="K37" s="11" t="s">
        <v>984</v>
      </c>
      <c r="L37" s="11" t="s">
        <v>985</v>
      </c>
    </row>
    <row r="38" spans="1:13" ht="45" customHeight="1" x14ac:dyDescent="0.25">
      <c r="A38" s="78" t="s">
        <v>377</v>
      </c>
      <c r="B38" s="51" t="s">
        <v>377</v>
      </c>
      <c r="C38" s="6">
        <v>200</v>
      </c>
      <c r="D38" s="6" t="b">
        <v>0</v>
      </c>
      <c r="E38" s="51" t="b">
        <v>0</v>
      </c>
      <c r="F38" s="8" t="b">
        <v>0</v>
      </c>
      <c r="G38" s="79" t="b">
        <v>0</v>
      </c>
      <c r="H38" s="6" t="b">
        <v>0</v>
      </c>
      <c r="I38" s="6" t="b">
        <v>0</v>
      </c>
      <c r="J38" s="54" t="s">
        <v>3349</v>
      </c>
      <c r="K38" s="8" t="s">
        <v>984</v>
      </c>
      <c r="L38" s="8" t="s">
        <v>985</v>
      </c>
      <c r="M38" s="9"/>
    </row>
    <row r="39" spans="1:13" ht="30" customHeight="1" x14ac:dyDescent="0.25">
      <c r="A39" s="78" t="s">
        <v>358</v>
      </c>
      <c r="B39" s="55" t="s">
        <v>358</v>
      </c>
      <c r="C39" s="6">
        <v>200</v>
      </c>
      <c r="D39" s="6" t="b">
        <v>0</v>
      </c>
      <c r="E39" s="55" t="b">
        <v>0</v>
      </c>
      <c r="F39" s="11" t="b">
        <v>0</v>
      </c>
      <c r="G39" s="79" t="b">
        <v>0</v>
      </c>
      <c r="H39" s="6" t="b">
        <v>0</v>
      </c>
      <c r="I39" s="6" t="b">
        <v>0</v>
      </c>
      <c r="J39" s="56" t="s">
        <v>3350</v>
      </c>
      <c r="K39" s="11" t="s">
        <v>984</v>
      </c>
      <c r="L39" s="11" t="s">
        <v>985</v>
      </c>
    </row>
    <row r="40" spans="1:13" ht="30" customHeight="1" x14ac:dyDescent="0.25">
      <c r="A40" s="78" t="s">
        <v>385</v>
      </c>
      <c r="B40" s="51" t="s">
        <v>385</v>
      </c>
      <c r="C40" s="6">
        <v>200</v>
      </c>
      <c r="D40" s="6" t="b">
        <v>0</v>
      </c>
      <c r="E40" s="51" t="b">
        <v>0</v>
      </c>
      <c r="F40" s="8" t="b">
        <v>0</v>
      </c>
      <c r="G40" s="79" t="b">
        <v>0</v>
      </c>
      <c r="H40" s="6" t="b">
        <v>0</v>
      </c>
      <c r="I40" s="6" t="b">
        <v>0</v>
      </c>
      <c r="J40" s="54" t="s">
        <v>3351</v>
      </c>
      <c r="K40" s="8" t="s">
        <v>984</v>
      </c>
      <c r="L40" s="8" t="s">
        <v>985</v>
      </c>
      <c r="M40" s="9"/>
    </row>
    <row r="41" spans="1:13" ht="30" customHeight="1" x14ac:dyDescent="0.25">
      <c r="A41" s="78" t="s">
        <v>164</v>
      </c>
      <c r="B41" s="55" t="s">
        <v>164</v>
      </c>
      <c r="C41" s="6">
        <v>200</v>
      </c>
      <c r="D41" s="6" t="b">
        <v>0</v>
      </c>
      <c r="E41" s="55" t="b">
        <v>0</v>
      </c>
      <c r="F41" s="11" t="b">
        <v>0</v>
      </c>
      <c r="G41" s="79" t="b">
        <v>0</v>
      </c>
      <c r="H41" s="6" t="b">
        <v>0</v>
      </c>
      <c r="I41" s="6" t="b">
        <v>0</v>
      </c>
      <c r="J41" s="56" t="s">
        <v>3352</v>
      </c>
      <c r="K41" s="11" t="s">
        <v>984</v>
      </c>
      <c r="L41" s="11" t="s">
        <v>985</v>
      </c>
    </row>
    <row r="42" spans="1:13" ht="30" customHeight="1" x14ac:dyDescent="0.25">
      <c r="A42" s="78" t="s">
        <v>196</v>
      </c>
      <c r="B42" s="51" t="s">
        <v>196</v>
      </c>
      <c r="C42" s="6">
        <v>200</v>
      </c>
      <c r="D42" s="6" t="b">
        <v>0</v>
      </c>
      <c r="E42" s="51" t="b">
        <v>0</v>
      </c>
      <c r="F42" s="8" t="b">
        <v>0</v>
      </c>
      <c r="G42" s="79" t="b">
        <v>0</v>
      </c>
      <c r="H42" s="6" t="b">
        <v>0</v>
      </c>
      <c r="I42" s="6" t="b">
        <v>0</v>
      </c>
      <c r="J42" s="54" t="s">
        <v>3353</v>
      </c>
      <c r="K42" s="8" t="s">
        <v>984</v>
      </c>
      <c r="L42" s="8" t="s">
        <v>985</v>
      </c>
      <c r="M42" s="9"/>
    </row>
    <row r="43" spans="1:13" ht="30" customHeight="1" x14ac:dyDescent="0.25">
      <c r="A43" s="78" t="s">
        <v>350</v>
      </c>
      <c r="B43" s="55" t="s">
        <v>350</v>
      </c>
      <c r="C43" s="6">
        <v>200</v>
      </c>
      <c r="D43" s="6" t="b">
        <v>0</v>
      </c>
      <c r="E43" s="55" t="b">
        <v>0</v>
      </c>
      <c r="F43" s="11" t="b">
        <v>0</v>
      </c>
      <c r="G43" s="79" t="b">
        <v>0</v>
      </c>
      <c r="H43" s="6" t="b">
        <v>0</v>
      </c>
      <c r="I43" s="6" t="b">
        <v>0</v>
      </c>
      <c r="J43" s="56" t="s">
        <v>3354</v>
      </c>
      <c r="K43" s="11" t="s">
        <v>984</v>
      </c>
      <c r="L43" s="11" t="s">
        <v>985</v>
      </c>
    </row>
    <row r="44" spans="1:13" ht="30" customHeight="1" x14ac:dyDescent="0.25">
      <c r="A44" s="78" t="s">
        <v>374</v>
      </c>
      <c r="B44" s="51" t="s">
        <v>350</v>
      </c>
      <c r="C44" s="6">
        <v>200</v>
      </c>
      <c r="D44" s="6" t="b">
        <v>0</v>
      </c>
      <c r="E44" s="51" t="b">
        <v>1</v>
      </c>
      <c r="F44" s="8" t="b">
        <v>0</v>
      </c>
      <c r="G44" s="79" t="b">
        <v>0</v>
      </c>
      <c r="H44" s="6" t="b">
        <v>0</v>
      </c>
      <c r="I44" s="6" t="b">
        <v>0</v>
      </c>
      <c r="J44" s="54" t="s">
        <v>3355</v>
      </c>
      <c r="K44" s="8" t="s">
        <v>984</v>
      </c>
      <c r="L44" s="8" t="s">
        <v>985</v>
      </c>
      <c r="M44" s="9"/>
    </row>
    <row r="45" spans="1:13" ht="45" customHeight="1" x14ac:dyDescent="0.25">
      <c r="A45" s="78" t="s">
        <v>409</v>
      </c>
      <c r="B45" s="55" t="s">
        <v>409</v>
      </c>
      <c r="C45" s="6">
        <v>200</v>
      </c>
      <c r="D45" s="6" t="b">
        <v>0</v>
      </c>
      <c r="E45" s="55" t="b">
        <v>0</v>
      </c>
      <c r="F45" s="11" t="b">
        <v>0</v>
      </c>
      <c r="G45" s="79" t="b">
        <v>0</v>
      </c>
      <c r="H45" s="6" t="b">
        <v>0</v>
      </c>
      <c r="I45" s="6" t="b">
        <v>0</v>
      </c>
      <c r="J45" s="56" t="s">
        <v>3356</v>
      </c>
      <c r="K45" s="11" t="s">
        <v>984</v>
      </c>
      <c r="L45" s="11" t="s">
        <v>985</v>
      </c>
    </row>
    <row r="46" spans="1:13" ht="30" customHeight="1" x14ac:dyDescent="0.25">
      <c r="A46" s="78" t="s">
        <v>436</v>
      </c>
      <c r="B46" s="51" t="s">
        <v>436</v>
      </c>
      <c r="C46" s="6">
        <v>200</v>
      </c>
      <c r="D46" s="6" t="b">
        <v>0</v>
      </c>
      <c r="E46" s="51" t="b">
        <v>0</v>
      </c>
      <c r="F46" s="8" t="b">
        <v>0</v>
      </c>
      <c r="G46" s="79" t="b">
        <v>0</v>
      </c>
      <c r="H46" s="6" t="b">
        <v>0</v>
      </c>
      <c r="I46" s="6" t="b">
        <v>0</v>
      </c>
      <c r="J46" s="54" t="s">
        <v>3357</v>
      </c>
      <c r="K46" s="8" t="s">
        <v>984</v>
      </c>
      <c r="L46" s="8" t="s">
        <v>985</v>
      </c>
      <c r="M46" s="9"/>
    </row>
    <row r="47" spans="1:13" ht="30" customHeight="1" x14ac:dyDescent="0.25">
      <c r="A47" s="78" t="s">
        <v>473</v>
      </c>
      <c r="B47" s="55" t="s">
        <v>473</v>
      </c>
      <c r="C47" s="6">
        <v>200</v>
      </c>
      <c r="D47" s="6" t="b">
        <v>0</v>
      </c>
      <c r="E47" s="55" t="b">
        <v>0</v>
      </c>
      <c r="F47" s="11" t="b">
        <v>0</v>
      </c>
      <c r="G47" s="79" t="b">
        <v>0</v>
      </c>
      <c r="H47" s="6" t="b">
        <v>0</v>
      </c>
      <c r="I47" s="6" t="b">
        <v>0</v>
      </c>
      <c r="J47" s="56" t="s">
        <v>3358</v>
      </c>
      <c r="K47" s="11" t="s">
        <v>984</v>
      </c>
      <c r="L47" s="11" t="s">
        <v>985</v>
      </c>
    </row>
    <row r="48" spans="1:13" ht="30" customHeight="1" x14ac:dyDescent="0.25">
      <c r="A48" s="78" t="s">
        <v>489</v>
      </c>
      <c r="B48" s="51" t="s">
        <v>489</v>
      </c>
      <c r="C48" s="6">
        <v>200</v>
      </c>
      <c r="D48" s="6" t="b">
        <v>0</v>
      </c>
      <c r="E48" s="51" t="b">
        <v>0</v>
      </c>
      <c r="F48" s="8" t="b">
        <v>0</v>
      </c>
      <c r="G48" s="79" t="b">
        <v>0</v>
      </c>
      <c r="H48" s="6" t="b">
        <v>0</v>
      </c>
      <c r="I48" s="6" t="b">
        <v>0</v>
      </c>
      <c r="J48" s="54" t="s">
        <v>3359</v>
      </c>
      <c r="K48" s="8" t="s">
        <v>984</v>
      </c>
      <c r="L48" s="8" t="s">
        <v>985</v>
      </c>
      <c r="M48" s="9"/>
    </row>
    <row r="49" spans="1:13" ht="30" customHeight="1" x14ac:dyDescent="0.25">
      <c r="A49" s="55" t="s">
        <v>338</v>
      </c>
      <c r="B49" s="55" t="s">
        <v>979</v>
      </c>
      <c r="C49" s="49">
        <v>404</v>
      </c>
      <c r="D49" s="49" t="b">
        <v>1</v>
      </c>
      <c r="E49" s="55" t="b">
        <v>1</v>
      </c>
      <c r="F49" s="11" t="b">
        <v>0</v>
      </c>
      <c r="G49" s="79" t="b">
        <v>0</v>
      </c>
      <c r="H49" s="6" t="b">
        <v>0</v>
      </c>
      <c r="I49" s="6" t="b">
        <v>0</v>
      </c>
      <c r="J49" s="56" t="s">
        <v>3360</v>
      </c>
      <c r="K49" s="11" t="s">
        <v>984</v>
      </c>
      <c r="L49" s="11" t="s">
        <v>985</v>
      </c>
    </row>
    <row r="50" spans="1:13" ht="30" customHeight="1" x14ac:dyDescent="0.25">
      <c r="A50" s="51" t="s">
        <v>433</v>
      </c>
      <c r="B50" s="51" t="s">
        <v>988</v>
      </c>
      <c r="C50" s="49">
        <v>404</v>
      </c>
      <c r="D50" s="49" t="b">
        <v>1</v>
      </c>
      <c r="E50" s="51" t="b">
        <v>1</v>
      </c>
      <c r="F50" s="8" t="b">
        <v>0</v>
      </c>
      <c r="G50" s="79" t="b">
        <v>0</v>
      </c>
      <c r="H50" s="6" t="b">
        <v>0</v>
      </c>
      <c r="I50" s="6" t="b">
        <v>0</v>
      </c>
      <c r="J50" s="54" t="s">
        <v>3361</v>
      </c>
      <c r="K50" s="8" t="s">
        <v>984</v>
      </c>
      <c r="L50" s="8" t="s">
        <v>985</v>
      </c>
      <c r="M50" s="9"/>
    </row>
    <row r="51" spans="1:13" ht="30" customHeight="1" x14ac:dyDescent="0.25">
      <c r="A51" s="78" t="s">
        <v>743</v>
      </c>
      <c r="B51" s="55" t="s">
        <v>743</v>
      </c>
      <c r="C51" s="6">
        <v>200</v>
      </c>
      <c r="D51" s="6" t="b">
        <v>0</v>
      </c>
      <c r="E51" s="55" t="b">
        <v>0</v>
      </c>
      <c r="F51" s="11" t="b">
        <v>0</v>
      </c>
      <c r="G51" s="79" t="b">
        <v>0</v>
      </c>
      <c r="H51" s="6" t="b">
        <v>0</v>
      </c>
      <c r="I51" s="6" t="b">
        <v>0</v>
      </c>
      <c r="J51" s="56" t="s">
        <v>3362</v>
      </c>
      <c r="K51" s="11" t="s">
        <v>984</v>
      </c>
      <c r="L51" s="11" t="s">
        <v>985</v>
      </c>
    </row>
    <row r="52" spans="1:13" ht="30" customHeight="1" x14ac:dyDescent="0.25">
      <c r="A52" s="78" t="s">
        <v>598</v>
      </c>
      <c r="B52" s="51" t="s">
        <v>598</v>
      </c>
      <c r="C52" s="6">
        <v>200</v>
      </c>
      <c r="D52" s="6" t="b">
        <v>0</v>
      </c>
      <c r="E52" s="51" t="b">
        <v>0</v>
      </c>
      <c r="F52" s="8" t="b">
        <v>0</v>
      </c>
      <c r="G52" s="79" t="b">
        <v>0</v>
      </c>
      <c r="H52" s="6" t="b">
        <v>0</v>
      </c>
      <c r="I52" s="6" t="b">
        <v>0</v>
      </c>
      <c r="J52" s="54" t="s">
        <v>3363</v>
      </c>
      <c r="K52" s="8" t="s">
        <v>984</v>
      </c>
      <c r="L52" s="8" t="s">
        <v>985</v>
      </c>
      <c r="M52" s="9"/>
    </row>
    <row r="53" spans="1:13" ht="30" customHeight="1" x14ac:dyDescent="0.25">
      <c r="A53" s="78" t="s">
        <v>735</v>
      </c>
      <c r="B53" s="55" t="s">
        <v>735</v>
      </c>
      <c r="C53" s="6">
        <v>200</v>
      </c>
      <c r="D53" s="6" t="b">
        <v>0</v>
      </c>
      <c r="E53" s="55" t="b">
        <v>0</v>
      </c>
      <c r="F53" s="11" t="b">
        <v>0</v>
      </c>
      <c r="G53" s="79" t="b">
        <v>0</v>
      </c>
      <c r="H53" s="6" t="b">
        <v>0</v>
      </c>
      <c r="I53" s="6" t="b">
        <v>0</v>
      </c>
      <c r="J53" s="56" t="s">
        <v>3364</v>
      </c>
      <c r="K53" s="11" t="s">
        <v>984</v>
      </c>
      <c r="L53" s="11" t="s">
        <v>985</v>
      </c>
    </row>
    <row r="54" spans="1:13" ht="30" customHeight="1" x14ac:dyDescent="0.25">
      <c r="A54" s="78" t="s">
        <v>712</v>
      </c>
      <c r="B54" s="51" t="s">
        <v>712</v>
      </c>
      <c r="C54" s="6">
        <v>200</v>
      </c>
      <c r="D54" s="6" t="b">
        <v>0</v>
      </c>
      <c r="E54" s="51" t="b">
        <v>0</v>
      </c>
      <c r="F54" s="8" t="b">
        <v>0</v>
      </c>
      <c r="G54" s="79" t="b">
        <v>0</v>
      </c>
      <c r="H54" s="6" t="b">
        <v>0</v>
      </c>
      <c r="I54" s="6" t="b">
        <v>0</v>
      </c>
      <c r="J54" s="54" t="s">
        <v>3365</v>
      </c>
      <c r="K54" s="8" t="s">
        <v>984</v>
      </c>
      <c r="L54" s="8" t="s">
        <v>985</v>
      </c>
      <c r="M54" s="9"/>
    </row>
    <row r="55" spans="1:13" ht="30" customHeight="1" x14ac:dyDescent="0.25">
      <c r="A55" s="78" t="s">
        <v>622</v>
      </c>
      <c r="B55" s="55" t="s">
        <v>622</v>
      </c>
      <c r="C55" s="6">
        <v>200</v>
      </c>
      <c r="D55" s="6" t="b">
        <v>0</v>
      </c>
      <c r="E55" s="55" t="b">
        <v>0</v>
      </c>
      <c r="F55" s="11" t="b">
        <v>0</v>
      </c>
      <c r="G55" s="79" t="b">
        <v>0</v>
      </c>
      <c r="H55" s="6" t="b">
        <v>0</v>
      </c>
      <c r="I55" s="6" t="b">
        <v>0</v>
      </c>
      <c r="J55" s="56" t="s">
        <v>3366</v>
      </c>
      <c r="K55" s="11" t="s">
        <v>984</v>
      </c>
      <c r="L55" s="11" t="s">
        <v>985</v>
      </c>
    </row>
    <row r="56" spans="1:13" ht="30" customHeight="1" x14ac:dyDescent="0.25">
      <c r="A56" s="78" t="s">
        <v>535</v>
      </c>
      <c r="B56" s="51" t="s">
        <v>535</v>
      </c>
      <c r="C56" s="6">
        <v>200</v>
      </c>
      <c r="D56" s="6" t="b">
        <v>0</v>
      </c>
      <c r="E56" s="51" t="b">
        <v>0</v>
      </c>
      <c r="F56" s="8" t="b">
        <v>0</v>
      </c>
      <c r="G56" s="79" t="b">
        <v>0</v>
      </c>
      <c r="H56" s="6" t="b">
        <v>0</v>
      </c>
      <c r="I56" s="6" t="b">
        <v>0</v>
      </c>
      <c r="J56" s="54" t="s">
        <v>3367</v>
      </c>
      <c r="K56" s="8" t="s">
        <v>984</v>
      </c>
      <c r="L56" s="8" t="s">
        <v>985</v>
      </c>
      <c r="M56" s="9"/>
    </row>
    <row r="57" spans="1:13" ht="30" customHeight="1" x14ac:dyDescent="0.25">
      <c r="A57" s="78" t="s">
        <v>527</v>
      </c>
      <c r="B57" s="55" t="s">
        <v>527</v>
      </c>
      <c r="C57" s="6">
        <v>200</v>
      </c>
      <c r="D57" s="6" t="b">
        <v>0</v>
      </c>
      <c r="E57" s="55" t="b">
        <v>0</v>
      </c>
      <c r="F57" s="11" t="b">
        <v>0</v>
      </c>
      <c r="G57" s="79" t="b">
        <v>0</v>
      </c>
      <c r="H57" s="6" t="b">
        <v>0</v>
      </c>
      <c r="I57" s="6" t="b">
        <v>0</v>
      </c>
      <c r="J57" s="56" t="s">
        <v>3368</v>
      </c>
      <c r="K57" s="11" t="s">
        <v>984</v>
      </c>
      <c r="L57" s="11" t="s">
        <v>985</v>
      </c>
    </row>
    <row r="58" spans="1:13" ht="30" customHeight="1" x14ac:dyDescent="0.25">
      <c r="A58" s="78" t="s">
        <v>590</v>
      </c>
      <c r="B58" s="51" t="s">
        <v>590</v>
      </c>
      <c r="C58" s="6">
        <v>200</v>
      </c>
      <c r="D58" s="6" t="b">
        <v>0</v>
      </c>
      <c r="E58" s="51" t="b">
        <v>0</v>
      </c>
      <c r="F58" s="8" t="b">
        <v>0</v>
      </c>
      <c r="G58" s="79" t="b">
        <v>0</v>
      </c>
      <c r="H58" s="6" t="b">
        <v>0</v>
      </c>
      <c r="I58" s="6" t="b">
        <v>0</v>
      </c>
      <c r="J58" s="54" t="s">
        <v>3369</v>
      </c>
      <c r="K58" s="8" t="s">
        <v>984</v>
      </c>
      <c r="L58" s="8" t="s">
        <v>985</v>
      </c>
      <c r="M58" s="9"/>
    </row>
    <row r="59" spans="1:13" ht="30" customHeight="1" x14ac:dyDescent="0.25">
      <c r="A59" s="78" t="s">
        <v>758</v>
      </c>
      <c r="B59" s="55" t="s">
        <v>758</v>
      </c>
      <c r="C59" s="6">
        <v>200</v>
      </c>
      <c r="D59" s="6" t="b">
        <v>0</v>
      </c>
      <c r="E59" s="55" t="b">
        <v>0</v>
      </c>
      <c r="F59" s="11" t="b">
        <v>0</v>
      </c>
      <c r="G59" s="79" t="b">
        <v>0</v>
      </c>
      <c r="H59" s="6" t="b">
        <v>0</v>
      </c>
      <c r="I59" s="6" t="b">
        <v>0</v>
      </c>
      <c r="J59" s="56" t="s">
        <v>3370</v>
      </c>
      <c r="K59" s="11" t="s">
        <v>984</v>
      </c>
      <c r="L59" s="11" t="s">
        <v>985</v>
      </c>
    </row>
    <row r="60" spans="1:13" ht="30" customHeight="1" x14ac:dyDescent="0.25">
      <c r="A60" s="78" t="s">
        <v>282</v>
      </c>
      <c r="B60" s="51" t="s">
        <v>282</v>
      </c>
      <c r="C60" s="6">
        <v>200</v>
      </c>
      <c r="D60" s="6" t="b">
        <v>0</v>
      </c>
      <c r="E60" s="51" t="b">
        <v>0</v>
      </c>
      <c r="F60" s="8" t="b">
        <v>0</v>
      </c>
      <c r="G60" s="79" t="b">
        <v>0</v>
      </c>
      <c r="H60" s="6" t="b">
        <v>0</v>
      </c>
      <c r="I60" s="6" t="b">
        <v>0</v>
      </c>
      <c r="J60" s="54" t="s">
        <v>3371</v>
      </c>
      <c r="K60" s="8" t="s">
        <v>984</v>
      </c>
      <c r="L60" s="8" t="s">
        <v>985</v>
      </c>
      <c r="M60" s="9"/>
    </row>
    <row r="61" spans="1:13" ht="30" customHeight="1" x14ac:dyDescent="0.25">
      <c r="A61" s="78" t="s">
        <v>766</v>
      </c>
      <c r="B61" s="55" t="s">
        <v>766</v>
      </c>
      <c r="C61" s="6">
        <v>200</v>
      </c>
      <c r="D61" s="6" t="b">
        <v>0</v>
      </c>
      <c r="E61" s="55" t="b">
        <v>0</v>
      </c>
      <c r="F61" s="11" t="b">
        <v>0</v>
      </c>
      <c r="G61" s="79" t="b">
        <v>0</v>
      </c>
      <c r="H61" s="6" t="b">
        <v>0</v>
      </c>
      <c r="I61" s="6" t="b">
        <v>0</v>
      </c>
      <c r="J61" s="56" t="s">
        <v>3372</v>
      </c>
      <c r="K61" s="11" t="s">
        <v>984</v>
      </c>
      <c r="L61" s="11" t="s">
        <v>985</v>
      </c>
    </row>
    <row r="62" spans="1:13" ht="30" customHeight="1" x14ac:dyDescent="0.25">
      <c r="A62" s="78" t="s">
        <v>614</v>
      </c>
      <c r="B62" s="51" t="s">
        <v>614</v>
      </c>
      <c r="C62" s="6">
        <v>200</v>
      </c>
      <c r="D62" s="6" t="b">
        <v>0</v>
      </c>
      <c r="E62" s="51" t="b">
        <v>0</v>
      </c>
      <c r="F62" s="8" t="b">
        <v>0</v>
      </c>
      <c r="G62" s="79" t="b">
        <v>0</v>
      </c>
      <c r="H62" s="6" t="b">
        <v>0</v>
      </c>
      <c r="I62" s="6" t="b">
        <v>0</v>
      </c>
      <c r="J62" s="54" t="s">
        <v>3373</v>
      </c>
      <c r="K62" s="8" t="s">
        <v>984</v>
      </c>
      <c r="L62" s="8" t="s">
        <v>985</v>
      </c>
      <c r="M62" s="9"/>
    </row>
    <row r="63" spans="1:13" ht="30" customHeight="1" x14ac:dyDescent="0.25">
      <c r="A63" s="78" t="s">
        <v>425</v>
      </c>
      <c r="B63" s="55" t="s">
        <v>425</v>
      </c>
      <c r="C63" s="6">
        <v>200</v>
      </c>
      <c r="D63" s="6" t="b">
        <v>0</v>
      </c>
      <c r="E63" s="55" t="b">
        <v>0</v>
      </c>
      <c r="F63" s="11" t="b">
        <v>0</v>
      </c>
      <c r="G63" s="79" t="b">
        <v>0</v>
      </c>
      <c r="H63" s="6" t="b">
        <v>0</v>
      </c>
      <c r="I63" s="6" t="b">
        <v>0</v>
      </c>
      <c r="J63" s="56" t="s">
        <v>3374</v>
      </c>
      <c r="K63" s="11" t="s">
        <v>984</v>
      </c>
      <c r="L63" s="11" t="s">
        <v>985</v>
      </c>
    </row>
    <row r="64" spans="1:13" ht="30" customHeight="1" x14ac:dyDescent="0.25">
      <c r="A64" s="78" t="s">
        <v>210</v>
      </c>
      <c r="B64" s="51" t="s">
        <v>210</v>
      </c>
      <c r="C64" s="6">
        <v>200</v>
      </c>
      <c r="D64" s="6" t="b">
        <v>0</v>
      </c>
      <c r="E64" s="51" t="b">
        <v>0</v>
      </c>
      <c r="F64" s="8" t="b">
        <v>0</v>
      </c>
      <c r="G64" s="79" t="b">
        <v>0</v>
      </c>
      <c r="H64" s="6" t="b">
        <v>0</v>
      </c>
      <c r="I64" s="6" t="b">
        <v>0</v>
      </c>
      <c r="J64" s="54" t="s">
        <v>3375</v>
      </c>
      <c r="K64" s="8" t="s">
        <v>984</v>
      </c>
      <c r="L64" s="8" t="s">
        <v>985</v>
      </c>
      <c r="M64" s="9"/>
    </row>
    <row r="65" spans="1:13" ht="30" customHeight="1" x14ac:dyDescent="0.25">
      <c r="A65" s="78" t="s">
        <v>258</v>
      </c>
      <c r="B65" s="55" t="s">
        <v>258</v>
      </c>
      <c r="C65" s="6">
        <v>200</v>
      </c>
      <c r="D65" s="6" t="b">
        <v>0</v>
      </c>
      <c r="E65" s="55" t="b">
        <v>0</v>
      </c>
      <c r="F65" s="11" t="b">
        <v>0</v>
      </c>
      <c r="G65" s="79" t="b">
        <v>0</v>
      </c>
      <c r="H65" s="6" t="b">
        <v>0</v>
      </c>
      <c r="I65" s="6" t="b">
        <v>0</v>
      </c>
      <c r="J65" s="56" t="s">
        <v>3376</v>
      </c>
      <c r="K65" s="11" t="s">
        <v>984</v>
      </c>
      <c r="L65" s="11" t="s">
        <v>985</v>
      </c>
    </row>
    <row r="66" spans="1:13" ht="30" customHeight="1" x14ac:dyDescent="0.25">
      <c r="A66" s="78" t="s">
        <v>250</v>
      </c>
      <c r="B66" s="51" t="s">
        <v>250</v>
      </c>
      <c r="C66" s="6">
        <v>200</v>
      </c>
      <c r="D66" s="6" t="b">
        <v>0</v>
      </c>
      <c r="E66" s="51" t="b">
        <v>0</v>
      </c>
      <c r="F66" s="8" t="b">
        <v>0</v>
      </c>
      <c r="G66" s="79" t="b">
        <v>0</v>
      </c>
      <c r="H66" s="6" t="b">
        <v>0</v>
      </c>
      <c r="I66" s="6" t="b">
        <v>0</v>
      </c>
      <c r="J66" s="54" t="s">
        <v>3377</v>
      </c>
      <c r="K66" s="8" t="s">
        <v>984</v>
      </c>
      <c r="L66" s="8" t="s">
        <v>985</v>
      </c>
      <c r="M66" s="9"/>
    </row>
    <row r="67" spans="1:13" ht="30" customHeight="1" x14ac:dyDescent="0.25">
      <c r="A67" s="78" t="s">
        <v>266</v>
      </c>
      <c r="B67" s="55" t="s">
        <v>266</v>
      </c>
      <c r="C67" s="6">
        <v>200</v>
      </c>
      <c r="D67" s="6" t="b">
        <v>0</v>
      </c>
      <c r="E67" s="55" t="b">
        <v>0</v>
      </c>
      <c r="F67" s="11" t="b">
        <v>0</v>
      </c>
      <c r="G67" s="79" t="b">
        <v>0</v>
      </c>
      <c r="H67" s="6" t="b">
        <v>0</v>
      </c>
      <c r="I67" s="6" t="b">
        <v>0</v>
      </c>
      <c r="J67" s="56" t="s">
        <v>3378</v>
      </c>
      <c r="K67" s="11" t="s">
        <v>984</v>
      </c>
      <c r="L67" s="11" t="s">
        <v>985</v>
      </c>
    </row>
    <row r="68" spans="1:13" ht="30" customHeight="1" x14ac:dyDescent="0.25">
      <c r="A68" s="78" t="s">
        <v>543</v>
      </c>
      <c r="B68" s="51" t="s">
        <v>543</v>
      </c>
      <c r="C68" s="6">
        <v>200</v>
      </c>
      <c r="D68" s="6" t="b">
        <v>0</v>
      </c>
      <c r="E68" s="51" t="b">
        <v>0</v>
      </c>
      <c r="F68" s="8" t="b">
        <v>0</v>
      </c>
      <c r="G68" s="79" t="b">
        <v>0</v>
      </c>
      <c r="H68" s="6" t="b">
        <v>0</v>
      </c>
      <c r="I68" s="6" t="b">
        <v>0</v>
      </c>
      <c r="J68" s="54" t="s">
        <v>3379</v>
      </c>
      <c r="K68" s="8" t="s">
        <v>984</v>
      </c>
      <c r="L68" s="8" t="s">
        <v>985</v>
      </c>
      <c r="M68" s="9"/>
    </row>
    <row r="69" spans="1:13" ht="30" customHeight="1" x14ac:dyDescent="0.25">
      <c r="A69" s="78" t="s">
        <v>99</v>
      </c>
      <c r="B69" s="55" t="s">
        <v>99</v>
      </c>
      <c r="C69" s="6">
        <v>200</v>
      </c>
      <c r="D69" s="6" t="b">
        <v>0</v>
      </c>
      <c r="E69" s="55" t="b">
        <v>0</v>
      </c>
      <c r="F69" s="11" t="b">
        <v>0</v>
      </c>
      <c r="G69" s="79" t="b">
        <v>0</v>
      </c>
      <c r="H69" s="6" t="b">
        <v>0</v>
      </c>
      <c r="I69" s="6" t="b">
        <v>0</v>
      </c>
      <c r="J69" s="56" t="s">
        <v>3380</v>
      </c>
      <c r="K69" s="11" t="s">
        <v>984</v>
      </c>
      <c r="L69" s="11" t="s">
        <v>985</v>
      </c>
    </row>
    <row r="70" spans="1:13" ht="30" customHeight="1" x14ac:dyDescent="0.25">
      <c r="A70" s="78" t="s">
        <v>226</v>
      </c>
      <c r="B70" s="51" t="s">
        <v>226</v>
      </c>
      <c r="C70" s="6">
        <v>200</v>
      </c>
      <c r="D70" s="6" t="b">
        <v>0</v>
      </c>
      <c r="E70" s="51" t="b">
        <v>0</v>
      </c>
      <c r="F70" s="8" t="b">
        <v>0</v>
      </c>
      <c r="G70" s="79" t="b">
        <v>0</v>
      </c>
      <c r="H70" s="6" t="b">
        <v>0</v>
      </c>
      <c r="I70" s="6" t="b">
        <v>0</v>
      </c>
      <c r="J70" s="54" t="s">
        <v>3381</v>
      </c>
      <c r="K70" s="8" t="s">
        <v>984</v>
      </c>
      <c r="L70" s="8" t="s">
        <v>985</v>
      </c>
      <c r="M70" s="9"/>
    </row>
    <row r="71" spans="1:13" ht="30" customHeight="1" x14ac:dyDescent="0.25">
      <c r="A71" s="78" t="s">
        <v>234</v>
      </c>
      <c r="B71" s="55" t="s">
        <v>234</v>
      </c>
      <c r="C71" s="6">
        <v>200</v>
      </c>
      <c r="D71" s="6" t="b">
        <v>0</v>
      </c>
      <c r="E71" s="55" t="b">
        <v>0</v>
      </c>
      <c r="F71" s="11" t="b">
        <v>0</v>
      </c>
      <c r="G71" s="79" t="b">
        <v>0</v>
      </c>
      <c r="H71" s="6" t="b">
        <v>0</v>
      </c>
      <c r="I71" s="6" t="b">
        <v>0</v>
      </c>
      <c r="J71" s="56" t="s">
        <v>3382</v>
      </c>
      <c r="K71" s="11" t="s">
        <v>984</v>
      </c>
      <c r="L71" s="11" t="s">
        <v>985</v>
      </c>
    </row>
    <row r="72" spans="1:13" ht="30" customHeight="1" x14ac:dyDescent="0.25">
      <c r="A72" s="78" t="s">
        <v>218</v>
      </c>
      <c r="B72" s="51" t="s">
        <v>218</v>
      </c>
      <c r="C72" s="6">
        <v>200</v>
      </c>
      <c r="D72" s="6" t="b">
        <v>0</v>
      </c>
      <c r="E72" s="51" t="b">
        <v>0</v>
      </c>
      <c r="F72" s="8" t="b">
        <v>0</v>
      </c>
      <c r="G72" s="79" t="b">
        <v>0</v>
      </c>
      <c r="H72" s="6" t="b">
        <v>0</v>
      </c>
      <c r="I72" s="6" t="b">
        <v>0</v>
      </c>
      <c r="J72" s="54" t="s">
        <v>3383</v>
      </c>
      <c r="K72" s="8" t="s">
        <v>984</v>
      </c>
      <c r="L72" s="8" t="s">
        <v>985</v>
      </c>
      <c r="M72" s="9"/>
    </row>
    <row r="73" spans="1:13" ht="30" customHeight="1" x14ac:dyDescent="0.25">
      <c r="A73" s="78" t="s">
        <v>342</v>
      </c>
      <c r="B73" s="55" t="s">
        <v>342</v>
      </c>
      <c r="C73" s="6">
        <v>200</v>
      </c>
      <c r="D73" s="6" t="b">
        <v>0</v>
      </c>
      <c r="E73" s="55" t="b">
        <v>0</v>
      </c>
      <c r="F73" s="11" t="b">
        <v>0</v>
      </c>
      <c r="G73" s="79" t="b">
        <v>0</v>
      </c>
      <c r="H73" s="6" t="b">
        <v>0</v>
      </c>
      <c r="I73" s="6" t="b">
        <v>0</v>
      </c>
      <c r="J73" s="56" t="s">
        <v>3384</v>
      </c>
      <c r="K73" s="11" t="s">
        <v>984</v>
      </c>
      <c r="L73" s="11" t="s">
        <v>985</v>
      </c>
    </row>
    <row r="74" spans="1:13" ht="30" customHeight="1" x14ac:dyDescent="0.25">
      <c r="A74" s="78" t="s">
        <v>774</v>
      </c>
      <c r="B74" s="51" t="s">
        <v>774</v>
      </c>
      <c r="C74" s="6">
        <v>200</v>
      </c>
      <c r="D74" s="6" t="b">
        <v>0</v>
      </c>
      <c r="E74" s="51" t="b">
        <v>0</v>
      </c>
      <c r="F74" s="8" t="b">
        <v>0</v>
      </c>
      <c r="G74" s="79" t="b">
        <v>0</v>
      </c>
      <c r="H74" s="6" t="b">
        <v>0</v>
      </c>
      <c r="I74" s="6" t="b">
        <v>0</v>
      </c>
      <c r="J74" s="54" t="s">
        <v>3385</v>
      </c>
      <c r="K74" s="8" t="s">
        <v>984</v>
      </c>
      <c r="L74" s="8" t="s">
        <v>985</v>
      </c>
      <c r="M74" s="9"/>
    </row>
    <row r="75" spans="1:13" ht="30" customHeight="1" x14ac:dyDescent="0.25">
      <c r="A75" s="78" t="s">
        <v>750</v>
      </c>
      <c r="B75" s="55" t="s">
        <v>750</v>
      </c>
      <c r="C75" s="6">
        <v>200</v>
      </c>
      <c r="D75" s="6" t="b">
        <v>0</v>
      </c>
      <c r="E75" s="55" t="b">
        <v>0</v>
      </c>
      <c r="F75" s="11" t="b">
        <v>0</v>
      </c>
      <c r="G75" s="79" t="b">
        <v>0</v>
      </c>
      <c r="H75" s="6" t="b">
        <v>0</v>
      </c>
      <c r="I75" s="6" t="b">
        <v>0</v>
      </c>
      <c r="J75" s="56" t="s">
        <v>3386</v>
      </c>
      <c r="K75" s="11" t="s">
        <v>984</v>
      </c>
      <c r="L75" s="11" t="s">
        <v>985</v>
      </c>
    </row>
    <row r="76" spans="1:13" ht="30" customHeight="1" x14ac:dyDescent="0.25">
      <c r="A76" s="78" t="s">
        <v>465</v>
      </c>
      <c r="B76" s="51" t="s">
        <v>465</v>
      </c>
      <c r="C76" s="6">
        <v>200</v>
      </c>
      <c r="D76" s="6" t="b">
        <v>0</v>
      </c>
      <c r="E76" s="51" t="b">
        <v>0</v>
      </c>
      <c r="F76" s="8" t="b">
        <v>0</v>
      </c>
      <c r="G76" s="79" t="b">
        <v>0</v>
      </c>
      <c r="H76" s="6" t="b">
        <v>0</v>
      </c>
      <c r="I76" s="6" t="b">
        <v>0</v>
      </c>
      <c r="J76" s="54" t="s">
        <v>3387</v>
      </c>
      <c r="K76" s="8" t="s">
        <v>984</v>
      </c>
      <c r="L76" s="8" t="s">
        <v>985</v>
      </c>
      <c r="M76" s="9"/>
    </row>
    <row r="77" spans="1:13" ht="30" customHeight="1" x14ac:dyDescent="0.25">
      <c r="A77" s="78" t="s">
        <v>457</v>
      </c>
      <c r="B77" s="55" t="s">
        <v>457</v>
      </c>
      <c r="C77" s="6">
        <v>200</v>
      </c>
      <c r="D77" s="6" t="b">
        <v>0</v>
      </c>
      <c r="E77" s="55" t="b">
        <v>0</v>
      </c>
      <c r="F77" s="11" t="b">
        <v>0</v>
      </c>
      <c r="G77" s="79" t="b">
        <v>0</v>
      </c>
      <c r="H77" s="6" t="b">
        <v>0</v>
      </c>
      <c r="I77" s="6" t="b">
        <v>0</v>
      </c>
      <c r="J77" s="56" t="s">
        <v>3388</v>
      </c>
      <c r="K77" s="11" t="s">
        <v>984</v>
      </c>
      <c r="L77" s="11" t="s">
        <v>985</v>
      </c>
    </row>
    <row r="78" spans="1:13" ht="30" customHeight="1" x14ac:dyDescent="0.25">
      <c r="A78" s="78" t="s">
        <v>449</v>
      </c>
      <c r="B78" s="51" t="s">
        <v>449</v>
      </c>
      <c r="C78" s="6">
        <v>200</v>
      </c>
      <c r="D78" s="6" t="b">
        <v>0</v>
      </c>
      <c r="E78" s="51" t="b">
        <v>0</v>
      </c>
      <c r="F78" s="8" t="b">
        <v>0</v>
      </c>
      <c r="G78" s="79" t="b">
        <v>0</v>
      </c>
      <c r="H78" s="6" t="b">
        <v>0</v>
      </c>
      <c r="I78" s="6" t="b">
        <v>0</v>
      </c>
      <c r="J78" s="54" t="s">
        <v>3389</v>
      </c>
      <c r="K78" s="8" t="s">
        <v>984</v>
      </c>
      <c r="L78" s="8" t="s">
        <v>985</v>
      </c>
      <c r="M78" s="9"/>
    </row>
    <row r="79" spans="1:13" ht="30" customHeight="1" x14ac:dyDescent="0.25">
      <c r="A79" s="78" t="s">
        <v>444</v>
      </c>
      <c r="B79" s="55" t="s">
        <v>444</v>
      </c>
      <c r="C79" s="6">
        <v>200</v>
      </c>
      <c r="D79" s="6" t="b">
        <v>0</v>
      </c>
      <c r="E79" s="55" t="b">
        <v>0</v>
      </c>
      <c r="F79" s="11" t="b">
        <v>0</v>
      </c>
      <c r="G79" s="79" t="b">
        <v>0</v>
      </c>
      <c r="H79" s="6" t="b">
        <v>0</v>
      </c>
      <c r="I79" s="6" t="b">
        <v>0</v>
      </c>
      <c r="J79" s="56" t="s">
        <v>3390</v>
      </c>
      <c r="K79" s="11" t="s">
        <v>984</v>
      </c>
      <c r="L79" s="11" t="s">
        <v>985</v>
      </c>
    </row>
    <row r="80" spans="1:13" ht="30" customHeight="1" x14ac:dyDescent="0.25">
      <c r="A80" s="78" t="s">
        <v>330</v>
      </c>
      <c r="B80" s="51" t="s">
        <v>330</v>
      </c>
      <c r="C80" s="6">
        <v>200</v>
      </c>
      <c r="D80" s="6" t="b">
        <v>0</v>
      </c>
      <c r="E80" s="51" t="b">
        <v>0</v>
      </c>
      <c r="F80" s="8" t="b">
        <v>0</v>
      </c>
      <c r="G80" s="79" t="b">
        <v>0</v>
      </c>
      <c r="H80" s="6" t="b">
        <v>0</v>
      </c>
      <c r="I80" s="6" t="b">
        <v>0</v>
      </c>
      <c r="J80" s="54" t="s">
        <v>3391</v>
      </c>
      <c r="K80" s="8" t="s">
        <v>984</v>
      </c>
      <c r="L80" s="8" t="s">
        <v>985</v>
      </c>
      <c r="M80" s="9"/>
    </row>
    <row r="81" spans="1:13" ht="30" customHeight="1" x14ac:dyDescent="0.25">
      <c r="A81" s="78" t="s">
        <v>782</v>
      </c>
      <c r="B81" s="55" t="s">
        <v>782</v>
      </c>
      <c r="C81" s="6">
        <v>200</v>
      </c>
      <c r="D81" s="6" t="b">
        <v>0</v>
      </c>
      <c r="E81" s="55" t="b">
        <v>0</v>
      </c>
      <c r="F81" s="11" t="b">
        <v>0</v>
      </c>
      <c r="G81" s="79" t="b">
        <v>0</v>
      </c>
      <c r="H81" s="6" t="b">
        <v>0</v>
      </c>
      <c r="I81" s="6" t="b">
        <v>0</v>
      </c>
      <c r="J81" s="56" t="s">
        <v>3392</v>
      </c>
      <c r="K81" s="11" t="s">
        <v>984</v>
      </c>
      <c r="L81" s="11" t="s">
        <v>985</v>
      </c>
    </row>
    <row r="82" spans="1:13" ht="30" customHeight="1" x14ac:dyDescent="0.25">
      <c r="A82" s="78" t="s">
        <v>720</v>
      </c>
      <c r="B82" s="51" t="s">
        <v>720</v>
      </c>
      <c r="C82" s="6">
        <v>200</v>
      </c>
      <c r="D82" s="6" t="b">
        <v>0</v>
      </c>
      <c r="E82" s="51" t="b">
        <v>0</v>
      </c>
      <c r="F82" s="8" t="b">
        <v>0</v>
      </c>
      <c r="G82" s="79" t="b">
        <v>0</v>
      </c>
      <c r="H82" s="6" t="b">
        <v>0</v>
      </c>
      <c r="I82" s="6" t="b">
        <v>0</v>
      </c>
      <c r="J82" s="54" t="s">
        <v>3393</v>
      </c>
      <c r="K82" s="8" t="s">
        <v>984</v>
      </c>
      <c r="L82" s="8" t="s">
        <v>985</v>
      </c>
      <c r="M82" s="9"/>
    </row>
    <row r="83" spans="1:13" ht="30" customHeight="1" x14ac:dyDescent="0.25">
      <c r="A83" s="78" t="s">
        <v>635</v>
      </c>
      <c r="B83" s="55" t="s">
        <v>635</v>
      </c>
      <c r="C83" s="6">
        <v>200</v>
      </c>
      <c r="D83" s="6" t="b">
        <v>0</v>
      </c>
      <c r="E83" s="55" t="b">
        <v>0</v>
      </c>
      <c r="F83" s="11" t="b">
        <v>0</v>
      </c>
      <c r="G83" s="79" t="b">
        <v>0</v>
      </c>
      <c r="H83" s="6" t="b">
        <v>0</v>
      </c>
      <c r="I83" s="6" t="b">
        <v>0</v>
      </c>
      <c r="J83" s="56" t="s">
        <v>3394</v>
      </c>
      <c r="K83" s="11" t="s">
        <v>984</v>
      </c>
      <c r="L83" s="11" t="s">
        <v>985</v>
      </c>
    </row>
    <row r="84" spans="1:13" ht="30" customHeight="1" x14ac:dyDescent="0.25">
      <c r="A84" s="78" t="s">
        <v>180</v>
      </c>
      <c r="B84" s="51" t="s">
        <v>180</v>
      </c>
      <c r="C84" s="6">
        <v>200</v>
      </c>
      <c r="D84" s="6" t="b">
        <v>0</v>
      </c>
      <c r="E84" s="51" t="b">
        <v>0</v>
      </c>
      <c r="F84" s="8" t="b">
        <v>0</v>
      </c>
      <c r="G84" s="79" t="b">
        <v>0</v>
      </c>
      <c r="H84" s="6" t="b">
        <v>0</v>
      </c>
      <c r="I84" s="6" t="b">
        <v>0</v>
      </c>
      <c r="J84" s="54" t="s">
        <v>3395</v>
      </c>
      <c r="K84" s="8" t="s">
        <v>984</v>
      </c>
      <c r="L84" s="8" t="s">
        <v>985</v>
      </c>
      <c r="M84" s="9"/>
    </row>
    <row r="85" spans="1:13" ht="30" customHeight="1" x14ac:dyDescent="0.25">
      <c r="A85" s="78" t="s">
        <v>698</v>
      </c>
      <c r="B85" s="55" t="s">
        <v>698</v>
      </c>
      <c r="C85" s="6">
        <v>200</v>
      </c>
      <c r="D85" s="6" t="b">
        <v>0</v>
      </c>
      <c r="E85" s="55" t="b">
        <v>0</v>
      </c>
      <c r="F85" s="11" t="b">
        <v>0</v>
      </c>
      <c r="G85" s="79" t="b">
        <v>0</v>
      </c>
      <c r="H85" s="6" t="b">
        <v>0</v>
      </c>
      <c r="I85" s="6" t="b">
        <v>0</v>
      </c>
      <c r="J85" s="56" t="s">
        <v>3396</v>
      </c>
      <c r="K85" s="11" t="s">
        <v>984</v>
      </c>
      <c r="L85" s="11" t="s">
        <v>985</v>
      </c>
    </row>
    <row r="86" spans="1:13" ht="30" customHeight="1" x14ac:dyDescent="0.25">
      <c r="A86" s="78" t="s">
        <v>666</v>
      </c>
      <c r="B86" s="51" t="s">
        <v>666</v>
      </c>
      <c r="C86" s="6">
        <v>200</v>
      </c>
      <c r="D86" s="6" t="b">
        <v>0</v>
      </c>
      <c r="E86" s="51" t="b">
        <v>0</v>
      </c>
      <c r="F86" s="8" t="b">
        <v>0</v>
      </c>
      <c r="G86" s="79" t="b">
        <v>0</v>
      </c>
      <c r="H86" s="6" t="b">
        <v>0</v>
      </c>
      <c r="I86" s="6" t="b">
        <v>0</v>
      </c>
      <c r="J86" s="54" t="s">
        <v>3397</v>
      </c>
      <c r="K86" s="8" t="s">
        <v>984</v>
      </c>
      <c r="L86" s="8" t="s">
        <v>985</v>
      </c>
      <c r="M86" s="9"/>
    </row>
  </sheetData>
  <autoFilter ref="A1:M86" xr:uid="{00000000-0009-0000-0000-000017000000}"/>
  <conditionalFormatting sqref="C2:C86">
    <cfRule type="cellIs" dxfId="2" priority="1" operator="equal">
      <formula>200</formula>
    </cfRule>
    <cfRule type="cellIs" dxfId="1" priority="2" operator="between">
      <formula>300</formula>
      <formula>399</formula>
    </cfRule>
    <cfRule type="cellIs" dxfId="0" priority="3" operator="greaterThanOrEqual">
      <formula>400</formula>
    </cfRule>
  </conditionalFormatting>
  <dataValidations count="13">
    <dataValidation type="custom" allowBlank="1" showInputMessage="1" promptTitle="Sitemap URL" prompt="Sitemap URL. Use this URL to inspect the page directly or jump to related tabs." sqref="A1" xr:uid="{00000000-0002-0000-1700-000000000000}">
      <formula1>TRUE</formula1>
    </dataValidation>
    <dataValidation type="custom" allowBlank="1" showInputMessage="1" promptTitle="Final URL" prompt="Final URL. Use this URL to inspect the page directly or jump to related tabs." sqref="B1" xr:uid="{00000000-0002-0000-1700-000001000000}">
      <formula1>TRUE</formula1>
    </dataValidation>
    <dataValidation type="custom" allowBlank="1" showInputMessage="1" promptTitle="Status Code" prompt="HTTP response code returned for this page/resource. Fix: Resolve 4xx/5xx errors and reduce unnecessary redirects." sqref="C1" xr:uid="{00000000-0002-0000-1700-000002000000}">
      <formula1>TRUE</formula1>
    </dataValidation>
    <dataValidation type="custom" allowBlank="1" showInputMessage="1" promptTitle="In Sitemap but Non-200" prompt="In Sitemap but Non-200. Review this metric to identify risk, then use linked tabs for details and remediation." sqref="D1" xr:uid="{00000000-0002-0000-1700-000003000000}">
      <formula1>TRUE</formula1>
    </dataValidation>
    <dataValidation type="custom" allowBlank="1" showInputMessage="1" promptTitle="Sitemap URL Redirects" prompt="Sitemap URL Redirects. Use this URL to inspect the page directly or jump to related tabs." sqref="E1" xr:uid="{00000000-0002-0000-1700-000004000000}">
      <formula1>TRUE</formula1>
    </dataValidation>
    <dataValidation type="custom" allowBlank="1" showInputMessage="1" promptTitle="In Sitemap but Canonicalized Els" prompt="Indexing/canonicalization signal. Fix: ensure indexable pages use correct canonicals and non-conflicting directives." sqref="F1" xr:uid="{00000000-0002-0000-1700-000005000000}">
      <formula1>TRUE</formula1>
    </dataValidation>
    <dataValidation type="custom" allowBlank="1" showInputMessage="1" promptTitle="Missing &lt;lastmod&gt;" prompt="Missing &lt;lastmod&gt;. Review this metric to identify risk, then use linked tabs for details and remediation." sqref="G1" xr:uid="{00000000-0002-0000-1700-000006000000}">
      <formula1>TRUE</formula1>
    </dataValidation>
    <dataValidation type="custom" allowBlank="1" showInputMessage="1" promptTitle="Missing &lt;changefreq&gt;" prompt="Missing &lt;changefreq&gt;. Review this metric to identify risk, then use linked tabs for details and remediation." sqref="H1" xr:uid="{00000000-0002-0000-1700-000007000000}">
      <formula1>TRUE</formula1>
    </dataValidation>
    <dataValidation type="custom" allowBlank="1" showInputMessage="1" promptTitle="Missing &lt;priority&gt;" prompt="Missing &lt;priority&gt;. Review this metric to identify risk, then use linked tabs for details and remediation." sqref="I1" xr:uid="{00000000-0002-0000-1700-000008000000}">
      <formula1>TRUE</formula1>
    </dataValidation>
    <dataValidation type="custom" allowBlank="1" showInputMessage="1" promptTitle="Sitemap &lt;lastmod&gt;" prompt="Sitemap &lt;lastmod&gt;. Review this metric to identify risk, then use linked tabs for details and remediation." sqref="J1" xr:uid="{00000000-0002-0000-1700-000009000000}">
      <formula1>TRUE</formula1>
    </dataValidation>
    <dataValidation type="custom" allowBlank="1" showInputMessage="1" promptTitle="Sitemap &lt;changefreq&gt;" prompt="Sitemap &lt;changefreq&gt;. Review this metric to identify risk, then use linked tabs for details and remediation." sqref="K1" xr:uid="{00000000-0002-0000-1700-00000A000000}">
      <formula1>TRUE</formula1>
    </dataValidation>
    <dataValidation type="custom" allowBlank="1" showInputMessage="1" promptTitle="Sitemap &lt;priority&gt;" prompt="Sitemap &lt;priority&gt;. Review this metric to identify risk, then use linked tabs for details and remediation." sqref="L1" xr:uid="{00000000-0002-0000-1700-00000B000000}">
      <formula1>TRUE</formula1>
    </dataValidation>
    <dataValidation type="custom" allowBlank="1" showInputMessage="1" promptTitle="BACK TO DASHBOARD" prompt="BACK TO DASHBOARD. Review this metric to identify risk, then use linked tabs for details and remediation." sqref="M1" xr:uid="{00000000-0002-0000-1700-00000C000000}">
      <formula1>TRUE</formula1>
    </dataValidation>
  </dataValidations>
  <hyperlinks>
    <hyperlink ref="M1" location="Dashboard!A1" display="BACK TO DASHBOARD" xr:uid="{00000000-0004-0000-1700-000000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39"/>
  <sheetViews>
    <sheetView workbookViewId="0">
      <pane ySplit="1" topLeftCell="A2" activePane="bottomLeft" state="frozen"/>
      <selection pane="bottomLeft"/>
    </sheetView>
  </sheetViews>
  <sheetFormatPr defaultRowHeight="15" x14ac:dyDescent="0.25"/>
  <cols>
    <col min="1" max="1" width="51" customWidth="1"/>
    <col min="2" max="2" width="7" customWidth="1"/>
  </cols>
  <sheetData>
    <row r="1" spans="1:3" ht="45" x14ac:dyDescent="0.25">
      <c r="A1" s="4" t="s">
        <v>29</v>
      </c>
      <c r="B1" s="4" t="s">
        <v>74</v>
      </c>
      <c r="C1" s="39" t="s">
        <v>136</v>
      </c>
    </row>
    <row r="2" spans="1:3" x14ac:dyDescent="0.25">
      <c r="A2" s="6" t="s">
        <v>3398</v>
      </c>
      <c r="B2" s="8">
        <v>787</v>
      </c>
      <c r="C2" s="9"/>
    </row>
    <row r="3" spans="1:3" x14ac:dyDescent="0.25">
      <c r="A3" s="6" t="s">
        <v>3399</v>
      </c>
      <c r="B3" s="11">
        <v>0</v>
      </c>
    </row>
    <row r="4" spans="1:3" x14ac:dyDescent="0.25">
      <c r="A4" s="6" t="s">
        <v>3400</v>
      </c>
      <c r="B4" s="8">
        <v>0</v>
      </c>
      <c r="C4" s="9"/>
    </row>
    <row r="5" spans="1:3" x14ac:dyDescent="0.25">
      <c r="A5" s="6" t="s">
        <v>3401</v>
      </c>
      <c r="B5" s="11">
        <v>0</v>
      </c>
    </row>
    <row r="6" spans="1:3" x14ac:dyDescent="0.25">
      <c r="A6" s="6" t="s">
        <v>3402</v>
      </c>
      <c r="B6" s="8">
        <v>2</v>
      </c>
      <c r="C6" s="9"/>
    </row>
    <row r="7" spans="1:3" x14ac:dyDescent="0.25">
      <c r="A7" s="6" t="s">
        <v>3403</v>
      </c>
      <c r="B7" s="11">
        <v>2</v>
      </c>
    </row>
    <row r="8" spans="1:3" x14ac:dyDescent="0.25">
      <c r="A8" s="6" t="s">
        <v>3404</v>
      </c>
      <c r="B8" s="8">
        <v>0</v>
      </c>
      <c r="C8" s="9"/>
    </row>
    <row r="9" spans="1:3" x14ac:dyDescent="0.25">
      <c r="A9" s="6" t="s">
        <v>3405</v>
      </c>
      <c r="B9" s="11">
        <v>0</v>
      </c>
    </row>
    <row r="10" spans="1:3" x14ac:dyDescent="0.25">
      <c r="A10" s="6" t="s">
        <v>3406</v>
      </c>
      <c r="B10" s="8">
        <v>0</v>
      </c>
      <c r="C10" s="9"/>
    </row>
    <row r="11" spans="1:3" x14ac:dyDescent="0.25">
      <c r="A11" s="6" t="s">
        <v>3407</v>
      </c>
      <c r="B11" s="11">
        <v>0</v>
      </c>
    </row>
    <row r="12" spans="1:3" x14ac:dyDescent="0.25">
      <c r="A12" s="6" t="s">
        <v>3408</v>
      </c>
      <c r="B12" s="8">
        <v>0</v>
      </c>
      <c r="C12" s="9"/>
    </row>
    <row r="13" spans="1:3" x14ac:dyDescent="0.25">
      <c r="A13" s="6" t="s">
        <v>3409</v>
      </c>
      <c r="B13" s="11">
        <v>0</v>
      </c>
    </row>
    <row r="14" spans="1:3" x14ac:dyDescent="0.25">
      <c r="A14" s="6" t="s">
        <v>3410</v>
      </c>
      <c r="B14" s="8">
        <v>5</v>
      </c>
      <c r="C14" s="9"/>
    </row>
    <row r="15" spans="1:3" x14ac:dyDescent="0.25">
      <c r="A15" s="6" t="s">
        <v>3411</v>
      </c>
      <c r="B15" s="11">
        <v>32</v>
      </c>
    </row>
    <row r="16" spans="1:3" x14ac:dyDescent="0.25">
      <c r="A16" s="6" t="s">
        <v>3412</v>
      </c>
      <c r="B16" s="8">
        <v>18</v>
      </c>
      <c r="C16" s="9"/>
    </row>
    <row r="17" spans="1:3" x14ac:dyDescent="0.25">
      <c r="A17" s="6" t="s">
        <v>3413</v>
      </c>
      <c r="B17" s="11">
        <v>0</v>
      </c>
    </row>
    <row r="18" spans="1:3" x14ac:dyDescent="0.25">
      <c r="A18" s="6" t="s">
        <v>3414</v>
      </c>
      <c r="B18" s="8">
        <v>0</v>
      </c>
      <c r="C18" s="9"/>
    </row>
    <row r="19" spans="1:3" x14ac:dyDescent="0.25">
      <c r="A19" s="6" t="s">
        <v>3415</v>
      </c>
      <c r="B19" s="11">
        <v>0</v>
      </c>
    </row>
    <row r="20" spans="1:3" x14ac:dyDescent="0.25">
      <c r="A20" s="6" t="s">
        <v>3416</v>
      </c>
      <c r="B20" s="8">
        <v>0</v>
      </c>
      <c r="C20" s="9"/>
    </row>
    <row r="21" spans="1:3" x14ac:dyDescent="0.25">
      <c r="A21" s="6" t="s">
        <v>3417</v>
      </c>
      <c r="B21" s="11">
        <v>0</v>
      </c>
    </row>
    <row r="22" spans="1:3" x14ac:dyDescent="0.25">
      <c r="A22" s="6" t="s">
        <v>3418</v>
      </c>
      <c r="B22" s="8">
        <v>0</v>
      </c>
      <c r="C22" s="9"/>
    </row>
    <row r="23" spans="1:3" x14ac:dyDescent="0.25">
      <c r="A23" s="6" t="s">
        <v>3419</v>
      </c>
      <c r="B23" s="11">
        <v>0</v>
      </c>
    </row>
    <row r="24" spans="1:3" x14ac:dyDescent="0.25">
      <c r="A24" s="6" t="s">
        <v>3420</v>
      </c>
      <c r="B24" s="8">
        <v>0</v>
      </c>
      <c r="C24" s="9"/>
    </row>
    <row r="25" spans="1:3" x14ac:dyDescent="0.25">
      <c r="A25" s="6" t="s">
        <v>3421</v>
      </c>
      <c r="B25" s="11">
        <v>0</v>
      </c>
    </row>
    <row r="26" spans="1:3" x14ac:dyDescent="0.25">
      <c r="A26" s="6" t="s">
        <v>3422</v>
      </c>
      <c r="B26" s="8">
        <v>2</v>
      </c>
      <c r="C26" s="9"/>
    </row>
    <row r="27" spans="1:3" x14ac:dyDescent="0.25">
      <c r="A27" s="6" t="s">
        <v>3423</v>
      </c>
      <c r="B27" s="11">
        <v>85</v>
      </c>
    </row>
    <row r="28" spans="1:3" x14ac:dyDescent="0.25">
      <c r="A28" s="6" t="s">
        <v>3424</v>
      </c>
      <c r="B28" s="8">
        <v>85</v>
      </c>
      <c r="C28" s="9"/>
    </row>
    <row r="29" spans="1:3" x14ac:dyDescent="0.25">
      <c r="A29" s="6" t="s">
        <v>3425</v>
      </c>
      <c r="B29" s="11">
        <v>85</v>
      </c>
    </row>
    <row r="30" spans="1:3" x14ac:dyDescent="0.25">
      <c r="A30" s="6" t="s">
        <v>3426</v>
      </c>
      <c r="B30" s="8">
        <v>44</v>
      </c>
      <c r="C30" s="9"/>
    </row>
    <row r="31" spans="1:3" x14ac:dyDescent="0.25">
      <c r="A31" s="6" t="s">
        <v>3427</v>
      </c>
      <c r="B31" s="11">
        <v>85</v>
      </c>
    </row>
    <row r="32" spans="1:3" x14ac:dyDescent="0.25">
      <c r="A32" s="6" t="s">
        <v>3428</v>
      </c>
      <c r="B32" s="8">
        <v>85</v>
      </c>
      <c r="C32" s="9"/>
    </row>
    <row r="33" spans="1:3" x14ac:dyDescent="0.25">
      <c r="A33" s="6" t="s">
        <v>3429</v>
      </c>
      <c r="B33" s="11">
        <v>85</v>
      </c>
    </row>
    <row r="34" spans="1:3" x14ac:dyDescent="0.25">
      <c r="A34" s="6" t="s">
        <v>3430</v>
      </c>
      <c r="B34" s="8">
        <v>85</v>
      </c>
      <c r="C34" s="9"/>
    </row>
    <row r="35" spans="1:3" x14ac:dyDescent="0.25">
      <c r="A35" s="6" t="s">
        <v>3431</v>
      </c>
      <c r="B35" s="11">
        <v>0</v>
      </c>
    </row>
    <row r="36" spans="1:3" x14ac:dyDescent="0.25">
      <c r="A36" s="6" t="s">
        <v>3432</v>
      </c>
      <c r="B36" s="8">
        <v>0</v>
      </c>
      <c r="C36" s="9"/>
    </row>
    <row r="37" spans="1:3" x14ac:dyDescent="0.25">
      <c r="A37" s="6" t="s">
        <v>3433</v>
      </c>
      <c r="B37" s="11">
        <v>2</v>
      </c>
    </row>
    <row r="38" spans="1:3" x14ac:dyDescent="0.25">
      <c r="A38" s="6" t="s">
        <v>3434</v>
      </c>
      <c r="B38" s="8">
        <v>0</v>
      </c>
      <c r="C38" s="9"/>
    </row>
    <row r="39" spans="1:3" x14ac:dyDescent="0.25">
      <c r="A39" s="6" t="s">
        <v>3435</v>
      </c>
      <c r="B39" s="11">
        <v>85</v>
      </c>
    </row>
  </sheetData>
  <autoFilter ref="A1:C39" xr:uid="{00000000-0009-0000-0000-000018000000}"/>
  <dataValidations count="3">
    <dataValidation type="custom" allowBlank="1" showInputMessage="1" promptTitle="Metric" prompt="Metric. Review this metric to identify risk, then use linked tabs for details and remediation." sqref="A1" xr:uid="{00000000-0002-0000-1800-000000000000}">
      <formula1>TRUE</formula1>
    </dataValidation>
    <dataValidation type="custom" allowBlank="1" showInputMessage="1" promptTitle="Count" prompt="Count. Review this metric to identify risk, then use linked tabs for details and remediation." sqref="B1" xr:uid="{00000000-0002-0000-1800-000001000000}">
      <formula1>TRUE</formula1>
    </dataValidation>
    <dataValidation type="custom" allowBlank="1" showInputMessage="1" promptTitle="BACK TO DASHBOARD" prompt="BACK TO DASHBOARD. Review this metric to identify risk, then use linked tabs for details and remediation." sqref="C1" xr:uid="{00000000-0002-0000-1800-000002000000}">
      <formula1>TRUE</formula1>
    </dataValidation>
  </dataValidations>
  <hyperlinks>
    <hyperlink ref="C1" location="Dashboard!A1" display="BACK TO DASHBOARD" xr:uid="{00000000-0004-0000-1800-000000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0"/>
  <sheetViews>
    <sheetView workbookViewId="0">
      <pane ySplit="1" topLeftCell="A2" activePane="bottomLeft" state="frozen"/>
      <selection pane="bottomLeft"/>
    </sheetView>
  </sheetViews>
  <sheetFormatPr defaultRowHeight="15" x14ac:dyDescent="0.25"/>
  <cols>
    <col min="1" max="2" width="21" customWidth="1"/>
  </cols>
  <sheetData>
    <row r="1" spans="1:3" ht="45" x14ac:dyDescent="0.25">
      <c r="A1" s="4" t="s">
        <v>3436</v>
      </c>
      <c r="B1" s="4" t="s">
        <v>60</v>
      </c>
      <c r="C1" s="39" t="s">
        <v>136</v>
      </c>
    </row>
    <row r="2" spans="1:3" x14ac:dyDescent="0.25">
      <c r="A2" s="6" t="s">
        <v>3437</v>
      </c>
      <c r="B2" s="36" t="s">
        <v>3438</v>
      </c>
      <c r="C2" s="9"/>
    </row>
    <row r="3" spans="1:3" x14ac:dyDescent="0.25">
      <c r="A3" s="6" t="s">
        <v>3439</v>
      </c>
      <c r="B3" s="10"/>
    </row>
    <row r="4" spans="1:3" x14ac:dyDescent="0.25">
      <c r="A4" s="6" t="s">
        <v>3440</v>
      </c>
      <c r="B4" s="36"/>
      <c r="C4" s="9"/>
    </row>
    <row r="5" spans="1:3" x14ac:dyDescent="0.25">
      <c r="A5" s="6" t="s">
        <v>3441</v>
      </c>
      <c r="B5" s="10"/>
    </row>
    <row r="6" spans="1:3" x14ac:dyDescent="0.25">
      <c r="A6" s="6" t="s">
        <v>3442</v>
      </c>
      <c r="B6" s="36"/>
      <c r="C6" s="9"/>
    </row>
    <row r="7" spans="1:3" x14ac:dyDescent="0.25">
      <c r="A7" s="6" t="s">
        <v>3443</v>
      </c>
      <c r="B7" s="10"/>
    </row>
    <row r="8" spans="1:3" x14ac:dyDescent="0.25">
      <c r="A8" s="6" t="s">
        <v>3444</v>
      </c>
      <c r="B8" s="36"/>
      <c r="C8" s="9"/>
    </row>
    <row r="9" spans="1:3" x14ac:dyDescent="0.25">
      <c r="A9" s="6" t="s">
        <v>3445</v>
      </c>
      <c r="B9" s="10"/>
    </row>
    <row r="10" spans="1:3" x14ac:dyDescent="0.25">
      <c r="A10" s="6" t="s">
        <v>3446</v>
      </c>
      <c r="B10" s="36"/>
      <c r="C10" s="9"/>
    </row>
  </sheetData>
  <autoFilter ref="A1:C10" xr:uid="{00000000-0009-0000-0000-000019000000}"/>
  <dataValidations count="3">
    <dataValidation type="custom" allowBlank="1" showInputMessage="1" promptTitle="Key" prompt="Key. Review this metric to identify risk, then use linked tabs for details and remediation." sqref="A1" xr:uid="{00000000-0002-0000-1900-000000000000}">
      <formula1>TRUE</formula1>
    </dataValidation>
    <dataValidation type="custom" allowBlank="1" showInputMessage="1" promptTitle="Value" prompt="Value. Review this metric to identify risk, then use linked tabs for details and remediation." sqref="B1" xr:uid="{00000000-0002-0000-1900-000001000000}">
      <formula1>TRUE</formula1>
    </dataValidation>
    <dataValidation type="custom" allowBlank="1" showInputMessage="1" promptTitle="BACK TO DASHBOARD" prompt="BACK TO DASHBOARD. Review this metric to identify risk, then use linked tabs for details and remediation." sqref="C1" xr:uid="{00000000-0002-0000-1900-000002000000}">
      <formula1>TRUE</formula1>
    </dataValidation>
  </dataValidations>
  <hyperlinks>
    <hyperlink ref="C1" location="Dashboard!A1" display="BACK TO DASHBOARD" xr:uid="{00000000-0004-0000-1900-000000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2"/>
  <sheetViews>
    <sheetView workbookViewId="0">
      <pane ySplit="1" topLeftCell="A2" activePane="bottomLeft" state="frozen"/>
      <selection pane="bottomLeft"/>
    </sheetView>
  </sheetViews>
  <sheetFormatPr defaultRowHeight="15" x14ac:dyDescent="0.25"/>
  <cols>
    <col min="1" max="1" width="17" customWidth="1"/>
    <col min="2" max="2" width="56" customWidth="1"/>
    <col min="3" max="3" width="5" customWidth="1"/>
  </cols>
  <sheetData>
    <row r="1" spans="1:5" ht="45" x14ac:dyDescent="0.25">
      <c r="A1" s="4" t="s">
        <v>1222</v>
      </c>
      <c r="B1" s="4" t="s">
        <v>1216</v>
      </c>
      <c r="C1" s="4" t="s">
        <v>118</v>
      </c>
      <c r="D1" s="5" t="s">
        <v>135</v>
      </c>
      <c r="E1" s="39" t="s">
        <v>136</v>
      </c>
    </row>
    <row r="2" spans="1:5" x14ac:dyDescent="0.25">
      <c r="A2" s="6"/>
      <c r="B2" s="8" t="s">
        <v>3447</v>
      </c>
      <c r="C2" s="51"/>
      <c r="D2" s="9" t="str">
        <f>IFERROR(HYPERLINK("#Main!A"&amp;MATCH(C2,Main!A:A,0),"Open"),HYPERLINK("#Main!A1","Open"))</f>
        <v>Open</v>
      </c>
      <c r="E2" s="9"/>
    </row>
  </sheetData>
  <autoFilter ref="A1:E2" xr:uid="{00000000-0009-0000-0000-00001A000000}"/>
  <dataValidations count="5">
    <dataValidation type="custom" allowBlank="1" showInputMessage="1" promptTitle="Stable Issue ID" prompt="Stable Issue ID. Review this metric to identify risk, then use linked tabs for details and remediation." sqref="A1" xr:uid="{00000000-0002-0000-1A00-000000000000}">
      <formula1>TRUE</formula1>
    </dataValidation>
    <dataValidation type="custom" allowBlank="1" showInputMessage="1" promptTitle="Issue" prompt="Issue. Review this metric to identify risk, then use linked tabs for details and remediation." sqref="B1" xr:uid="{00000000-0002-0000-1A00-000001000000}">
      <formula1>TRUE</formula1>
    </dataValidation>
    <dataValidation type="custom" allowBlank="1" showInputMessage="1" promptTitle="URL" prompt="URL. Use this URL to inspect the page directly or jump to related tabs." sqref="C1" xr:uid="{00000000-0002-0000-1A00-000002000000}">
      <formula1>TRUE</formula1>
    </dataValidation>
    <dataValidation type="custom" allowBlank="1" showInputMessage="1" promptTitle="Open in Main" prompt="Navigation helper. Click to jump directly to the related record in another tab." sqref="D1" xr:uid="{00000000-0002-0000-1A00-000003000000}">
      <formula1>TRUE</formula1>
    </dataValidation>
    <dataValidation type="custom" allowBlank="1" showInputMessage="1" promptTitle="BACK TO DASHBOARD" prompt="BACK TO DASHBOARD. Review this metric to identify risk, then use linked tabs for details and remediation." sqref="E1" xr:uid="{00000000-0002-0000-1A00-000004000000}">
      <formula1>TRUE</formula1>
    </dataValidation>
  </dataValidations>
  <hyperlinks>
    <hyperlink ref="E1" location="Dashboard!A1" display="BACK TO DASHBOARD" xr:uid="{00000000-0004-0000-1A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Table of Contents</vt:lpstr>
      <vt:lpstr>Dashboard</vt:lpstr>
      <vt:lpstr>Content Optimization Hub</vt:lpstr>
      <vt:lpstr>FixPlan</vt:lpstr>
      <vt:lpstr>Main</vt:lpstr>
      <vt:lpstr>Technical</vt:lpstr>
      <vt:lpstr>Content</vt:lpstr>
      <vt:lpstr>AEO</vt:lpstr>
      <vt:lpstr>Schema &amp; Metadata</vt:lpstr>
      <vt:lpstr>Links</vt:lpstr>
      <vt:lpstr>Indexability</vt:lpstr>
      <vt:lpstr>Redirects</vt:lpstr>
      <vt:lpstr>Priority URLs</vt:lpstr>
      <vt:lpstr>AIOSEO</vt:lpstr>
      <vt:lpstr>Security</vt:lpstr>
      <vt:lpstr>Summary</vt:lpstr>
      <vt:lpstr>Legend</vt:lpstr>
      <vt:lpstr>LinksDetail</vt:lpstr>
      <vt:lpstr>Media</vt:lpstr>
      <vt:lpstr>Duplicates</vt:lpstr>
      <vt:lpstr>TemplateClusters</vt:lpstr>
      <vt:lpstr>IssueInventory</vt:lpstr>
      <vt:lpstr>CrawlGraph</vt:lpstr>
      <vt:lpstr>SitemapQA</vt:lpstr>
      <vt:lpstr>DeltaFromPreviousRun</vt:lpstr>
      <vt:lpstr>RunMetadata</vt:lpstr>
      <vt:lpstr>ResolvedIssues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2026-04-30T15:42:49Z</dcterms:created>
  <dcterms:modified xsi:type="dcterms:W3CDTF">2026-04-30T15:57:04Z</dcterms:modified>
</cp:coreProperties>
</file>